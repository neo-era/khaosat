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7"/>
  <workbookPr codeName="ThisWorkbook"/>
  <mc:AlternateContent xmlns:mc="http://schemas.openxmlformats.org/markup-compatibility/2006">
    <mc:Choice Requires="x15">
      <x15ac:absPath xmlns:x15ac="http://schemas.microsoft.com/office/spreadsheetml/2010/11/ac" url="https://cscctphcm-my.sharepoint.com/personal/gdcsbac_cscctphcm_onmicrosoft_com/Documents/Documents/"/>
    </mc:Choice>
  </mc:AlternateContent>
  <xr:revisionPtr revIDLastSave="4679" documentId="11_F25DC773A252ABDACC104810291E5D3A5BDE58E9" xr6:coauthVersionLast="47" xr6:coauthVersionMax="47" xr10:uidLastSave="{1B234498-E930-4555-9516-C63651FAFB0B}"/>
  <bookViews>
    <workbookView xWindow="-120" yWindow="-120" windowWidth="29040" windowHeight="15720" tabRatio="706" firstSheet="6" activeTab="6" xr2:uid="{00000000-000D-0000-FFFF-FFFF00000000}"/>
  </bookViews>
  <sheets>
    <sheet name="Vi tri" sheetId="2" r:id="rId1"/>
    <sheet name="16. BBHT Ký App" sheetId="18" r:id="rId2"/>
    <sheet name="Phường-Xã 2025" sheetId="19" r:id="rId3"/>
    <sheet name="TĐK" sheetId="20" r:id="rId4"/>
    <sheet name="Huong dan su dung" sheetId="14" r:id="rId5"/>
    <sheet name="Tang cuong den" sheetId="3" r:id="rId6"/>
    <sheet name="Ngam Hoa" sheetId="5" r:id="rId7"/>
    <sheet name="Thay den" sheetId="6" r:id="rId8"/>
    <sheet name="4, HKN" sheetId="1" r:id="rId9"/>
    <sheet name="5. TCNoi" sheetId="4" r:id="rId10"/>
    <sheet name="6, Cap luon can" sheetId="7" r:id="rId11"/>
    <sheet name="7. TCNgam" sheetId="8" r:id="rId12"/>
    <sheet name="8. Thay Can" sheetId="9" r:id="rId13"/>
    <sheet name="9. Thay thế tru" sheetId="15" r:id="rId14"/>
    <sheet name="10.choa den" sheetId="11" r:id="rId15"/>
    <sheet name="13 Tăng cường đèn kc xa" sheetId="16" r:id="rId16"/>
    <sheet name="11. Nap tru" sheetId="12" r:id="rId17"/>
    <sheet name="12, Vo tu" sheetId="13" r:id="rId18"/>
    <sheet name="14 Decal số trụ" sheetId="17" r:id="rId19"/>
    <sheet name="15. Nâng móng" sheetId="10" r:id="rId20"/>
  </sheets>
  <definedNames>
    <definedName name="_xlnm._FilterDatabase" localSheetId="1" hidden="1">'16. BBHT Ký App'!$A$1:$H$136</definedName>
    <definedName name="_xlnm._FilterDatabase" localSheetId="2" hidden="1">'Phường-Xã 2025'!$A$4:$I$4</definedName>
    <definedName name="_xlnm._FilterDatabase" localSheetId="3" hidden="1">TĐK!$A$2:$H$902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50" i="3" l="1"/>
  <c r="S450" i="3" s="1"/>
  <c r="V450" i="3"/>
  <c r="T449" i="3"/>
  <c r="V449" i="3" s="1"/>
  <c r="S449" i="3"/>
  <c r="T448" i="3"/>
  <c r="S448" i="3"/>
  <c r="V448" i="3"/>
  <c r="T447" i="3"/>
  <c r="S447" i="3"/>
  <c r="V447" i="3"/>
  <c r="T446" i="3"/>
  <c r="S446" i="3"/>
  <c r="V446" i="3"/>
  <c r="T445" i="3"/>
  <c r="S445" i="3"/>
  <c r="V445" i="3"/>
  <c r="T444" i="3"/>
  <c r="S444" i="3"/>
  <c r="V444" i="3"/>
  <c r="T443" i="3"/>
  <c r="S443" i="3" s="1"/>
  <c r="T442" i="3"/>
  <c r="S442" i="3" s="1"/>
  <c r="T441" i="3"/>
  <c r="S441" i="3"/>
  <c r="T440" i="3"/>
  <c r="S440" i="3"/>
  <c r="T439" i="3"/>
  <c r="S439" i="3" s="1"/>
  <c r="T438" i="3"/>
  <c r="S438" i="3"/>
  <c r="T437" i="3"/>
  <c r="V437" i="3"/>
  <c r="T436" i="3"/>
  <c r="S436" i="3" s="1"/>
  <c r="T435" i="3"/>
  <c r="S435" i="3"/>
  <c r="D2" i="20"/>
  <c r="B2" i="20"/>
  <c r="C2" i="20"/>
  <c r="A2" i="20"/>
  <c r="T434" i="3"/>
  <c r="S434" i="3"/>
  <c r="T433" i="3"/>
  <c r="S433" i="3" s="1"/>
  <c r="T432" i="3"/>
  <c r="S432" i="3"/>
  <c r="T431" i="3"/>
  <c r="S431" i="3"/>
  <c r="T430" i="3"/>
  <c r="S430" i="3" s="1"/>
  <c r="T429" i="3"/>
  <c r="S429" i="3"/>
  <c r="T428" i="3"/>
  <c r="S428" i="3" s="1"/>
  <c r="T427" i="3"/>
  <c r="V427" i="3" s="1"/>
  <c r="S427" i="3"/>
  <c r="T426" i="3"/>
  <c r="S426" i="3"/>
  <c r="T425" i="3"/>
  <c r="S425" i="3"/>
  <c r="T424" i="3"/>
  <c r="S424" i="3" s="1"/>
  <c r="T423" i="3"/>
  <c r="S423" i="3" s="1"/>
  <c r="T422" i="3"/>
  <c r="S422" i="3" s="1"/>
  <c r="T421" i="3"/>
  <c r="S421" i="3"/>
  <c r="T420" i="3"/>
  <c r="S420" i="3"/>
  <c r="T419" i="3"/>
  <c r="S419" i="3" s="1"/>
  <c r="T418" i="3"/>
  <c r="S418" i="3"/>
  <c r="T417" i="3"/>
  <c r="S417" i="3"/>
  <c r="T416" i="3"/>
  <c r="S416" i="3" s="1"/>
  <c r="T415" i="3"/>
  <c r="S415" i="3" s="1"/>
  <c r="T414" i="3"/>
  <c r="S414" i="3" s="1"/>
  <c r="T413" i="3"/>
  <c r="S413" i="3"/>
  <c r="T412" i="3"/>
  <c r="S412" i="3"/>
  <c r="T411" i="3"/>
  <c r="S411" i="3" s="1"/>
  <c r="T410" i="3"/>
  <c r="S410" i="3"/>
  <c r="T409" i="3"/>
  <c r="S409" i="3"/>
  <c r="T408" i="3"/>
  <c r="S408" i="3" s="1"/>
  <c r="T407" i="3"/>
  <c r="S407" i="3" s="1"/>
  <c r="T406" i="3"/>
  <c r="S406" i="3" s="1"/>
  <c r="T405" i="3"/>
  <c r="S405" i="3"/>
  <c r="T404" i="3"/>
  <c r="S404" i="3"/>
  <c r="T403" i="3"/>
  <c r="S403" i="3" s="1"/>
  <c r="T402" i="3"/>
  <c r="S402" i="3"/>
  <c r="T401" i="3"/>
  <c r="S401" i="3"/>
  <c r="T400" i="3"/>
  <c r="S400" i="3" s="1"/>
  <c r="T399" i="3"/>
  <c r="S399" i="3" s="1"/>
  <c r="T398" i="3"/>
  <c r="S398" i="3" s="1"/>
  <c r="T397" i="3"/>
  <c r="S397" i="3"/>
  <c r="T396" i="3"/>
  <c r="S396" i="3"/>
  <c r="T395" i="3"/>
  <c r="S395" i="3" s="1"/>
  <c r="T394" i="3"/>
  <c r="S394" i="3" s="1"/>
  <c r="T393" i="3"/>
  <c r="S393" i="3"/>
  <c r="T392" i="3"/>
  <c r="S392" i="3"/>
  <c r="T391" i="3"/>
  <c r="S391" i="3" s="1"/>
  <c r="T390" i="3"/>
  <c r="S390" i="3"/>
  <c r="T389" i="3"/>
  <c r="S389" i="3" s="1"/>
  <c r="T388" i="3"/>
  <c r="S388" i="3"/>
  <c r="T387" i="3"/>
  <c r="S387" i="3"/>
  <c r="T386" i="3"/>
  <c r="S386" i="3" s="1"/>
  <c r="T385" i="3"/>
  <c r="S385" i="3"/>
  <c r="T384" i="3"/>
  <c r="S384" i="3"/>
  <c r="T383" i="3"/>
  <c r="S383" i="3" s="1"/>
  <c r="T382" i="3"/>
  <c r="S382" i="3"/>
  <c r="T381" i="3"/>
  <c r="S381" i="3" s="1"/>
  <c r="T380" i="3"/>
  <c r="S380" i="3"/>
  <c r="T379" i="3"/>
  <c r="S379" i="3"/>
  <c r="T378" i="3"/>
  <c r="S378" i="3" s="1"/>
  <c r="T377" i="3"/>
  <c r="S377" i="3"/>
  <c r="T138" i="3"/>
  <c r="V138" i="3"/>
  <c r="T376" i="3"/>
  <c r="S376" i="3" s="1"/>
  <c r="T375" i="3"/>
  <c r="S375" i="3"/>
  <c r="T374" i="3"/>
  <c r="S374" i="3" s="1"/>
  <c r="T373" i="3"/>
  <c r="S373" i="3"/>
  <c r="T372" i="3"/>
  <c r="S372" i="3"/>
  <c r="V372" i="3"/>
  <c r="T371" i="3"/>
  <c r="S371" i="3"/>
  <c r="V371" i="3"/>
  <c r="T370" i="3"/>
  <c r="V370" i="3"/>
  <c r="T369" i="3"/>
  <c r="V369" i="3" s="1"/>
  <c r="T368" i="3"/>
  <c r="V368" i="3"/>
  <c r="T367" i="3"/>
  <c r="S367" i="3"/>
  <c r="V367" i="3"/>
  <c r="T366" i="3"/>
  <c r="S366" i="3"/>
  <c r="T365" i="3"/>
  <c r="S365" i="3" s="1"/>
  <c r="T364" i="3"/>
  <c r="S364" i="3" s="1"/>
  <c r="T363" i="3"/>
  <c r="S363" i="3" s="1"/>
  <c r="T362" i="3"/>
  <c r="S362" i="3"/>
  <c r="V362" i="3"/>
  <c r="T361" i="3"/>
  <c r="V361" i="3"/>
  <c r="T360" i="3"/>
  <c r="S360" i="3" s="1"/>
  <c r="T359" i="3"/>
  <c r="S359" i="3" s="1"/>
  <c r="T358" i="3"/>
  <c r="V358" i="3" s="1"/>
  <c r="S358" i="3"/>
  <c r="T357" i="3"/>
  <c r="S357" i="3" s="1"/>
  <c r="T355" i="3"/>
  <c r="V355" i="3" s="1"/>
  <c r="T356" i="3"/>
  <c r="S356" i="3"/>
  <c r="T353" i="3"/>
  <c r="V353" i="3"/>
  <c r="S353" i="3"/>
  <c r="T354" i="3"/>
  <c r="S354" i="3"/>
  <c r="T352" i="3"/>
  <c r="V352" i="3" s="1"/>
  <c r="T351" i="3"/>
  <c r="S351" i="3"/>
  <c r="T350" i="3"/>
  <c r="S350" i="3"/>
  <c r="T349" i="3"/>
  <c r="S349" i="3" s="1"/>
  <c r="T348" i="3"/>
  <c r="S348" i="3"/>
  <c r="T347" i="3"/>
  <c r="S347" i="3" s="1"/>
  <c r="T346" i="3"/>
  <c r="S346" i="3" s="1"/>
  <c r="V346" i="3"/>
  <c r="T345" i="3"/>
  <c r="V345" i="3"/>
  <c r="T344" i="3"/>
  <c r="V344" i="3"/>
  <c r="S344" i="3"/>
  <c r="T343" i="3"/>
  <c r="S343" i="3"/>
  <c r="T342" i="3"/>
  <c r="S342" i="3" s="1"/>
  <c r="T341" i="3"/>
  <c r="S341" i="3"/>
  <c r="T340" i="3"/>
  <c r="S340" i="3" s="1"/>
  <c r="T339" i="3"/>
  <c r="S339" i="3" s="1"/>
  <c r="T338" i="3"/>
  <c r="V338" i="3" s="1"/>
  <c r="T337" i="3"/>
  <c r="V337" i="3"/>
  <c r="T336" i="3"/>
  <c r="V336" i="3"/>
  <c r="T335" i="3"/>
  <c r="S335" i="3" s="1"/>
  <c r="T334" i="3"/>
  <c r="S334" i="3"/>
  <c r="T333" i="3"/>
  <c r="S333" i="3"/>
  <c r="V333" i="3"/>
  <c r="T332" i="3"/>
  <c r="S332" i="3"/>
  <c r="H1" i="4"/>
  <c r="T331" i="3"/>
  <c r="V331" i="3"/>
  <c r="T330" i="3"/>
  <c r="S330" i="3" s="1"/>
  <c r="T329" i="3"/>
  <c r="S329" i="3"/>
  <c r="T328" i="3"/>
  <c r="S328" i="3" s="1"/>
  <c r="T327" i="3"/>
  <c r="S327" i="3"/>
  <c r="T326" i="3"/>
  <c r="S326" i="3" s="1"/>
  <c r="T325" i="3"/>
  <c r="T324" i="3"/>
  <c r="V324" i="3" s="1"/>
  <c r="T323" i="3"/>
  <c r="T322" i="3"/>
  <c r="T321" i="3"/>
  <c r="S321" i="3" s="1"/>
  <c r="T320" i="3"/>
  <c r="S320" i="3" s="1"/>
  <c r="T319" i="3"/>
  <c r="T318" i="3"/>
  <c r="V318" i="3"/>
  <c r="T317" i="3"/>
  <c r="T316" i="3"/>
  <c r="T315" i="3"/>
  <c r="T314" i="3"/>
  <c r="T313" i="3"/>
  <c r="S313" i="3" s="1"/>
  <c r="T312" i="3"/>
  <c r="S312" i="3"/>
  <c r="T311" i="3"/>
  <c r="S311" i="3"/>
  <c r="T310" i="3"/>
  <c r="S310" i="3" s="1"/>
  <c r="T309" i="3"/>
  <c r="S309" i="3" s="1"/>
  <c r="T308" i="3"/>
  <c r="T307" i="3"/>
  <c r="T306" i="3"/>
  <c r="S306" i="3" s="1"/>
  <c r="T305" i="3"/>
  <c r="V305" i="3" s="1"/>
  <c r="T304" i="3"/>
  <c r="T303" i="3"/>
  <c r="S303" i="3"/>
  <c r="T302" i="3"/>
  <c r="V302" i="3"/>
  <c r="T301" i="3"/>
  <c r="S301" i="3" s="1"/>
  <c r="T300" i="3"/>
  <c r="T299" i="3"/>
  <c r="T298" i="3"/>
  <c r="T297" i="3"/>
  <c r="S297" i="3"/>
  <c r="T296" i="3"/>
  <c r="S296" i="3" s="1"/>
  <c r="T295" i="3"/>
  <c r="S295" i="3" s="1"/>
  <c r="T294" i="3"/>
  <c r="S294" i="3" s="1"/>
  <c r="T293" i="3"/>
  <c r="T292" i="3"/>
  <c r="S292" i="3" s="1"/>
  <c r="T291" i="3"/>
  <c r="T290" i="3"/>
  <c r="V290" i="3" s="1"/>
  <c r="T289" i="3"/>
  <c r="V289" i="3" s="1"/>
  <c r="T288" i="3"/>
  <c r="T287" i="3"/>
  <c r="V287" i="3" s="1"/>
  <c r="T286" i="3"/>
  <c r="V286" i="3"/>
  <c r="T285" i="3"/>
  <c r="T284" i="3"/>
  <c r="T283" i="3"/>
  <c r="V283" i="3" s="1"/>
  <c r="T282" i="3"/>
  <c r="T281" i="3"/>
  <c r="S281" i="3"/>
  <c r="T280" i="3"/>
  <c r="S280" i="3" s="1"/>
  <c r="T279" i="3"/>
  <c r="V279" i="3" s="1"/>
  <c r="S279" i="3"/>
  <c r="T278" i="3"/>
  <c r="S278" i="3"/>
  <c r="T277" i="3"/>
  <c r="T276" i="3"/>
  <c r="T275" i="3"/>
  <c r="T274" i="3"/>
  <c r="V274" i="3" s="1"/>
  <c r="T273" i="3"/>
  <c r="V273" i="3"/>
  <c r="T272" i="3"/>
  <c r="S272" i="3" s="1"/>
  <c r="T271" i="3"/>
  <c r="S271" i="3" s="1"/>
  <c r="T270" i="3"/>
  <c r="V270" i="3"/>
  <c r="T269" i="3"/>
  <c r="T268" i="3"/>
  <c r="S268" i="3"/>
  <c r="T267" i="3"/>
  <c r="T266" i="3"/>
  <c r="T265" i="3"/>
  <c r="V265" i="3" s="1"/>
  <c r="T264" i="3"/>
  <c r="S264" i="3"/>
  <c r="T263" i="3"/>
  <c r="S263" i="3"/>
  <c r="T262" i="3"/>
  <c r="S262" i="3" s="1"/>
  <c r="T261" i="3"/>
  <c r="T260" i="3"/>
  <c r="T259" i="3"/>
  <c r="T258" i="3"/>
  <c r="T257" i="3"/>
  <c r="V257" i="3"/>
  <c r="T256" i="3"/>
  <c r="T255" i="3"/>
  <c r="S255" i="3"/>
  <c r="T254" i="3"/>
  <c r="V254" i="3"/>
  <c r="T253" i="3"/>
  <c r="S253" i="3" s="1"/>
  <c r="T252" i="3"/>
  <c r="T251" i="3"/>
  <c r="V251" i="3" s="1"/>
  <c r="T250" i="3"/>
  <c r="T249" i="3"/>
  <c r="S249" i="3"/>
  <c r="T248" i="3"/>
  <c r="S248" i="3" s="1"/>
  <c r="T247" i="3"/>
  <c r="S247" i="3"/>
  <c r="T246" i="3"/>
  <c r="S246" i="3"/>
  <c r="T245" i="3"/>
  <c r="S245" i="3" s="1"/>
  <c r="T244" i="3"/>
  <c r="T243" i="3"/>
  <c r="V243" i="3" s="1"/>
  <c r="T242" i="3"/>
  <c r="S242" i="3" s="1"/>
  <c r="T241" i="3"/>
  <c r="V241" i="3"/>
  <c r="T240" i="3"/>
  <c r="V240" i="3" s="1"/>
  <c r="T239" i="3"/>
  <c r="V239" i="3" s="1"/>
  <c r="T238" i="3"/>
  <c r="V238" i="3"/>
  <c r="T237" i="3"/>
  <c r="T236" i="3"/>
  <c r="V236" i="3" s="1"/>
  <c r="T235" i="3"/>
  <c r="V235" i="3" s="1"/>
  <c r="T234" i="3"/>
  <c r="S234" i="3" s="1"/>
  <c r="T233" i="3"/>
  <c r="S233" i="3" s="1"/>
  <c r="T232" i="3"/>
  <c r="S232" i="3"/>
  <c r="T230" i="3"/>
  <c r="S230" i="3"/>
  <c r="T231" i="3"/>
  <c r="S231" i="3" s="1"/>
  <c r="T229" i="3"/>
  <c r="T228" i="3"/>
  <c r="V228" i="3"/>
  <c r="T227" i="3"/>
  <c r="T226" i="3"/>
  <c r="T225" i="3"/>
  <c r="S225" i="3" s="1"/>
  <c r="T224" i="3"/>
  <c r="T223" i="3"/>
  <c r="S223" i="3" s="1"/>
  <c r="T222" i="3"/>
  <c r="V222" i="3"/>
  <c r="T221" i="3"/>
  <c r="T220" i="3"/>
  <c r="S220" i="3" s="1"/>
  <c r="T219" i="3"/>
  <c r="V219" i="3" s="1"/>
  <c r="T218" i="3"/>
  <c r="T217" i="3"/>
  <c r="S217" i="3"/>
  <c r="T216" i="3"/>
  <c r="S216" i="3"/>
  <c r="T215" i="3"/>
  <c r="V215" i="3" s="1"/>
  <c r="T214" i="3"/>
  <c r="S214" i="3"/>
  <c r="T213" i="3"/>
  <c r="T212" i="3"/>
  <c r="S212" i="3"/>
  <c r="T211" i="3"/>
  <c r="T210" i="3"/>
  <c r="S210" i="3" s="1"/>
  <c r="T209" i="3"/>
  <c r="S209" i="3" s="1"/>
  <c r="T208" i="3"/>
  <c r="T207" i="3"/>
  <c r="S207" i="3"/>
  <c r="T206" i="3"/>
  <c r="V206" i="3"/>
  <c r="T205" i="3"/>
  <c r="T204" i="3"/>
  <c r="T203" i="3"/>
  <c r="V203" i="3"/>
  <c r="T202" i="3"/>
  <c r="T201" i="3"/>
  <c r="V201" i="3" s="1"/>
  <c r="S201" i="3"/>
  <c r="T200" i="3"/>
  <c r="S200" i="3"/>
  <c r="T199" i="3"/>
  <c r="S199" i="3" s="1"/>
  <c r="T198" i="3"/>
  <c r="S198" i="3"/>
  <c r="T197" i="3"/>
  <c r="V197" i="3" s="1"/>
  <c r="T196" i="3"/>
  <c r="T195" i="3"/>
  <c r="T194" i="3"/>
  <c r="V194" i="3" s="1"/>
  <c r="T193" i="3"/>
  <c r="S193" i="3"/>
  <c r="T192" i="3"/>
  <c r="T191" i="3"/>
  <c r="V191" i="3" s="1"/>
  <c r="S191" i="3"/>
  <c r="T190" i="3"/>
  <c r="V190" i="3"/>
  <c r="T189" i="3"/>
  <c r="T188" i="3"/>
  <c r="V188" i="3" s="1"/>
  <c r="T187" i="3"/>
  <c r="V187" i="3"/>
  <c r="T186" i="3"/>
  <c r="S186" i="3" s="1"/>
  <c r="T185" i="3"/>
  <c r="S185" i="3"/>
  <c r="T184" i="3"/>
  <c r="S184" i="3" s="1"/>
  <c r="T183" i="3"/>
  <c r="S183" i="3"/>
  <c r="T182" i="3"/>
  <c r="S182" i="3"/>
  <c r="T181" i="3"/>
  <c r="V181" i="3" s="1"/>
  <c r="T180" i="3"/>
  <c r="T179" i="3"/>
  <c r="S179" i="3" s="1"/>
  <c r="T178" i="3"/>
  <c r="V178" i="3" s="1"/>
  <c r="T177" i="3"/>
  <c r="S177" i="3"/>
  <c r="T176" i="3"/>
  <c r="S176" i="3" s="1"/>
  <c r="T175" i="3"/>
  <c r="S175" i="3"/>
  <c r="T174" i="3"/>
  <c r="V174" i="3" s="1"/>
  <c r="T173" i="3"/>
  <c r="V173" i="3" s="1"/>
  <c r="T172" i="3"/>
  <c r="V172" i="3" s="1"/>
  <c r="T171" i="3"/>
  <c r="V171" i="3"/>
  <c r="T170" i="3"/>
  <c r="T169" i="3"/>
  <c r="S169" i="3" s="1"/>
  <c r="T168" i="3"/>
  <c r="S168" i="3" s="1"/>
  <c r="T167" i="3"/>
  <c r="S167" i="3"/>
  <c r="T166" i="3"/>
  <c r="S166" i="3"/>
  <c r="T165" i="3"/>
  <c r="V165" i="3" s="1"/>
  <c r="T164" i="3"/>
  <c r="T163" i="3"/>
  <c r="T162" i="3"/>
  <c r="S162" i="3" s="1"/>
  <c r="T161" i="3"/>
  <c r="S161" i="3"/>
  <c r="T160" i="3"/>
  <c r="T159" i="3"/>
  <c r="S159" i="3" s="1"/>
  <c r="T158" i="3"/>
  <c r="V158" i="3" s="1"/>
  <c r="T157" i="3"/>
  <c r="V157" i="3" s="1"/>
  <c r="T156" i="3"/>
  <c r="S156" i="3" s="1"/>
  <c r="T155" i="3"/>
  <c r="V155" i="3"/>
  <c r="T154" i="3"/>
  <c r="S154" i="3" s="1"/>
  <c r="V154" i="3"/>
  <c r="T153" i="3"/>
  <c r="S153" i="3" s="1"/>
  <c r="T152" i="3"/>
  <c r="S152" i="3"/>
  <c r="T151" i="3"/>
  <c r="V151" i="3"/>
  <c r="T150" i="3"/>
  <c r="S150" i="3" s="1"/>
  <c r="T149" i="3"/>
  <c r="T148" i="3"/>
  <c r="V148" i="3"/>
  <c r="T147" i="3"/>
  <c r="T146" i="3"/>
  <c r="V146" i="3"/>
  <c r="T145" i="3"/>
  <c r="S145" i="3"/>
  <c r="T144" i="3"/>
  <c r="S144" i="3" s="1"/>
  <c r="T143" i="3"/>
  <c r="S143" i="3" s="1"/>
  <c r="V143" i="3"/>
  <c r="T142" i="3"/>
  <c r="S142" i="3"/>
  <c r="T141" i="3"/>
  <c r="V141" i="3" s="1"/>
  <c r="N26" i="5"/>
  <c r="M26" i="5"/>
  <c r="P3" i="2"/>
  <c r="P2"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T140" i="3"/>
  <c r="V140" i="3" s="1"/>
  <c r="T139" i="3"/>
  <c r="V139" i="3"/>
  <c r="T137" i="3"/>
  <c r="V137" i="3"/>
  <c r="T136" i="3"/>
  <c r="V136" i="3" s="1"/>
  <c r="T135" i="3"/>
  <c r="V135" i="3" s="1"/>
  <c r="T134" i="3"/>
  <c r="V134" i="3" s="1"/>
  <c r="T133" i="3"/>
  <c r="V133" i="3"/>
  <c r="T132" i="3"/>
  <c r="V132" i="3"/>
  <c r="T131" i="3"/>
  <c r="V131" i="3" s="1"/>
  <c r="T130" i="3"/>
  <c r="V130" i="3"/>
  <c r="T129" i="3"/>
  <c r="V129" i="3"/>
  <c r="T128" i="3"/>
  <c r="V128" i="3" s="1"/>
  <c r="T127" i="3"/>
  <c r="V127" i="3" s="1"/>
  <c r="T126" i="3"/>
  <c r="S126" i="3" s="1"/>
  <c r="V126" i="3"/>
  <c r="T125" i="3"/>
  <c r="S125" i="3" s="1"/>
  <c r="T124" i="3"/>
  <c r="V124" i="3"/>
  <c r="T123" i="3"/>
  <c r="S123" i="3"/>
  <c r="T122" i="3"/>
  <c r="V122" i="3" s="1"/>
  <c r="T121" i="3"/>
  <c r="S121" i="3" s="1"/>
  <c r="V121" i="3"/>
  <c r="T120" i="3"/>
  <c r="V120" i="3"/>
  <c r="T119" i="3"/>
  <c r="V119" i="3" s="1"/>
  <c r="T118" i="3"/>
  <c r="V118" i="3"/>
  <c r="T117" i="3"/>
  <c r="V117" i="3" s="1"/>
  <c r="T116" i="3"/>
  <c r="V116" i="3"/>
  <c r="T115" i="3"/>
  <c r="V115" i="3"/>
  <c r="T114" i="3"/>
  <c r="V114" i="3" s="1"/>
  <c r="T113" i="3"/>
  <c r="S113" i="3" s="1"/>
  <c r="V113" i="3"/>
  <c r="T112" i="3"/>
  <c r="V112" i="3"/>
  <c r="T111" i="3"/>
  <c r="V111" i="3" s="1"/>
  <c r="T110" i="3"/>
  <c r="S110" i="3"/>
  <c r="T109" i="3"/>
  <c r="S109" i="3" s="1"/>
  <c r="T108" i="3"/>
  <c r="S108" i="3" s="1"/>
  <c r="V108" i="3"/>
  <c r="T107" i="3"/>
  <c r="V107" i="3"/>
  <c r="T106" i="3"/>
  <c r="V106" i="3"/>
  <c r="T105" i="3"/>
  <c r="V105" i="3" s="1"/>
  <c r="S105" i="3"/>
  <c r="T104" i="3"/>
  <c r="V104" i="3" s="1"/>
  <c r="T103" i="3"/>
  <c r="V103" i="3"/>
  <c r="T102" i="3"/>
  <c r="V102" i="3"/>
  <c r="T101" i="3"/>
  <c r="V101" i="3" s="1"/>
  <c r="T100" i="3"/>
  <c r="V100" i="3"/>
  <c r="T99" i="3"/>
  <c r="V99" i="3"/>
  <c r="T98" i="3"/>
  <c r="V98" i="3" s="1"/>
  <c r="T97" i="3"/>
  <c r="V97" i="3" s="1"/>
  <c r="T96" i="3"/>
  <c r="V96" i="3" s="1"/>
  <c r="T95" i="3"/>
  <c r="S95" i="3" s="1"/>
  <c r="V95" i="3"/>
  <c r="T94" i="3"/>
  <c r="V94" i="3"/>
  <c r="T93" i="3"/>
  <c r="S93" i="3" s="1"/>
  <c r="T92" i="3"/>
  <c r="V92" i="3"/>
  <c r="T91" i="3"/>
  <c r="V91" i="3"/>
  <c r="T90" i="3"/>
  <c r="S90" i="3" s="1"/>
  <c r="T89" i="3"/>
  <c r="S89" i="3" s="1"/>
  <c r="T2" i="3"/>
  <c r="S2" i="3" s="1"/>
  <c r="T3" i="3"/>
  <c r="S3" i="3"/>
  <c r="T4" i="3"/>
  <c r="S4" i="3" s="1"/>
  <c r="V4" i="3"/>
  <c r="T5" i="3"/>
  <c r="S5" i="3" s="1"/>
  <c r="T6" i="3"/>
  <c r="S6" i="3" s="1"/>
  <c r="T7" i="3"/>
  <c r="V7" i="3"/>
  <c r="T8" i="3"/>
  <c r="S8" i="3"/>
  <c r="T9" i="3"/>
  <c r="V9" i="3" s="1"/>
  <c r="T10" i="3"/>
  <c r="S10" i="3"/>
  <c r="T11" i="3"/>
  <c r="V11" i="3" s="1"/>
  <c r="T12" i="3"/>
  <c r="V12" i="3"/>
  <c r="T13" i="3"/>
  <c r="V13" i="3"/>
  <c r="T14" i="3"/>
  <c r="V14" i="3" s="1"/>
  <c r="T15" i="3"/>
  <c r="S15" i="3" s="1"/>
  <c r="V15" i="3"/>
  <c r="T16" i="3"/>
  <c r="S16" i="3"/>
  <c r="T17" i="3"/>
  <c r="V17" i="3" s="1"/>
  <c r="T18" i="3"/>
  <c r="V18" i="3"/>
  <c r="T19" i="3"/>
  <c r="V19" i="3" s="1"/>
  <c r="T20" i="3"/>
  <c r="S20" i="3" s="1"/>
  <c r="V20" i="3"/>
  <c r="T21" i="3"/>
  <c r="V21" i="3"/>
  <c r="T22" i="3"/>
  <c r="V22" i="3" s="1"/>
  <c r="T23" i="3"/>
  <c r="S23" i="3" s="1"/>
  <c r="V23" i="3"/>
  <c r="T24" i="3"/>
  <c r="V24" i="3"/>
  <c r="T25" i="3"/>
  <c r="V25" i="3" s="1"/>
  <c r="T26" i="3"/>
  <c r="V26" i="3"/>
  <c r="T27" i="3"/>
  <c r="V27" i="3" s="1"/>
  <c r="T28" i="3"/>
  <c r="S28" i="3" s="1"/>
  <c r="V28" i="3"/>
  <c r="T29" i="3"/>
  <c r="S29" i="3"/>
  <c r="V29" i="3"/>
  <c r="T30" i="3"/>
  <c r="V30" i="3"/>
  <c r="T31" i="3"/>
  <c r="V31" i="3" s="1"/>
  <c r="T32" i="3"/>
  <c r="V32" i="3" s="1"/>
  <c r="T33" i="3"/>
  <c r="V33" i="3" s="1"/>
  <c r="T34" i="3"/>
  <c r="V34" i="3"/>
  <c r="T35" i="3"/>
  <c r="S35" i="3"/>
  <c r="T36" i="3"/>
  <c r="V36" i="3" s="1"/>
  <c r="T37" i="3"/>
  <c r="V37" i="3" s="1"/>
  <c r="S37" i="3"/>
  <c r="T38" i="3"/>
  <c r="S38" i="3" s="1"/>
  <c r="V38" i="3"/>
  <c r="T39" i="3"/>
  <c r="V39" i="3"/>
  <c r="T40" i="3"/>
  <c r="V40" i="3" s="1"/>
  <c r="T41" i="3"/>
  <c r="S41" i="3"/>
  <c r="T42" i="3"/>
  <c r="S42" i="3" s="1"/>
  <c r="T43" i="3"/>
  <c r="V43" i="3"/>
  <c r="T44" i="3"/>
  <c r="V44" i="3"/>
  <c r="T45" i="3"/>
  <c r="S45" i="3" s="1"/>
  <c r="T46" i="3"/>
  <c r="S46" i="3" s="1"/>
  <c r="V46" i="3"/>
  <c r="T47" i="3"/>
  <c r="V47" i="3"/>
  <c r="T48" i="3"/>
  <c r="V48" i="3" s="1"/>
  <c r="T49" i="3"/>
  <c r="V49" i="3"/>
  <c r="T50" i="3"/>
  <c r="V50" i="3" s="1"/>
  <c r="T51" i="3"/>
  <c r="S51" i="3" s="1"/>
  <c r="V51" i="3"/>
  <c r="T52" i="3"/>
  <c r="S52" i="3"/>
  <c r="T53" i="3"/>
  <c r="S53" i="3" s="1"/>
  <c r="T54" i="3"/>
  <c r="S54" i="3"/>
  <c r="T55" i="3"/>
  <c r="V55" i="3"/>
  <c r="T56" i="3"/>
  <c r="V56" i="3" s="1"/>
  <c r="T57" i="3"/>
  <c r="V57" i="3"/>
  <c r="T58" i="3"/>
  <c r="V58" i="3" s="1"/>
  <c r="T59" i="3"/>
  <c r="S59" i="3" s="1"/>
  <c r="V59" i="3"/>
  <c r="T60" i="3"/>
  <c r="V60" i="3"/>
  <c r="T61" i="3"/>
  <c r="S61" i="3" s="1"/>
  <c r="T62" i="3"/>
  <c r="S62" i="3" s="1"/>
  <c r="T63" i="3"/>
  <c r="V63" i="3" s="1"/>
  <c r="T64" i="3"/>
  <c r="V64" i="3" s="1"/>
  <c r="T65" i="3"/>
  <c r="V65" i="3"/>
  <c r="T66" i="3"/>
  <c r="V66" i="3"/>
  <c r="T67" i="3"/>
  <c r="S67" i="3" s="1"/>
  <c r="T68" i="3"/>
  <c r="S68" i="3" s="1"/>
  <c r="V68" i="3"/>
  <c r="T69" i="3"/>
  <c r="S69" i="3"/>
  <c r="V69" i="3"/>
  <c r="T70" i="3"/>
  <c r="S70" i="3"/>
  <c r="T71" i="3"/>
  <c r="V71" i="3" s="1"/>
  <c r="T72" i="3"/>
  <c r="V72" i="3"/>
  <c r="T73" i="3"/>
  <c r="S73" i="3" s="1"/>
  <c r="T74" i="3"/>
  <c r="V74" i="3" s="1"/>
  <c r="S74" i="3"/>
  <c r="T75" i="3"/>
  <c r="S75" i="3"/>
  <c r="T76" i="3"/>
  <c r="V76" i="3" s="1"/>
  <c r="T77" i="3"/>
  <c r="S77" i="3" s="1"/>
  <c r="V77" i="3"/>
  <c r="T78" i="3"/>
  <c r="V78" i="3"/>
  <c r="T79" i="3"/>
  <c r="V79" i="3" s="1"/>
  <c r="T80" i="3"/>
  <c r="V80" i="3"/>
  <c r="T81" i="3"/>
  <c r="V81" i="3" s="1"/>
  <c r="T82" i="3"/>
  <c r="S82" i="3"/>
  <c r="T83" i="3"/>
  <c r="S83" i="3"/>
  <c r="T84" i="3"/>
  <c r="S84" i="3" s="1"/>
  <c r="T85" i="3"/>
  <c r="V85" i="3" s="1"/>
  <c r="S85" i="3"/>
  <c r="T86" i="3"/>
  <c r="V86" i="3"/>
  <c r="T87" i="3"/>
  <c r="V87" i="3" s="1"/>
  <c r="T88" i="3"/>
  <c r="V88" i="3"/>
  <c r="S34" i="3"/>
  <c r="S31" i="3"/>
  <c r="S47" i="3"/>
  <c r="S76" i="3"/>
  <c r="S21" i="3"/>
  <c r="S43" i="3"/>
  <c r="S13" i="3"/>
  <c r="S58" i="3"/>
  <c r="S79" i="3"/>
  <c r="S146" i="3"/>
  <c r="S147" i="3"/>
  <c r="V147" i="3"/>
  <c r="S148" i="3"/>
  <c r="S149" i="3"/>
  <c r="V149" i="3"/>
  <c r="V152" i="3"/>
  <c r="V156" i="3"/>
  <c r="S157" i="3"/>
  <c r="S160" i="3"/>
  <c r="V160" i="3"/>
  <c r="S163" i="3"/>
  <c r="V163" i="3"/>
  <c r="S164" i="3"/>
  <c r="V164" i="3"/>
  <c r="S165" i="3"/>
  <c r="V169" i="3"/>
  <c r="S170" i="3"/>
  <c r="V170" i="3"/>
  <c r="S171" i="3"/>
  <c r="S172" i="3"/>
  <c r="S173" i="3"/>
  <c r="V176" i="3"/>
  <c r="V179" i="3"/>
  <c r="S180" i="3"/>
  <c r="V180" i="3"/>
  <c r="S181" i="3"/>
  <c r="V183" i="3"/>
  <c r="V185" i="3"/>
  <c r="V186" i="3"/>
  <c r="S187" i="3"/>
  <c r="S188" i="3"/>
  <c r="S189" i="3"/>
  <c r="V189" i="3"/>
  <c r="S190" i="3"/>
  <c r="S192" i="3"/>
  <c r="V192" i="3"/>
  <c r="S195" i="3"/>
  <c r="V195" i="3"/>
  <c r="S196" i="3"/>
  <c r="V196" i="3"/>
  <c r="S197" i="3"/>
  <c r="V199" i="3"/>
  <c r="V200" i="3"/>
  <c r="S202" i="3"/>
  <c r="V202" i="3"/>
  <c r="S204" i="3"/>
  <c r="V204" i="3"/>
  <c r="S205" i="3"/>
  <c r="V205" i="3"/>
  <c r="S206" i="3"/>
  <c r="S208" i="3"/>
  <c r="V208" i="3"/>
  <c r="V210" i="3"/>
  <c r="S211" i="3"/>
  <c r="V211" i="3"/>
  <c r="V212" i="3"/>
  <c r="S213" i="3"/>
  <c r="V213" i="3"/>
  <c r="V216" i="3"/>
  <c r="V217" i="3"/>
  <c r="S218" i="3"/>
  <c r="V218" i="3"/>
  <c r="S219" i="3"/>
  <c r="S221" i="3"/>
  <c r="V221" i="3"/>
  <c r="S222" i="3"/>
  <c r="S224" i="3"/>
  <c r="V224" i="3"/>
  <c r="S226" i="3"/>
  <c r="V226" i="3"/>
  <c r="S227" i="3"/>
  <c r="V227" i="3"/>
  <c r="S228" i="3"/>
  <c r="S229" i="3"/>
  <c r="V229" i="3"/>
  <c r="V232" i="3"/>
  <c r="V233" i="3"/>
  <c r="V234" i="3"/>
  <c r="S236" i="3"/>
  <c r="S237" i="3"/>
  <c r="V237" i="3"/>
  <c r="S238" i="3"/>
  <c r="S239" i="3"/>
  <c r="S240" i="3"/>
  <c r="V242" i="3"/>
  <c r="S243" i="3"/>
  <c r="S244" i="3"/>
  <c r="V244" i="3"/>
  <c r="V245" i="3"/>
  <c r="V248" i="3"/>
  <c r="V249" i="3"/>
  <c r="S250" i="3"/>
  <c r="V250" i="3"/>
  <c r="S252" i="3"/>
  <c r="V252" i="3"/>
  <c r="S254" i="3"/>
  <c r="V255" i="3"/>
  <c r="S256" i="3"/>
  <c r="V256" i="3"/>
  <c r="S258" i="3"/>
  <c r="V258" i="3"/>
  <c r="S259" i="3"/>
  <c r="V259" i="3"/>
  <c r="S260" i="3"/>
  <c r="V260" i="3"/>
  <c r="S261" i="3"/>
  <c r="V261" i="3"/>
  <c r="V263" i="3"/>
  <c r="V264" i="3"/>
  <c r="S266" i="3"/>
  <c r="V266" i="3"/>
  <c r="S267" i="3"/>
  <c r="V267" i="3"/>
  <c r="V268" i="3"/>
  <c r="S269" i="3"/>
  <c r="V269" i="3"/>
  <c r="S270" i="3"/>
  <c r="V271" i="3"/>
  <c r="V272" i="3"/>
  <c r="S274" i="3"/>
  <c r="S275" i="3"/>
  <c r="V275" i="3"/>
  <c r="S276" i="3"/>
  <c r="V276" i="3"/>
  <c r="S277" i="3"/>
  <c r="V277" i="3"/>
  <c r="V280" i="3"/>
  <c r="V281" i="3"/>
  <c r="S282" i="3"/>
  <c r="V282" i="3"/>
  <c r="S283" i="3"/>
  <c r="S284" i="3"/>
  <c r="V284" i="3"/>
  <c r="S285" i="3"/>
  <c r="V285" i="3"/>
  <c r="S286" i="3"/>
  <c r="S288" i="3"/>
  <c r="V288" i="3"/>
  <c r="S290" i="3"/>
  <c r="S291" i="3"/>
  <c r="V291" i="3"/>
  <c r="V292" i="3"/>
  <c r="S293" i="3"/>
  <c r="V293" i="3"/>
  <c r="V295" i="3"/>
  <c r="V296" i="3"/>
  <c r="V297" i="3"/>
  <c r="S298" i="3"/>
  <c r="V298" i="3"/>
  <c r="S299" i="3"/>
  <c r="V299" i="3"/>
  <c r="S300" i="3"/>
  <c r="V300" i="3"/>
  <c r="V301" i="3"/>
  <c r="S302" i="3"/>
  <c r="V303" i="3"/>
  <c r="S304" i="3"/>
  <c r="V304" i="3"/>
  <c r="V306" i="3"/>
  <c r="S307" i="3"/>
  <c r="V307" i="3"/>
  <c r="S308" i="3"/>
  <c r="V308" i="3"/>
  <c r="V311" i="3"/>
  <c r="V312" i="3"/>
  <c r="S314" i="3"/>
  <c r="V314" i="3"/>
  <c r="S315" i="3"/>
  <c r="V315" i="3"/>
  <c r="S316" i="3"/>
  <c r="V316" i="3"/>
  <c r="S317" i="3"/>
  <c r="V317" i="3"/>
  <c r="S318" i="3"/>
  <c r="S319" i="3"/>
  <c r="V319" i="3"/>
  <c r="S322" i="3"/>
  <c r="V322" i="3"/>
  <c r="S323" i="3"/>
  <c r="V323" i="3"/>
  <c r="S324" i="3"/>
  <c r="S325" i="3"/>
  <c r="V325" i="3"/>
  <c r="V327" i="3"/>
  <c r="V328" i="3"/>
  <c r="V329" i="3"/>
  <c r="V330" i="3"/>
  <c r="S331" i="3"/>
  <c r="S66" i="3"/>
  <c r="S64" i="3"/>
  <c r="S60" i="3"/>
  <c r="S57" i="3"/>
  <c r="S55" i="3"/>
  <c r="S49" i="3"/>
  <c r="S48" i="3"/>
  <c r="S44" i="3"/>
  <c r="S32" i="3"/>
  <c r="S18" i="3"/>
  <c r="S12" i="3"/>
  <c r="S9" i="3"/>
  <c r="S91" i="3"/>
  <c r="S94" i="3"/>
  <c r="S101" i="3"/>
  <c r="S102" i="3"/>
  <c r="S111" i="3"/>
  <c r="S112" i="3"/>
  <c r="S115" i="3"/>
  <c r="S116" i="3"/>
  <c r="S118" i="3"/>
  <c r="S119" i="3"/>
  <c r="S120" i="3"/>
  <c r="S122" i="3"/>
  <c r="S124" i="3"/>
  <c r="S128" i="3"/>
  <c r="S130" i="3"/>
  <c r="S132" i="3"/>
  <c r="S133" i="3"/>
  <c r="S134" i="3"/>
  <c r="S136" i="3"/>
  <c r="S137" i="3"/>
  <c r="S138" i="3"/>
  <c r="S140" i="3"/>
  <c r="S141" i="3"/>
  <c r="S103" i="3"/>
  <c r="S72" i="3"/>
  <c r="V349" i="3"/>
  <c r="V383" i="3"/>
  <c r="V394" i="3"/>
  <c r="V404" i="3"/>
  <c r="V415" i="3"/>
  <c r="V426" i="3"/>
  <c r="S19" i="3"/>
  <c r="S80" i="3"/>
  <c r="V247" i="3"/>
  <c r="S203" i="3"/>
  <c r="V168" i="3"/>
  <c r="V342" i="3"/>
  <c r="V374" i="3"/>
  <c r="S106" i="3"/>
  <c r="S71" i="3"/>
  <c r="S155" i="3"/>
  <c r="S39" i="3"/>
  <c r="S56" i="3"/>
  <c r="S99" i="3"/>
  <c r="S33" i="3"/>
  <c r="S87" i="3"/>
  <c r="S235" i="3"/>
  <c r="V223" i="3"/>
  <c r="S36" i="3"/>
  <c r="S7" i="3"/>
  <c r="V52" i="3"/>
  <c r="V110" i="3"/>
  <c r="V436" i="3"/>
  <c r="S98" i="3"/>
  <c r="S88" i="3"/>
  <c r="V153" i="3"/>
  <c r="V8" i="3"/>
  <c r="S336" i="3"/>
  <c r="V351" i="3"/>
  <c r="S368" i="3"/>
  <c r="V376" i="3"/>
  <c r="V386" i="3"/>
  <c r="V396" i="3"/>
  <c r="V407" i="3"/>
  <c r="V418" i="3"/>
  <c r="V428" i="3"/>
  <c r="V175" i="3"/>
  <c r="S24" i="3"/>
  <c r="S337" i="3"/>
  <c r="S352" i="3"/>
  <c r="V387" i="3"/>
  <c r="V419" i="3"/>
  <c r="V438" i="3"/>
  <c r="V230" i="3"/>
  <c r="S174" i="3"/>
  <c r="V16" i="3"/>
  <c r="V123" i="3"/>
  <c r="S338" i="3"/>
  <c r="S370" i="3"/>
  <c r="V378" i="3"/>
  <c r="V388" i="3"/>
  <c r="V399" i="3"/>
  <c r="V410" i="3"/>
  <c r="V420" i="3"/>
  <c r="V431" i="3"/>
  <c r="V439" i="3"/>
  <c r="V379" i="3"/>
  <c r="V411" i="3"/>
  <c r="V440" i="3"/>
  <c r="V207" i="3"/>
  <c r="S135" i="3"/>
  <c r="V184" i="3"/>
  <c r="V159" i="3"/>
  <c r="S27" i="3"/>
  <c r="V142" i="3"/>
  <c r="V347" i="3"/>
  <c r="V332" i="3"/>
  <c r="S355" i="3"/>
  <c r="V364" i="3"/>
  <c r="V380" i="3"/>
  <c r="V391" i="3"/>
  <c r="V402" i="3"/>
  <c r="V412" i="3"/>
  <c r="V423" i="3"/>
  <c r="V434" i="3"/>
  <c r="V441" i="3"/>
  <c r="V348" i="3"/>
  <c r="V403" i="3"/>
  <c r="V442" i="3"/>
  <c r="S100" i="3"/>
  <c r="V83" i="3"/>
  <c r="V75" i="3"/>
  <c r="V67" i="3"/>
  <c r="V35" i="3"/>
  <c r="V3" i="3"/>
  <c r="S345" i="3"/>
  <c r="S361" i="3"/>
  <c r="V321" i="3"/>
  <c r="V225" i="3"/>
  <c r="V209" i="3"/>
  <c r="V193" i="3"/>
  <c r="V145" i="3"/>
  <c r="V177" i="3"/>
  <c r="V161" i="3"/>
  <c r="S96" i="3"/>
  <c r="S25" i="3"/>
  <c r="S65" i="3"/>
  <c r="S305" i="3"/>
  <c r="S289" i="3"/>
  <c r="S273" i="3"/>
  <c r="S257" i="3"/>
  <c r="S241" i="3"/>
  <c r="S26" i="3"/>
  <c r="V82" i="3"/>
  <c r="V42" i="3"/>
  <c r="V10" i="3"/>
  <c r="V2" i="3"/>
  <c r="V341" i="3"/>
  <c r="V357" i="3"/>
  <c r="V373" i="3"/>
  <c r="S86" i="3"/>
  <c r="S129" i="3"/>
  <c r="V73" i="3"/>
  <c r="V41" i="3"/>
  <c r="V89" i="3"/>
  <c r="V167" i="3"/>
  <c r="S151" i="3"/>
  <c r="V326" i="3"/>
  <c r="V310" i="3"/>
  <c r="V294" i="3"/>
  <c r="V278" i="3"/>
  <c r="V262" i="3"/>
  <c r="V246" i="3"/>
  <c r="V231" i="3"/>
  <c r="V214" i="3"/>
  <c r="V198" i="3"/>
  <c r="V182" i="3"/>
  <c r="V166" i="3"/>
  <c r="V150" i="3"/>
  <c r="S78" i="3"/>
  <c r="S14" i="3"/>
  <c r="V354" i="3"/>
  <c r="V381" i="3"/>
  <c r="V389" i="3"/>
  <c r="V397" i="3"/>
  <c r="V405" i="3"/>
  <c r="V413" i="3"/>
  <c r="V421" i="3"/>
  <c r="V429" i="3"/>
  <c r="S30" i="3"/>
  <c r="S92" i="3"/>
  <c r="S22" i="3"/>
  <c r="S107" i="3"/>
  <c r="V343" i="3"/>
  <c r="V359" i="3"/>
  <c r="V375" i="3"/>
  <c r="V382" i="3"/>
  <c r="V390" i="3"/>
  <c r="V398" i="3"/>
  <c r="V406" i="3"/>
  <c r="V414" i="3"/>
  <c r="V422" i="3"/>
  <c r="V430" i="3"/>
  <c r="V435" i="3"/>
  <c r="S139" i="3"/>
  <c r="V70" i="3"/>
  <c r="V54" i="3"/>
  <c r="V356" i="3"/>
  <c r="V384" i="3"/>
  <c r="V392" i="3"/>
  <c r="V400" i="3"/>
  <c r="V408" i="3"/>
  <c r="V416" i="3"/>
  <c r="V424" i="3"/>
  <c r="V432" i="3"/>
  <c r="S437" i="3"/>
  <c r="V334" i="3"/>
  <c r="V350" i="3"/>
  <c r="V366" i="3"/>
  <c r="V377" i="3"/>
  <c r="V385" i="3"/>
  <c r="V393" i="3"/>
  <c r="V401" i="3"/>
  <c r="V409" i="3"/>
  <c r="V417" i="3"/>
  <c r="V425" i="3"/>
  <c r="V433" i="3"/>
  <c r="S117" i="3" l="1"/>
  <c r="S17" i="3"/>
  <c r="S251" i="3"/>
  <c r="V62" i="3"/>
  <c r="V90" i="3"/>
  <c r="V61" i="3"/>
  <c r="V365" i="3"/>
  <c r="S114" i="3"/>
  <c r="V84" i="3"/>
  <c r="V53" i="3"/>
  <c r="V45" i="3"/>
  <c r="V6" i="3"/>
  <c r="V144" i="3"/>
  <c r="V162" i="3"/>
  <c r="S265" i="3"/>
  <c r="S287" i="3"/>
  <c r="V220" i="3"/>
  <c r="V5" i="3"/>
  <c r="V339" i="3"/>
  <c r="V360" i="3"/>
  <c r="V395" i="3"/>
  <c r="S131" i="3"/>
  <c r="S194" i="3"/>
  <c r="V93" i="3"/>
  <c r="S215" i="3"/>
  <c r="V340" i="3"/>
  <c r="S97" i="3"/>
  <c r="S127" i="3"/>
  <c r="V313" i="3"/>
  <c r="S178" i="3"/>
  <c r="S63" i="3"/>
  <c r="S50" i="3"/>
  <c r="S81" i="3"/>
  <c r="S11" i="3"/>
  <c r="V109" i="3"/>
  <c r="V125" i="3"/>
  <c r="V443" i="3"/>
  <c r="V320" i="3"/>
  <c r="V309" i="3"/>
  <c r="V253" i="3"/>
  <c r="S158" i="3"/>
  <c r="S104" i="3"/>
  <c r="V335" i="3"/>
  <c r="S369" i="3"/>
  <c r="S40" i="3"/>
  <c r="V36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Mai Vu Lam</author>
  </authors>
  <commentList>
    <comment ref="U1" authorId="0" shapeId="0" xr:uid="{8BCD8603-2E6A-46EA-A9D8-AB5340F3F5B3}">
      <text>
        <r>
          <rPr>
            <b/>
            <sz val="9"/>
            <color indexed="81"/>
            <rFont val="Tahoma"/>
            <family val="2"/>
          </rPr>
          <t>Mai Vu Lam:</t>
        </r>
        <r>
          <rPr>
            <sz val="9"/>
            <color indexed="81"/>
            <rFont val="Tahoma"/>
            <family val="2"/>
          </rPr>
          <t xml:space="preserve">
1: xong bản vẽ
2: chạy mô phỏng
3: phê duyệt</t>
        </r>
      </text>
    </comment>
  </commentList>
</comments>
</file>

<file path=xl/sharedStrings.xml><?xml version="1.0" encoding="utf-8"?>
<sst xmlns="http://schemas.openxmlformats.org/spreadsheetml/2006/main" count="15411" uniqueCount="7959">
  <si>
    <t>STT</t>
  </si>
  <si>
    <t>Hẻm</t>
  </si>
  <si>
    <t>Tuyến đường</t>
  </si>
  <si>
    <t>Quận</t>
  </si>
  <si>
    <t>Phường</t>
  </si>
  <si>
    <t>Tủ điều khiển</t>
  </si>
  <si>
    <t>Độ rộng đường</t>
  </si>
  <si>
    <t>Đầu tuyến</t>
  </si>
  <si>
    <t>Cuối tuyến</t>
  </si>
  <si>
    <t>ngày khảo sát</t>
  </si>
  <si>
    <t>vĩ độ</t>
  </si>
  <si>
    <t>kinh độ</t>
  </si>
  <si>
    <t>Column1</t>
  </si>
  <si>
    <t>Người khảo sát</t>
  </si>
  <si>
    <t>Bản vẽ</t>
  </si>
  <si>
    <t>Column2</t>
  </si>
  <si>
    <t>f7448ee7-a89f-47c8-935b-7b9892bf7845</t>
  </si>
  <si>
    <t>62/14, Đường Liên Khu 16-18, Bình Trị Đông, Phường Bình Trị Đông, Ho Chi Minh City 71910, Vietnam</t>
  </si>
  <si>
    <t>62/14 Đường Liên Khu 16-18</t>
  </si>
  <si>
    <t>Ho Chi Minh City</t>
  </si>
  <si>
    <t>10.760285</t>
  </si>
  <si>
    <t>106.613335</t>
  </si>
  <si>
    <t>Giám đốc CSKV Bắc</t>
  </si>
  <si>
    <t>48680ded-ec0e-42ab-8266-e2db5508d41a</t>
  </si>
  <si>
    <t>63/25, Đường Liên Khu 16-18, Bình Trị Đông, Phường Bình Trị Đông, Ho Chi Minh City 71910, Vietnam</t>
  </si>
  <si>
    <t>63/25 Đường Liên Khu 16-18</t>
  </si>
  <si>
    <t>10.760231018066406</t>
  </si>
  <si>
    <t>106.613070673276</t>
  </si>
  <si>
    <t>86f7a8ea-aa1c-4ec2-9f6b-ce34401889c9</t>
  </si>
  <si>
    <t>211, Đường số 48, Phường 3, Ward 3, Ho Chi Minh City 72812, Vietnam</t>
  </si>
  <si>
    <t>211 Đường số 48</t>
  </si>
  <si>
    <t>10.757926940917969</t>
  </si>
  <si>
    <t>106.69923749204175</t>
  </si>
  <si>
    <t>1d9cc874-1cf2-4c2f-bc64-2a0cb5f9bbcc</t>
  </si>
  <si>
    <t>61/1, Lương Văn Can, Phường 15, Ward 15, Ho Chi Minh City 73013, Vietnam</t>
  </si>
  <si>
    <t>61/1 Lương Văn Can</t>
  </si>
  <si>
    <t>10.733963012695312</t>
  </si>
  <si>
    <t>106.64088704879671</t>
  </si>
  <si>
    <t>a1617ff9-86d9-4e31-896d-f72a9aebbd4f</t>
  </si>
  <si>
    <t>80/46/11/59, Phường 16, Ward 16, Ho Chi Minh City 73014, Vietnam</t>
  </si>
  <si>
    <t>80/46/11/59</t>
  </si>
  <si>
    <t>10.726997375488281</t>
  </si>
  <si>
    <t>106.62878864046031</t>
  </si>
  <si>
    <t>5610c3b1-28bc-46a3-bac8-4847a232f9c8</t>
  </si>
  <si>
    <t>10.7270023</t>
  </si>
  <si>
    <t>106.6288272</t>
  </si>
  <si>
    <t>918def6b-fe25-484a-a879-5a70027faaa3</t>
  </si>
  <si>
    <t>2069394, Hẻm 79/161/5 Phú Định, Phường 16, Ward 16, Ho Chi Minh City 73014, Vietnam</t>
  </si>
  <si>
    <t>2069394 Hẻm 79/161/5 Phú Định</t>
  </si>
  <si>
    <t>10.727485656738281</t>
  </si>
  <si>
    <t>106.62847367169175</t>
  </si>
  <si>
    <t>8c179cd5-6170-4845-9297-7dd04aeace77</t>
  </si>
  <si>
    <t>79/27, Hẻm 122 Đường Phú Định, Phường 16, Ward 16, Ho Chi Minh City 73014, Vietnam</t>
  </si>
  <si>
    <t>79/27 Hẻm 122 Đường Phú Định</t>
  </si>
  <si>
    <t>10.729576110839844</t>
  </si>
  <si>
    <t>106.63106651977853</t>
  </si>
  <si>
    <t>a9493832-357f-44d2-b33c-3d49eba79688</t>
  </si>
  <si>
    <t>413/37, Hẻm 413 Lê Văn Sỹ, Ward 12, Ho Chi Minh City 72409, Vietnam</t>
  </si>
  <si>
    <t>413/37 Hẻm 413 Lê Văn Sỹ</t>
  </si>
  <si>
    <t>10.787811279296875</t>
  </si>
  <si>
    <t>106.67554678739727</t>
  </si>
  <si>
    <t>bf5a564b-f056-4035-9d5c-8e877eed724e</t>
  </si>
  <si>
    <t>106.61308203863767</t>
  </si>
  <si>
    <t>0c4aab25-e528-4f09-9417-d63e35f4db51</t>
  </si>
  <si>
    <t>2, Cách Mạng Tháng Tám, An Hoi Ward, Thành Phố Bến Tre, Ben Tre 86119, Vietnam</t>
  </si>
  <si>
    <t>2 Cách Mạng Tháng Tám</t>
  </si>
  <si>
    <t>Ben Tre</t>
  </si>
  <si>
    <t>10.235375608327086</t>
  </si>
  <si>
    <t>106.37549422691238</t>
  </si>
  <si>
    <t>0ddfd9b7-69ab-4146-a716-870774516af5</t>
  </si>
  <si>
    <t>QL. 57, Hoa Nghia Commune, Chợ Lách district, Ben Tre 86307, Vietnam</t>
  </si>
  <si>
    <t>QL. 57</t>
  </si>
  <si>
    <t>10.250450134277344</t>
  </si>
  <si>
    <t>106.14517804173441</t>
  </si>
  <si>
    <t>b7e043ca-78c1-40be-8e84-118ee2faf145</t>
  </si>
  <si>
    <t>144, Bà Triệu, Phường Lê Hồng Phong, Thành Phố Quảng Ngãi, Quang Ngai 53107, Vietnam</t>
  </si>
  <si>
    <t>144 Bà Triệu</t>
  </si>
  <si>
    <t>Quang Ngai</t>
  </si>
  <si>
    <t>15.131263732910156</t>
  </si>
  <si>
    <t>108.80661728355425</t>
  </si>
  <si>
    <t>dc0c5658-e9b3-4c96-9abe-1d2d09b98728</t>
  </si>
  <si>
    <t>64, Cách Mạng Tháng Tám, Phường Nghĩa Chánh, Thành Phố Quảng Ngãi, Quang Ngai 53000, Vietnam</t>
  </si>
  <si>
    <t>64 Cách Mạng Tháng Tám</t>
  </si>
  <si>
    <t>15.120140075683594</t>
  </si>
  <si>
    <t>108.80863589633493</t>
  </si>
  <si>
    <t>1c63bff6-43d0-42cf-ae53-e01ce6a31c17</t>
  </si>
  <si>
    <t>81-83, Trần Quang Diệu, Phường Nghĩa Lộ, Thành Phố Quảng Ngãi, Quang Ngai 53114, Vietnam</t>
  </si>
  <si>
    <t>81-83 Trần Quang Diệu</t>
  </si>
  <si>
    <t>15.118003845214844</t>
  </si>
  <si>
    <t>108.79390203404128</t>
  </si>
  <si>
    <t>491de4a9-69bf-4fb7-a321-48fdb2807430</t>
  </si>
  <si>
    <t>200, Nguyễn Trãi, Phường Nghĩa Lộ, Thành Phố Quảng Ngãi, Quang Ngai 53114, Vietnam</t>
  </si>
  <si>
    <t>200 Nguyễn Trãi</t>
  </si>
  <si>
    <t>15.112884521484375</t>
  </si>
  <si>
    <t>108.78831854447755</t>
  </si>
  <si>
    <t>18a72275-af75-4488-ab9f-98713a13c443</t>
  </si>
  <si>
    <t>138, Nguyễn Trãi, Phường Nghĩa Lộ, Thành Phố Quảng Ngãi, Quang Ngai 53114, Vietnam</t>
  </si>
  <si>
    <t>138 Nguyễn Trãi</t>
  </si>
  <si>
    <t>15.112955482756167</t>
  </si>
  <si>
    <t>108.78981498211272</t>
  </si>
  <si>
    <t>a6f250b4-964f-4619-ab4b-72b026d7f167</t>
  </si>
  <si>
    <t>Trần Quốc Toản, Phường Trần Phú, Thành Phố Quảng Ngãi, Quang Ngai 53108, Vietnam</t>
  </si>
  <si>
    <t>Trần Quốc Toản</t>
  </si>
  <si>
    <t>15.122940063476562</t>
  </si>
  <si>
    <t>108.78079122873841</t>
  </si>
  <si>
    <t>4f2f953d-1c6b-40bf-a510-acfa858a3612</t>
  </si>
  <si>
    <t>21, Phường Trần Phú, Thành Phố Quảng Ngãi, Quang Ngai 53108, Vietnam</t>
  </si>
  <si>
    <t>15.125358581542969</t>
  </si>
  <si>
    <t>108.78195159761566</t>
  </si>
  <si>
    <t>632d26ba-934b-4b06-aaab-3feb82c80df9</t>
  </si>
  <si>
    <t>11, Trần Cao Vân, Phường Trần Phú, Thành Phố Quảng Ngãi, Quang Ngai 53108, Vietnam</t>
  </si>
  <si>
    <t>11 Trần Cao Vân</t>
  </si>
  <si>
    <t>15.126594543457031</t>
  </si>
  <si>
    <t>108.78184743235705</t>
  </si>
  <si>
    <t>8d798f14-b789-44eb-963c-727377f006aa</t>
  </si>
  <si>
    <t>760A, Hai Bà Trưng, Phường Trần Phú, Thành Phố Quảng Ngãi, Quang Ngai 53108, Vietnam</t>
  </si>
  <si>
    <t>760A Hai Bà Trưng</t>
  </si>
  <si>
    <t>15.125381469726562</t>
  </si>
  <si>
    <t>108.77995685937941</t>
  </si>
  <si>
    <t>a332ed78-bdd8-4c92-abc6-56a5bd11c4b1</t>
  </si>
  <si>
    <t>63, Phường Trần Phú, Thành Phố Quảng Ngãi, Quang Ngai 53108, Vietnam</t>
  </si>
  <si>
    <t>15.123275756835938</t>
  </si>
  <si>
    <t>108.78075065179947</t>
  </si>
  <si>
    <t>4fde5e8f-ff59-42d3-aaf5-fe03c86895b5</t>
  </si>
  <si>
    <t>882016, Nguyễn Thụy, Phường Trần Phú, Thành Phố Quảng Ngãi, Quang Ngai 53108, Vietnam</t>
  </si>
  <si>
    <t>882016 Nguyễn Thụy</t>
  </si>
  <si>
    <t>15.118705749511719</t>
  </si>
  <si>
    <t>108.78433920453189</t>
  </si>
  <si>
    <t>1fe389f9-e775-4d50-bce2-c8afe534502c</t>
  </si>
  <si>
    <t>197/3, Bích Khê, Phường Nghĩa Chánh, Thành Phố Quảng Ngãi, Quang Ngai 53109, Vietnam</t>
  </si>
  <si>
    <t>197/3 Bích Khê</t>
  </si>
  <si>
    <t>15.122566223144531</t>
  </si>
  <si>
    <t>108.81590198059561</t>
  </si>
  <si>
    <t>1b1238be-b633-4442-af04-48bb3202c5cd</t>
  </si>
  <si>
    <t>1055/28, Đường tỉnh 623C, Xã Nghĩa Dõng, Thành Phố Quảng Ngãi, Quang Ngai 53116, Vietnam</t>
  </si>
  <si>
    <t>1055/28 Đường tỉnh 623C</t>
  </si>
  <si>
    <t>15.11639404296875</t>
  </si>
  <si>
    <t>108.83045402851647</t>
  </si>
  <si>
    <t>9d55ba26-aa6c-4ba5-840c-da2da7a739c4</t>
  </si>
  <si>
    <t>95, Đường tỉnh 623C, Xã Nghĩa Dõng, Thành Phố Quảng Ngãi, Quang Ngai 53000, Vietnam</t>
  </si>
  <si>
    <t>95 Đường tỉnh 623C</t>
  </si>
  <si>
    <t>15.107734680175781</t>
  </si>
  <si>
    <t>108.84893963621444</t>
  </si>
  <si>
    <t>6b839b95-676f-42f2-9f6f-fd700df17d26</t>
  </si>
  <si>
    <t>DT626, Đường tỉnh 623C, Xã Nghĩa Hòa, Tư Nghĩa district, Quang Ngai 53908, Vietnam</t>
  </si>
  <si>
    <t>DT626 Đường tỉnh 623C</t>
  </si>
  <si>
    <t>15.103157043457031</t>
  </si>
  <si>
    <t>108.86199126189584</t>
  </si>
  <si>
    <t>3b0f6780-5454-4504-9d60-ed85c4a8ec46</t>
  </si>
  <si>
    <t>11, Đường tỉnh 623C, Xã Nghĩa Hòa, Tư Nghĩa district, Quang Ngai 53908, Vietnam</t>
  </si>
  <si>
    <t>11 Đường tỉnh 623C</t>
  </si>
  <si>
    <t>15.10162353515625</t>
  </si>
  <si>
    <t>108.86228010214911</t>
  </si>
  <si>
    <t>114e88f9-8887-444b-9041-f7ef9a912f54</t>
  </si>
  <si>
    <t>155, Đường tỉnh 623C, Xã Nghĩa Hà, Thành Phố Quảng Ngãi, Quang Ngai 53000, Vietnam</t>
  </si>
  <si>
    <t>155 Đường tỉnh 623C</t>
  </si>
  <si>
    <t>15.106742858886719</t>
  </si>
  <si>
    <t>108.8511407805115</t>
  </si>
  <si>
    <t>35721a5f-60a3-44eb-8163-0379e83ac0ce</t>
  </si>
  <si>
    <t>Đường tỉnh 623C, Xã Nghĩa Phú, Thành Phố Quảng Ngãi, Quang Ngai 53122, Vietnam</t>
  </si>
  <si>
    <t>Đường tỉnh 623C</t>
  </si>
  <si>
    <t>15.126571655273438</t>
  </si>
  <si>
    <t>108.88347124386983</t>
  </si>
  <si>
    <t>b7bb2664-851b-4964-a6b5-d36ee3ef04d6</t>
  </si>
  <si>
    <t>433, Lien Xa Nghia An, Pho Trung Hamlet, Xã Nghĩa An, Thành Phố Quảng Ngãi, Quang Ngai 53000, Vietnam</t>
  </si>
  <si>
    <t>433 Lien Xa Nghia An, Pho Trung Hamlet</t>
  </si>
  <si>
    <t>15.128448486328125</t>
  </si>
  <si>
    <t>108.89406962862522</t>
  </si>
  <si>
    <t>b4b60ad8-58bc-4895-98a8-e319b47a0b6b</t>
  </si>
  <si>
    <t>114/6, Lê Trung Đình, Nguyen Nghiem, Thành Phố Quảng Ngãi, Quang Ngai 53000, Vietnam</t>
  </si>
  <si>
    <t>114/6 Lê Trung Đình</t>
  </si>
  <si>
    <t>15.124320983886719</t>
  </si>
  <si>
    <t>108.80944933829021</t>
  </si>
  <si>
    <t>8550919c-b45b-4d8c-ac93-8c081f8c0829</t>
  </si>
  <si>
    <t>e9b56473-b60a-4e29-a05e-edecaee49787</t>
  </si>
  <si>
    <t>462/75, QL. 57, Xã Sơn Định, Chợ Lách district, Ben Tre 86316, Vietnam</t>
  </si>
  <si>
    <t>462/75 QL. 57</t>
  </si>
  <si>
    <t>10.26513671875</t>
  </si>
  <si>
    <t>106.1042569285625</t>
  </si>
  <si>
    <t>309aa1f5-e0d8-49be-8c8e-f063fe506231</t>
  </si>
  <si>
    <t>QL. 57B, Hoa Nghia Commune, Chợ Lách district, Ben Tre 86307, Vietnam</t>
  </si>
  <si>
    <t>QL. 57B</t>
  </si>
  <si>
    <t>10.269607543945312</t>
  </si>
  <si>
    <t>106.1481544173076</t>
  </si>
  <si>
    <t>Stt</t>
  </si>
  <si>
    <t>Số BBHT</t>
  </si>
  <si>
    <t>Ngày/tháng/năm</t>
  </si>
  <si>
    <t>Thời gian</t>
  </si>
  <si>
    <t>Người làm</t>
  </si>
  <si>
    <t>Ghi chú</t>
  </si>
  <si>
    <t>Giám sát</t>
  </si>
  <si>
    <t>01/07</t>
  </si>
  <si>
    <t>8h-11h30</t>
  </si>
  <si>
    <t>Sài Gòn, Bến Thành và Tân Định.</t>
  </si>
  <si>
    <t>Hòa</t>
  </si>
  <si>
    <t>Sài Gòn, Tân Định, Bến Thành, Cầu Ông Lãnh - TP.HCM</t>
  </si>
  <si>
    <t>Nguyễn Đăng Khoa</t>
  </si>
  <si>
    <t>01/07/Q5</t>
  </si>
  <si>
    <t>8h-9h30</t>
  </si>
  <si>
    <t>Chợ Quán</t>
  </si>
  <si>
    <t>Phượng</t>
  </si>
  <si>
    <t>Bàn Cờ, Xuân Hòa, Nhiêu Lộc - TP.HCM</t>
  </si>
  <si>
    <t>01/07/Q8</t>
  </si>
  <si>
    <t>09h30-11h30</t>
  </si>
  <si>
    <t>Bình Phú</t>
  </si>
  <si>
    <t>An Đông, Chợ Lớn, Chợ Quán - TP.HCM</t>
  </si>
  <si>
    <t>Trương Văn Ly</t>
  </si>
  <si>
    <t>02/07/Q8</t>
  </si>
  <si>
    <t>15/7/2025</t>
  </si>
  <si>
    <t>Chánh Hưng</t>
  </si>
  <si>
    <t>Bình Đông, Chánh Hưng, Phú Định - TP.HCM</t>
  </si>
  <si>
    <t>01/07/Q10</t>
  </si>
  <si>
    <t>16/7/2025</t>
  </si>
  <si>
    <t>8h00-11h00</t>
  </si>
  <si>
    <t>Diên Hồng</t>
  </si>
  <si>
    <t>Tài</t>
  </si>
  <si>
    <t>Diên Hồng, Hòa Hưng, Vườn Lài - TP.HCM</t>
  </si>
  <si>
    <t>Nguyễn Thành Chương</t>
  </si>
  <si>
    <t>01/07/Q3</t>
  </si>
  <si>
    <t>13h-15h00</t>
  </si>
  <si>
    <t>Xuân Hòa</t>
  </si>
  <si>
    <t>Bình Thới, Hòa Bình, Minh Phụng, Phú Thọ - TP.HCM</t>
  </si>
  <si>
    <t>02/07/Q3</t>
  </si>
  <si>
    <t>15h30-16h30</t>
  </si>
  <si>
    <t>PN</t>
  </si>
  <si>
    <t>Cầu Kiệu, Đức Nhuận, Phú Nhuận - TP.HCM</t>
  </si>
  <si>
    <t>Võ Thanh Quang</t>
  </si>
  <si>
    <t>02/07/Q5</t>
  </si>
  <si>
    <t>21/7/2025</t>
  </si>
  <si>
    <t>8h30-10h30</t>
  </si>
  <si>
    <t>BT</t>
  </si>
  <si>
    <t>Bình Lợi Trung, Bình Thạnh, Bình Quới, Gia Định, Thạnh Mỹ Tây - TP.HCM</t>
  </si>
  <si>
    <t>02/07/Q10</t>
  </si>
  <si>
    <t>30/7/2025</t>
  </si>
  <si>
    <t>Hòa Hưng</t>
  </si>
  <si>
    <t>03/07/Q3</t>
  </si>
  <si>
    <t>08h30-09h30</t>
  </si>
  <si>
    <t>Bàn Cờ</t>
  </si>
  <si>
    <t>01/8/QPN</t>
  </si>
  <si>
    <t>10h-14h10</t>
  </si>
  <si>
    <t>Đức Nhuận</t>
  </si>
  <si>
    <t>Luân</t>
  </si>
  <si>
    <t>02/08/QPN</t>
  </si>
  <si>
    <t>08h30-11h30</t>
  </si>
  <si>
    <t>01/08/Q3</t>
  </si>
  <si>
    <t>01/08/Q8</t>
  </si>
  <si>
    <t>08h00-10h00</t>
  </si>
  <si>
    <t>Bình Phú &amp; Phú Định</t>
  </si>
  <si>
    <t>01/08/Q1</t>
  </si>
  <si>
    <t>13h00-15h00</t>
  </si>
  <si>
    <t>Bến Thành</t>
  </si>
  <si>
    <t>01/08/Q11</t>
  </si>
  <si>
    <t>13/8/2025</t>
  </si>
  <si>
    <t>Phú Thọ</t>
  </si>
  <si>
    <t>Bỏ</t>
  </si>
  <si>
    <t>01/08/Q10</t>
  </si>
  <si>
    <t>13h00-16h00</t>
  </si>
  <si>
    <t>Vườn Lài</t>
  </si>
  <si>
    <t>14/8/2025</t>
  </si>
  <si>
    <t>8h30-9h30</t>
  </si>
  <si>
    <t>9h30-11h30</t>
  </si>
  <si>
    <t>làm lại (Đ.vị ngoài đào và tái lập)</t>
  </si>
  <si>
    <t>làm lại (duy tu đào 4,5m gạch tự chèn)</t>
  </si>
  <si>
    <t>01/08/Q5</t>
  </si>
  <si>
    <t>18/8/2025</t>
  </si>
  <si>
    <t>08h-09h30</t>
  </si>
  <si>
    <t>Chợ Lớn</t>
  </si>
  <si>
    <t>02/08/Q8</t>
  </si>
  <si>
    <t>09h30-11h00</t>
  </si>
  <si>
    <t>01/08/BT</t>
  </si>
  <si>
    <t>14h00-15h00</t>
  </si>
  <si>
    <t>Bình Quới</t>
  </si>
  <si>
    <t>Nghĩa</t>
  </si>
  <si>
    <t>02/08/BT</t>
  </si>
  <si>
    <t>Bình Lợi Trung</t>
  </si>
  <si>
    <t>03/08/BT</t>
  </si>
  <si>
    <t>19/8/2025</t>
  </si>
  <si>
    <t>8h00-10h00</t>
  </si>
  <si>
    <t>02/08/Q1</t>
  </si>
  <si>
    <t>13h00-14h00</t>
  </si>
  <si>
    <t>02/08/Q3</t>
  </si>
  <si>
    <t>20/8/2025</t>
  </si>
  <si>
    <t>Nhiêu Lộc, Xuân Hòa</t>
  </si>
  <si>
    <t>02/08/Q10</t>
  </si>
  <si>
    <t>02/08/Q5</t>
  </si>
  <si>
    <t>25/8/2025</t>
  </si>
  <si>
    <t>08h00-09h30</t>
  </si>
  <si>
    <t>An Đông</t>
  </si>
  <si>
    <t>03/08/Q5</t>
  </si>
  <si>
    <t>03/08/Q8</t>
  </si>
  <si>
    <t>13h30-15h00</t>
  </si>
  <si>
    <t>03/08/Q3</t>
  </si>
  <si>
    <t>26/8/2025</t>
  </si>
  <si>
    <t>Bàn Cờ, Xuân Hòa</t>
  </si>
  <si>
    <t>04/08/Q3</t>
  </si>
  <si>
    <t>03/08/Q1</t>
  </si>
  <si>
    <t>Tân Định</t>
  </si>
  <si>
    <t>01/09/Q8</t>
  </si>
  <si>
    <t>Phú Định &amp; Chánh Hưng</t>
  </si>
  <si>
    <t>02/09/Q8</t>
  </si>
  <si>
    <t>Phú Định</t>
  </si>
  <si>
    <t>01/09/Q5</t>
  </si>
  <si>
    <t>01/9/PN</t>
  </si>
  <si>
    <t>14h00-16h00</t>
  </si>
  <si>
    <t>Phú Nhuận</t>
  </si>
  <si>
    <t>01/09/PBT</t>
  </si>
  <si>
    <t>Sài Gòn</t>
  </si>
  <si>
    <t>01/09/PNL</t>
  </si>
  <si>
    <t>09h30-10h30</t>
  </si>
  <si>
    <t>Nhiêu Lộc</t>
  </si>
  <si>
    <t>02/09/PBT-PSG</t>
  </si>
  <si>
    <t>Sài Gòn, Bến Thành</t>
  </si>
  <si>
    <t>01/09/P.MP</t>
  </si>
  <si>
    <t>20h00-10h00</t>
  </si>
  <si>
    <t>Minh Phụng</t>
  </si>
  <si>
    <t>03/09/Q8</t>
  </si>
  <si>
    <t>14h00-16h30</t>
  </si>
  <si>
    <t>04/09/Q8</t>
  </si>
  <si>
    <t>15/09/2025</t>
  </si>
  <si>
    <t>03/09/P.DH</t>
  </si>
  <si>
    <t>15/9/2025</t>
  </si>
  <si>
    <t>03/09/PSG</t>
  </si>
  <si>
    <t>17/9/2025</t>
  </si>
  <si>
    <t>Saì Gòn</t>
  </si>
  <si>
    <t>An</t>
  </si>
  <si>
    <t>02/09/P.MP</t>
  </si>
  <si>
    <t>19/9/2025</t>
  </si>
  <si>
    <t>03/09/P.BT</t>
  </si>
  <si>
    <t>22/9/2025</t>
  </si>
  <si>
    <t>Bình Thới</t>
  </si>
  <si>
    <t>04/09/P.PT</t>
  </si>
  <si>
    <t>13h30-15h30</t>
  </si>
  <si>
    <t>05/09/P.PT</t>
  </si>
  <si>
    <t>23/9/2025</t>
  </si>
  <si>
    <t>02/09/Q5</t>
  </si>
  <si>
    <t>04/09/PSG</t>
  </si>
  <si>
    <t>24/9/2025</t>
  </si>
  <si>
    <t>05/09/PSG</t>
  </si>
  <si>
    <t>02/9/PN</t>
  </si>
  <si>
    <t>16/9/2025</t>
  </si>
  <si>
    <t>14h-16h</t>
  </si>
  <si>
    <t>Cầu Kiệu</t>
  </si>
  <si>
    <t>04/09/P.DH</t>
  </si>
  <si>
    <t>30/09/2025</t>
  </si>
  <si>
    <t>09h00-10h00</t>
  </si>
  <si>
    <t>01/10/Q5</t>
  </si>
  <si>
    <t>02/10/Q5</t>
  </si>
  <si>
    <t>15h30-17h00</t>
  </si>
  <si>
    <t>01/10/P.HH</t>
  </si>
  <si>
    <t>03/10/2025</t>
  </si>
  <si>
    <t>08h00-09h00</t>
  </si>
  <si>
    <t>02/10/P.HH</t>
  </si>
  <si>
    <t>01/10/PN</t>
  </si>
  <si>
    <t>01/10/P.MP</t>
  </si>
  <si>
    <t>07/10/2025</t>
  </si>
  <si>
    <t>08h30-10h00</t>
  </si>
  <si>
    <t>03/10/Q5</t>
  </si>
  <si>
    <t>03/10/P.VL</t>
  </si>
  <si>
    <t>14/10/2025</t>
  </si>
  <si>
    <t>01/10/PSG</t>
  </si>
  <si>
    <t>15/10/2025</t>
  </si>
  <si>
    <t>Đồng Khởi</t>
  </si>
  <si>
    <t>04/10/Q5</t>
  </si>
  <si>
    <t>02/10/PSG</t>
  </si>
  <si>
    <t>13h30-14h30</t>
  </si>
  <si>
    <t>03/10/PSG</t>
  </si>
  <si>
    <t>14h30-15h30</t>
  </si>
  <si>
    <t>01/10/P.BT</t>
  </si>
  <si>
    <t>01/10/PCH</t>
  </si>
  <si>
    <t>21/10/2025</t>
  </si>
  <si>
    <t>02/10/PBĐ</t>
  </si>
  <si>
    <t>22/10/2025</t>
  </si>
  <si>
    <t>13h30 - 16h00</t>
  </si>
  <si>
    <t>Bình Đông</t>
  </si>
  <si>
    <t>05/10/PAĐ</t>
  </si>
  <si>
    <t>23/10/2025</t>
  </si>
  <si>
    <t>06/10/PCL</t>
  </si>
  <si>
    <t>Chợ Lớn_Chợ Quán</t>
  </si>
  <si>
    <t>02/10/P.BT</t>
  </si>
  <si>
    <t>20/10/2025</t>
  </si>
  <si>
    <t>03/10/P.MP</t>
  </si>
  <si>
    <t>Mất trụ đèn TT</t>
  </si>
  <si>
    <t>04/10/P.MP</t>
  </si>
  <si>
    <t>Mất nắp cửa trụ TT</t>
  </si>
  <si>
    <t>04/10/P.HH</t>
  </si>
  <si>
    <t>03/10/PPĐ</t>
  </si>
  <si>
    <t>28/10/2025</t>
  </si>
  <si>
    <t>08h00 - 09h30</t>
  </si>
  <si>
    <t>04/10/PPĐ</t>
  </si>
  <si>
    <t>07/10/PCL</t>
  </si>
  <si>
    <t>08/10/PCL</t>
  </si>
  <si>
    <t>29/10/2029</t>
  </si>
  <si>
    <t>08h00-9h30</t>
  </si>
  <si>
    <t>01/11/PBĐ</t>
  </si>
  <si>
    <t>02/11/PCH</t>
  </si>
  <si>
    <t>Bình Đông, Chánh Hưng</t>
  </si>
  <si>
    <t>01/11/P.VL</t>
  </si>
  <si>
    <t>04/11/2025</t>
  </si>
  <si>
    <t>02/11/P.DH</t>
  </si>
  <si>
    <t>05/11/2025</t>
  </si>
  <si>
    <t>01/11/PAĐ</t>
  </si>
  <si>
    <t>03/11/PCH</t>
  </si>
  <si>
    <t>01/11/PN</t>
  </si>
  <si>
    <t>13h-14h30</t>
  </si>
  <si>
    <t>03/11/P.DH-HH-VL</t>
  </si>
  <si>
    <t>07/11/2025</t>
  </si>
  <si>
    <t>08h30-11h00</t>
  </si>
  <si>
    <t>DH-HH-VL</t>
  </si>
  <si>
    <t>Decal trụ</t>
  </si>
  <si>
    <t>03/11/P.BT-HB-MP-PT</t>
  </si>
  <si>
    <t>BT-HB-MP-PT</t>
  </si>
  <si>
    <t>04/11/P.DH-HH-VL-BT</t>
  </si>
  <si>
    <t>DH-HH-VL-BT</t>
  </si>
  <si>
    <t>10-11</t>
  </si>
  <si>
    <t>Bảng tên TĐK</t>
  </si>
  <si>
    <t>05/11/P.MP</t>
  </si>
  <si>
    <t>10/11/2025</t>
  </si>
  <si>
    <t>08h30-09h00</t>
  </si>
  <si>
    <t>11</t>
  </si>
  <si>
    <t>Thay đồng hồ đa năng</t>
  </si>
  <si>
    <t>06/11/P.PT-HB</t>
  </si>
  <si>
    <t>09h00-10h30</t>
  </si>
  <si>
    <t>Phú Thọ - Hòa Bình</t>
  </si>
  <si>
    <t>Q.SỰ + hẻm 94 HB2</t>
  </si>
  <si>
    <t>02/11/PAĐ</t>
  </si>
  <si>
    <t>03/11/PAĐ</t>
  </si>
  <si>
    <t>15h00-17h00</t>
  </si>
  <si>
    <t>04/11/PCQ</t>
  </si>
  <si>
    <t>04/11/PPĐ</t>
  </si>
  <si>
    <t>05/11/PPĐ</t>
  </si>
  <si>
    <t>05/11/PCQ</t>
  </si>
  <si>
    <t>05/11/P.VL</t>
  </si>
  <si>
    <t>12/11/2025</t>
  </si>
  <si>
    <t>13h30-14h00</t>
  </si>
  <si>
    <t>10</t>
  </si>
  <si>
    <t>06/11/P.DH-HH-VL</t>
  </si>
  <si>
    <t>14h00-15h30</t>
  </si>
  <si>
    <t>07/11/P.BT-MP</t>
  </si>
  <si>
    <t>Bình Thới-Minh Phụng</t>
  </si>
  <si>
    <t>13/11/2025</t>
  </si>
  <si>
    <t>08h-10h</t>
  </si>
  <si>
    <t>13h-15h</t>
  </si>
  <si>
    <t>06/11/PCL</t>
  </si>
  <si>
    <t>14/11/2025</t>
  </si>
  <si>
    <t>08h00 - 10h00</t>
  </si>
  <si>
    <t>01/11/Q3/BB-CSKVTT</t>
  </si>
  <si>
    <t>17/11/2025</t>
  </si>
  <si>
    <t>8-9H</t>
  </si>
  <si>
    <t>Bàn Cờ, Xuân Hoà</t>
  </si>
  <si>
    <t>07/10/BB-CSKVTT</t>
  </si>
  <si>
    <t>30/10/2025</t>
  </si>
  <si>
    <t>8h-16h</t>
  </si>
  <si>
    <t>02/11/Q3/BB-CSKVTT</t>
  </si>
  <si>
    <t>10-11h</t>
  </si>
  <si>
    <t>06/11/PCH</t>
  </si>
  <si>
    <t>01/11/Q1/BB-CSKVTT</t>
  </si>
  <si>
    <t>18/11/2025</t>
  </si>
  <si>
    <t>8-9h</t>
  </si>
  <si>
    <t>Sài Gòn, Cầu Ông Lãnh</t>
  </si>
  <si>
    <t>02/11/Q1/BB-CSKVTT</t>
  </si>
  <si>
    <t>03/11/Q1/BB-CSKVTT</t>
  </si>
  <si>
    <t>13-14h</t>
  </si>
  <si>
    <t>07/11/PCQ</t>
  </si>
  <si>
    <t>15h00-16h30</t>
  </si>
  <si>
    <t>08/11/PAĐ</t>
  </si>
  <si>
    <t>19/11/2025</t>
  </si>
  <si>
    <t>04/11/BT/BB-CSKVTT</t>
  </si>
  <si>
    <t>10h-11h</t>
  </si>
  <si>
    <t>03/11/XH/BB-CSKVTT</t>
  </si>
  <si>
    <t>Xuân Hoà</t>
  </si>
  <si>
    <t>07/11/P.DH</t>
  </si>
  <si>
    <t>24/11/2025</t>
  </si>
  <si>
    <t>01/12/P.PT</t>
  </si>
  <si>
    <t>10/12/2025</t>
  </si>
  <si>
    <t>01/12/PPĐ</t>
  </si>
  <si>
    <t>01/12/PCL</t>
  </si>
  <si>
    <t>15/12/2025</t>
  </si>
  <si>
    <t>02/12/PAĐ</t>
  </si>
  <si>
    <t>18/12/2025</t>
  </si>
  <si>
    <t>02/12/PCH</t>
  </si>
  <si>
    <t>13h30-15h10</t>
  </si>
  <si>
    <t>03/12/PCH</t>
  </si>
  <si>
    <t>19/12/2025</t>
  </si>
  <si>
    <t>02/12/P.MP</t>
  </si>
  <si>
    <t>22/12/2025</t>
  </si>
  <si>
    <t>xe đụng</t>
  </si>
  <si>
    <t>01/12/P.DH-HH</t>
  </si>
  <si>
    <t>25/12/2025</t>
  </si>
  <si>
    <t>Diên Hồng, Hòa Hưng</t>
  </si>
  <si>
    <t>cáp lên đèn</t>
  </si>
  <si>
    <t>02/12/P.VL</t>
  </si>
  <si>
    <t>26/12/2025</t>
  </si>
  <si>
    <t>BBHT</t>
  </si>
  <si>
    <t>03/12/P.VL</t>
  </si>
  <si>
    <t>BBLV</t>
  </si>
  <si>
    <t>04/12/PBĐ</t>
  </si>
  <si>
    <t>04/12/P.DH</t>
  </si>
  <si>
    <t>30/12/2025</t>
  </si>
  <si>
    <t>trụ 16 BTH-8</t>
  </si>
  <si>
    <t>05/12/P.DH</t>
  </si>
  <si>
    <t>31/12/2025</t>
  </si>
  <si>
    <t>di dời HTCS</t>
  </si>
  <si>
    <t>01/01/P.DH</t>
  </si>
  <si>
    <t>05/01/2025</t>
  </si>
  <si>
    <t>nối cáp</t>
  </si>
  <si>
    <t>01/01/PĐ</t>
  </si>
  <si>
    <t>02/01/P.DH</t>
  </si>
  <si>
    <t>06/01/2025</t>
  </si>
  <si>
    <t>01/01/PAĐ</t>
  </si>
  <si>
    <t>07/01/2026</t>
  </si>
  <si>
    <t>chạm cáp</t>
  </si>
  <si>
    <t>01/01/P.PT</t>
  </si>
  <si>
    <t>08/01/2025</t>
  </si>
  <si>
    <t>chạm cáp trụ số 17-18 LTK 3</t>
  </si>
  <si>
    <t>02/01/P.PT</t>
  </si>
  <si>
    <t>01/1/PN</t>
  </si>
  <si>
    <t>14/1/2026</t>
  </si>
  <si>
    <t>09h-10h</t>
  </si>
  <si>
    <t>mất nắp cửa trụ</t>
  </si>
  <si>
    <t>01/01/BT</t>
  </si>
  <si>
    <t>16/1/2026</t>
  </si>
  <si>
    <t>07h30-08h30</t>
  </si>
  <si>
    <t>Bình Thạnh</t>
  </si>
  <si>
    <t>Tách tủ</t>
  </si>
  <si>
    <t>02/01/BQ</t>
  </si>
  <si>
    <t>03/01/BQ</t>
  </si>
  <si>
    <t>10h30-11h30</t>
  </si>
  <si>
    <t>04/01/BLT</t>
  </si>
  <si>
    <t>Kéo tạm cáp nổi 179 Đặng Thùy Trâm</t>
  </si>
  <si>
    <t>02/01/PCL</t>
  </si>
  <si>
    <t>20/1/2026</t>
  </si>
  <si>
    <t>02/01/PPĐ</t>
  </si>
  <si>
    <t>13h00-14h30</t>
  </si>
  <si>
    <t>01/01/P.VL</t>
  </si>
  <si>
    <t>26/1/2026</t>
  </si>
  <si>
    <t>Di dời TS1 HV</t>
  </si>
  <si>
    <t>03/01/PCL</t>
  </si>
  <si>
    <t>04/01/PCL</t>
  </si>
  <si>
    <t>27/1/2026</t>
  </si>
  <si>
    <t>Thay cáp lão hóa</t>
  </si>
  <si>
    <t>03/01/PCH</t>
  </si>
  <si>
    <t>04/01/PPĐ</t>
  </si>
  <si>
    <t>05/01/PAĐ</t>
  </si>
  <si>
    <t>28/1/2026</t>
  </si>
  <si>
    <t>06/01/PBĐ</t>
  </si>
  <si>
    <t>29/1/2026</t>
  </si>
  <si>
    <t>07/01/PBĐ</t>
  </si>
  <si>
    <t>9h30-11h00</t>
  </si>
  <si>
    <t>30/01/P.BT</t>
  </si>
  <si>
    <t>30/01/2026</t>
  </si>
  <si>
    <t>Xe đụng TS1 (STK) Minh Phụng</t>
  </si>
  <si>
    <t>03/01/P.VL</t>
  </si>
  <si>
    <t>10h00-11h00</t>
  </si>
  <si>
    <t>01/02/PCQ</t>
  </si>
  <si>
    <t>02/02/PBĐ</t>
  </si>
  <si>
    <t>06/02/2026</t>
  </si>
  <si>
    <t>01/02/PPĐ</t>
  </si>
  <si>
    <t>09/02/2026</t>
  </si>
  <si>
    <t>01/02/P.VL-PT</t>
  </si>
  <si>
    <t>10/02/2026</t>
  </si>
  <si>
    <t>Vườn Lài-Phú Thọ</t>
  </si>
  <si>
    <t>Thay đèn Vistar SMD Led 40W</t>
  </si>
  <si>
    <t>02/02/P.DH</t>
  </si>
  <si>
    <t>11/02/2026</t>
  </si>
  <si>
    <t>Giao lộ Tô Hiến Thành + Lý Thường Kiệt tủ Lý Thường Kiệt 5</t>
  </si>
  <si>
    <t>03/02/P.HH</t>
  </si>
  <si>
    <t>26/02/2026</t>
  </si>
  <si>
    <t>Mất cáp ngầm lên nổi</t>
  </si>
  <si>
    <t>03/02/PCH</t>
  </si>
  <si>
    <t>28/02/2026</t>
  </si>
  <si>
    <t>01/03/PPĐ</t>
  </si>
  <si>
    <t>03/03/P.</t>
  </si>
  <si>
    <t>03/03/2026</t>
  </si>
  <si>
    <t>decal</t>
  </si>
  <si>
    <t>11h00-11h30</t>
  </si>
  <si>
    <t>02/03/PCH</t>
  </si>
  <si>
    <t>CH, PĐ, BĐ</t>
  </si>
  <si>
    <t>HPS=LED</t>
  </si>
  <si>
    <t>01/03/BT</t>
  </si>
  <si>
    <t>8h00-11h30</t>
  </si>
  <si>
    <t>Decal</t>
  </si>
  <si>
    <t>02/03/BT</t>
  </si>
  <si>
    <t>13h00-17h00</t>
  </si>
  <si>
    <t>03/03/BT</t>
  </si>
  <si>
    <t>09/03/Q1-3</t>
  </si>
  <si>
    <t>9/3/2026</t>
  </si>
  <si>
    <t>08h00-10h30</t>
  </si>
  <si>
    <t>Q1-3</t>
  </si>
  <si>
    <t>1-3</t>
  </si>
  <si>
    <t>ngầm hóa</t>
  </si>
  <si>
    <t>10/03/Q1-3</t>
  </si>
  <si>
    <t>thay Led</t>
  </si>
  <si>
    <t>01/03/PAĐ</t>
  </si>
  <si>
    <t>A Đ</t>
  </si>
  <si>
    <t>thay trụ NVC</t>
  </si>
  <si>
    <t>04/03/P.HH</t>
  </si>
  <si>
    <t>08h30-10h30</t>
  </si>
  <si>
    <t>HPS=Fa Led 50w</t>
  </si>
  <si>
    <t>03/03/PCH</t>
  </si>
  <si>
    <t>thay cáp nổi</t>
  </si>
  <si>
    <t>04/03/PBĐ</t>
  </si>
  <si>
    <t>16/3/2026</t>
  </si>
  <si>
    <t>ngã trụ ĐL</t>
  </si>
  <si>
    <t>02/03/PCL</t>
  </si>
  <si>
    <t>20/3/2026</t>
  </si>
  <si>
    <t>đào đặt ống Phú Hữu</t>
  </si>
  <si>
    <t>05/03/P.DH</t>
  </si>
  <si>
    <t>30/03/2026</t>
  </si>
  <si>
    <t>Mất cáp nguồn + tiếp địa</t>
  </si>
  <si>
    <t>01/04/P.VL</t>
  </si>
  <si>
    <t>05/04/2026</t>
  </si>
  <si>
    <t>xe đụng trụ 9 STK tủ BTH3</t>
  </si>
  <si>
    <t>01/04/PPĐ</t>
  </si>
  <si>
    <t>di dời cần đèn</t>
  </si>
  <si>
    <t>01/04/P.PT</t>
  </si>
  <si>
    <t>16/04/2026</t>
  </si>
  <si>
    <t>02/04/P.PT</t>
  </si>
  <si>
    <t>Phường đề xuất di dời trụ sắt Ø90 và LED đầu hẻm 269 Lý Thường Kiệt (CS không quản lý)</t>
  </si>
  <si>
    <t>02/04/P.BĐ</t>
  </si>
  <si>
    <t>23/04/2026</t>
  </si>
  <si>
    <t>Xử lý XP HTCS PTH ND &amp; 35 KDC PL</t>
  </si>
  <si>
    <t>03/04/P.PT</t>
  </si>
  <si>
    <t>29/04/2026</t>
  </si>
  <si>
    <t>02/04/P.VL</t>
  </si>
  <si>
    <t>BẢNG TỔNG HỢP ĐỊA BÀN QUẢN LÝ THEO 102 PHƯỜNG/XÃ THUỘC UBND TP.HCM (MỚI) TRÊN ĐỊA BÀN UBND TPHCM TRƯỚC ĐÂY</t>
  </si>
  <si>
    <t> </t>
  </si>
  <si>
    <t>Ngày 08/7/2025</t>
  </si>
  <si>
    <t>Phường, xã mới thuộc UBNDTP.HCM
 (của TP.HCM cũ trước đây)</t>
  </si>
  <si>
    <t>Phường, xã thuộc TP.HCM cũ
trước sáp nhập</t>
  </si>
  <si>
    <t>Quận/Huyện/TP trước khi sáp nhập</t>
  </si>
  <si>
    <t>Hệ thống chiếu sáng công cộng</t>
  </si>
  <si>
    <t>Hệ thồng đèn tín hiệu giao thông, camera quan sát giao thông và bảng thông tin giao thông điện tử</t>
  </si>
  <si>
    <t>Quản lý, vận hành hệ thống camera</t>
  </si>
  <si>
    <t>Quận/Huyện trước khi sáp nhập TP Thủ Đức</t>
  </si>
  <si>
    <t>Hiệp Bình</t>
  </si>
  <si>
    <t>Hiệp Bình Chánh, Hiệp Bình Phước và một phần Linh Đông</t>
  </si>
  <si>
    <t>TP Thủ Đức</t>
  </si>
  <si>
    <t>Chiếu sáng khu vực Nam</t>
  </si>
  <si>
    <t>Xí nghiệp Tín hiệu giao thông 1</t>
  </si>
  <si>
    <t>Thủ Đức cũ</t>
  </si>
  <si>
    <t>Tam Bình</t>
  </si>
  <si>
    <t>Bình Chiểu, Tam Bình, Tam Phú</t>
  </si>
  <si>
    <t>Thủ Đức</t>
  </si>
  <si>
    <t>Bình Thọ, Linh Chiểu, Trường Thọ và một phần Linh Đông, Linh Tây</t>
  </si>
  <si>
    <t>Linh Xuân</t>
  </si>
  <si>
    <t>Linh Trung, Linh Xuân và một phần Linh Tây</t>
  </si>
  <si>
    <t>Long Bình</t>
  </si>
  <si>
    <t>Long Bình và một phần Long Thạnh Mỹ</t>
  </si>
  <si>
    <t>Cty Lữ Gia</t>
  </si>
  <si>
    <t>Liên danh</t>
  </si>
  <si>
    <t>Quận 9 cũ</t>
  </si>
  <si>
    <t>Tăng Nhơn Phú</t>
  </si>
  <si>
    <t>Hiệp Phú, Tân Phú, Tăng Nhơn Phú A, Tăng Nhơn Phú B và một phần Long Thạnh Mỹ</t>
  </si>
  <si>
    <t>Phước Long</t>
  </si>
  <si>
    <t>Phước Bình, Phước Long A, Phước Long B</t>
  </si>
  <si>
    <t>Long Phước</t>
  </si>
  <si>
    <t>Long Phước, Trường Thạnh</t>
  </si>
  <si>
    <t>Long Trường</t>
  </si>
  <si>
    <t>Long Trường và Phú Hữu</t>
  </si>
  <si>
    <t>An Khánh</t>
  </si>
  <si>
    <t>An Khánh, An Lợi Đông, Thảo Điền, Thủ Thiêm và một phần An Phú</t>
  </si>
  <si>
    <t>Quận 2 cũ</t>
  </si>
  <si>
    <t>Bình Trưng</t>
  </si>
  <si>
    <t>Bình Trưng Đông, Bình Trưng Tây và một phần An Phú</t>
  </si>
  <si>
    <t>- Chiếu sáng khu vực Nam: QLVH Bình Trưng Đông, Bình Trưng Tây
- Cty Lữ Gia: QLVH&amp;Duy tu</t>
  </si>
  <si>
    <t>Cát Lái</t>
  </si>
  <si>
    <t>Cát Lái, Thạnh Mỹ Lợi</t>
  </si>
  <si>
    <t>- Chiếu sáng khu vực Nam: QLVH Thạnh Mỹ Lợi
- Cty Lữ Gia: QLVH&amp;Duy tu</t>
  </si>
  <si>
    <t>Tân Định và một phần Đa Kao</t>
  </si>
  <si>
    <t>Quận 1</t>
  </si>
  <si>
    <t>Chiếu sáng khu vực Trung tâm</t>
  </si>
  <si>
    <t>Cty Trí Hồng Đức</t>
  </si>
  <si>
    <t>Bến Thành, Phạm Ngũ Lão và một phần Cầu Ông Lãnh, Nguyễn Thái Bình</t>
  </si>
  <si>
    <t>Bến Nghé và một phần Nguyễn Thái Bình, Đa Kao</t>
  </si>
  <si>
    <t>Cầu Ông Lãnh</t>
  </si>
  <si>
    <t>Nguyễn Cư Trinh, Cầu Kho, Cô Giang và một phần Cầu Ông Lãnh</t>
  </si>
  <si>
    <t>1, 2, 3, 5 và một phần 4</t>
  </si>
  <si>
    <t>Quận 3</t>
  </si>
  <si>
    <t>Võ Thị Sáu và một phần 4</t>
  </si>
  <si>
    <t>9, 11, 12, 14</t>
  </si>
  <si>
    <t>Vĩnh Hội</t>
  </si>
  <si>
    <t>1, 3 và một phần diện tích 2, 4</t>
  </si>
  <si>
    <t>Quận 4</t>
  </si>
  <si>
    <t>Khánh Hội</t>
  </si>
  <si>
    <t>8, 9 và một phần 2, 4, 15</t>
  </si>
  <si>
    <t>Xóm Chiếu</t>
  </si>
  <si>
    <t>13, 16, 18 và một phần diện tích 15</t>
  </si>
  <si>
    <t>1, 2, 4</t>
  </si>
  <si>
    <t>Quận 5</t>
  </si>
  <si>
    <t>Xí nghiệp Tín hiệu giao thông 2</t>
  </si>
  <si>
    <t>5, 7, 9</t>
  </si>
  <si>
    <t>11, 12, 13, 14</t>
  </si>
  <si>
    <t>Bình Tiên</t>
  </si>
  <si>
    <t>1, 7, 8</t>
  </si>
  <si>
    <t>Quận 6</t>
  </si>
  <si>
    <t>Chiếu sáng khu vực Tây</t>
  </si>
  <si>
    <t>Bình Tây</t>
  </si>
  <si>
    <t>2, 9</t>
  </si>
  <si>
    <t>10, 11 của quận 6 và một phần 16 của quận 8</t>
  </si>
  <si>
    <t>Phú Lâm</t>
  </si>
  <si>
    <t>12, 13, 14</t>
  </si>
  <si>
    <t>Tân Mỹ</t>
  </si>
  <si>
    <t>Tân Phú và một phần Phú Mỹ</t>
  </si>
  <si>
    <t>Quận 7</t>
  </si>
  <si>
    <t>Tân Hưng</t>
  </si>
  <si>
    <t>Tân Phong, Tân Hưng, Tân Kiểng, Tân Quy</t>
  </si>
  <si>
    <t>Tân Thuận</t>
  </si>
  <si>
    <t>Bình Thuận, Tân Thuận Đông, Tân Thuận Tây</t>
  </si>
  <si>
    <t>Phú Thuận</t>
  </si>
  <si>
    <t>Phú Thuận và một phần Phú Mỹ</t>
  </si>
  <si>
    <t>Rạch Ông, Hưng Phú, 4 và một phần 5</t>
  </si>
  <si>
    <t>Quận 8</t>
  </si>
  <si>
    <t>6, 7 và một phần 5, An Phú Tây (Bình Chánh)</t>
  </si>
  <si>
    <t>Xóm Củi, 14, 15 và một phần 16</t>
  </si>
  <si>
    <t>1, 2, 4, 9, 10
(P3 sáp nhập P2, năm 2021)
(P11 sáp nhập P10, T4/2024)</t>
  </si>
  <si>
    <t>Quận 10</t>
  </si>
  <si>
    <t>6, 8, 14
(P7 sáp nhập P6, và P5 sáp nhập P8, T4/2024)</t>
  </si>
  <si>
    <t>12, 13, 15</t>
  </si>
  <si>
    <t>Hòa Bình</t>
  </si>
  <si>
    <t>5, 14</t>
  </si>
  <si>
    <t>Quận 11</t>
  </si>
  <si>
    <t>11, 15 và một phần P8
(P12 sáp nhập P8, T3/2024)
(P13 sáp nhập P11, T3/2024)</t>
  </si>
  <si>
    <t>3, 10 và một phần P8
(P9 sáp nhập P10, T3/2024)</t>
  </si>
  <si>
    <t>1, 7, 16
(P2 sáp nhập P1, T3/2024)
(P4, 6 sáp nhập P7, T3/2024)</t>
  </si>
  <si>
    <t>Đông Hưng Thuận</t>
  </si>
  <si>
    <t>Tân Thới Nhất, Tân Hưng Thuận, Đông Hưng Thuận</t>
  </si>
  <si>
    <t>Quận 12</t>
  </si>
  <si>
    <t>Chiếu sáng khu vực Bắc</t>
  </si>
  <si>
    <t>Trung Mỹ Tây</t>
  </si>
  <si>
    <t>Trung Mỹ Tây, Tân Chánh Hiệp</t>
  </si>
  <si>
    <t>Tân Thới Hiệp</t>
  </si>
  <si>
    <t>Hiệp Thành, Tân Thới Hiệp</t>
  </si>
  <si>
    <t>Thới An</t>
  </si>
  <si>
    <t>Thới An, Thạnh Xuân</t>
  </si>
  <si>
    <t>An Phú Đông</t>
  </si>
  <si>
    <t>An Phú Đông, Thạnh Lộc</t>
  </si>
  <si>
    <t>Gia Định</t>
  </si>
  <si>
    <t>1, 2, 7, 17</t>
  </si>
  <si>
    <t>Quận Bình Thạnh</t>
  </si>
  <si>
    <t>12, 14, 26</t>
  </si>
  <si>
    <t>5, 11, 13</t>
  </si>
  <si>
    <t>Thạnh Mỹ Tây</t>
  </si>
  <si>
    <t>19, 22, 25</t>
  </si>
  <si>
    <t>27, 28</t>
  </si>
  <si>
    <t>Bình Tân</t>
  </si>
  <si>
    <t>Bình Hưng Hòa B, một phần Bình Trị Đông A, Tân Tạo</t>
  </si>
  <si>
    <t>Quận Bình Tân</t>
  </si>
  <si>
    <t>Bình Hưng Hòa</t>
  </si>
  <si>
    <t>Bình Hưng Hòa và một phần Bình Hưng Hòa A, Sơn Kỳ (Tân Phú)</t>
  </si>
  <si>
    <t>Bình Trị Đông</t>
  </si>
  <si>
    <t>Bình Trị Đông, một phần Bình Trị Đông A, Bình Hưng Hòa A</t>
  </si>
  <si>
    <t>An Lạc</t>
  </si>
  <si>
    <t>An Lạc, An Lạc A, Bình Trị Đông B</t>
  </si>
  <si>
    <t>Tân Tạo</t>
  </si>
  <si>
    <t>Tân Tạo A và một phần Tân Tạo, một phần Tân Kiên (Bình Chánh)</t>
  </si>
  <si>
    <t>Hạnh Thông</t>
  </si>
  <si>
    <t>1, 3</t>
  </si>
  <si>
    <t>Quận Gò Vấp</t>
  </si>
  <si>
    <t>An Nhơn</t>
  </si>
  <si>
    <t>5, 6</t>
  </si>
  <si>
    <t>Gò Vấp</t>
  </si>
  <si>
    <t>10, 17</t>
  </si>
  <si>
    <t>Thông Tây Hội</t>
  </si>
  <si>
    <t>8, 11</t>
  </si>
  <si>
    <t>An Hội Tây</t>
  </si>
  <si>
    <t>12, 14</t>
  </si>
  <si>
    <t>An Hội Đông</t>
  </si>
  <si>
    <t>15, 16</t>
  </si>
  <si>
    <t>4, 5, 9</t>
  </si>
  <si>
    <t>Quận Phú Nhuận</t>
  </si>
  <si>
    <t>1, 2, 7 và một phần 15</t>
  </si>
  <si>
    <t>8, 10, 11, 13 và một phần 15</t>
  </si>
  <si>
    <t>Tân Sơn Hòa</t>
  </si>
  <si>
    <t>1, 2, 3</t>
  </si>
  <si>
    <t>Quận Tân Bình</t>
  </si>
  <si>
    <t>Tân Sơn Nhất</t>
  </si>
  <si>
    <t>4, 5, 7</t>
  </si>
  <si>
    <t>Tân Hòa</t>
  </si>
  <si>
    <t>6, 8, 9</t>
  </si>
  <si>
    <t>Bảy Hiền</t>
  </si>
  <si>
    <t>10, 11, 12</t>
  </si>
  <si>
    <t>Tân Bình</t>
  </si>
  <si>
    <t>13, 14 và một phần 15</t>
  </si>
  <si>
    <t>Tân Sơn</t>
  </si>
  <si>
    <t>15 (còn lại)</t>
  </si>
  <si>
    <t>Tây Thạnh</t>
  </si>
  <si>
    <t>Tây Thạnh và một phần Sơn Kỳ</t>
  </si>
  <si>
    <t>Quận Tân Phú</t>
  </si>
  <si>
    <t>Tân Sơn Nhì</t>
  </si>
  <si>
    <t>Tân Sơn Nhì, một phần Sơn Kỳ, Tân Quý, Tân Thành</t>
  </si>
  <si>
    <t>Phú Thọ Hòa</t>
  </si>
  <si>
    <t>Phú Thọ Hòa, một phần Tân Quý, Tân Thành</t>
  </si>
  <si>
    <t>Phú Thạnh</t>
  </si>
  <si>
    <t>Phú Thạnh, Hiệp Tân và một phần Tân Thới Hòa</t>
  </si>
  <si>
    <t>Tân Phú</t>
  </si>
  <si>
    <t>Phú Trung, Hòa Thạnh, một phần Tân Thành, Tân Thới Hòa</t>
  </si>
  <si>
    <t>Vĩnh Lộc</t>
  </si>
  <si>
    <t>Vĩnh Lộc A và một phần Phạm Văn Hai</t>
  </si>
  <si>
    <t>Huyện Bình Chánh</t>
  </si>
  <si>
    <t>Tân Vĩnh Lộc</t>
  </si>
  <si>
    <t>Vĩnh Lộc B và một phần Phạm Văn Hai, Tân Tạo (Bình Tân)</t>
  </si>
  <si>
    <t>Bình Lợi</t>
  </si>
  <si>
    <t>Bình Lợi, Lê Minh Xuân</t>
  </si>
  <si>
    <t>Tân Nhựt</t>
  </si>
  <si>
    <t>Tân Kiên, Tân Nhựt, thị trấn Tân Túc và một phần Tân Tạo A (Bình Tân), một phần 16 (quận 8)</t>
  </si>
  <si>
    <t>Bình Chánh</t>
  </si>
  <si>
    <t>Bình Chánh, Tân Quý Tây và một phần An Phú Tây</t>
  </si>
  <si>
    <t>Hưng Long</t>
  </si>
  <si>
    <t>Hưng Long, Qui Đức, Đa Phước</t>
  </si>
  <si>
    <t>Bình Hưng</t>
  </si>
  <si>
    <t>Bình Hưng, Phong Phú và một phần 7 (quận 8)</t>
  </si>
  <si>
    <t>An Nhơn Tây</t>
  </si>
  <si>
    <t>Phú Mỹ Hưng, An Phú, An Nhơn Tây</t>
  </si>
  <si>
    <t>Huyện Củ Chi</t>
  </si>
  <si>
    <t>Thái Mỹ</t>
  </si>
  <si>
    <t>Trung Lập Thượng, Thái Mỹ, Phước Thạnh</t>
  </si>
  <si>
    <t>Nhuận Đức</t>
  </si>
  <si>
    <t>Nhuận Đức, Trung Lập Hạ và Phạm Văn Cội</t>
  </si>
  <si>
    <t>Tân An Hội</t>
  </si>
  <si>
    <t>Phước Hiệp, Tân An Hội và thị trấn Củ Chi</t>
  </si>
  <si>
    <t>Củ Chi</t>
  </si>
  <si>
    <t>Tân Phú Trung, Tân Thông Hội, Phước Vĩnh An</t>
  </si>
  <si>
    <t>Phú Hòa Đông</t>
  </si>
  <si>
    <t>Tân Thạnh Tây, Tân Thạnh Đông, Phú Hòa Đông</t>
  </si>
  <si>
    <t>Bình Mỹ</t>
  </si>
  <si>
    <t>Bình Mỹ, Trung An, Hòa Phú</t>
  </si>
  <si>
    <t>Bình Khánh</t>
  </si>
  <si>
    <t>Bình Khánh, Tam Thôn Hiệp và một phần An Thới Đông</t>
  </si>
  <si>
    <t>Huyện Cần Giờ</t>
  </si>
  <si>
    <t>Cần Giờ</t>
  </si>
  <si>
    <t>Long Hòa và thị trấn Cần Thạnh</t>
  </si>
  <si>
    <t>An Thới Đông</t>
  </si>
  <si>
    <t>Lý Nhơn và một phần An Thới Đông</t>
  </si>
  <si>
    <t>Thạnh An</t>
  </si>
  <si>
    <t>Thạnh An (giữ nguyên)</t>
  </si>
  <si>
    <t>Hóc Môn</t>
  </si>
  <si>
    <t>Tân Xuân, Tân Hiệp và thị trấn Hóc Môn</t>
  </si>
  <si>
    <t>Huyện Hóc Môn</t>
  </si>
  <si>
    <t>Bà Điểm</t>
  </si>
  <si>
    <t>Xuân Thới Thượng, Bà Điểm, Trung Chánh</t>
  </si>
  <si>
    <t>Xuân Thới Sơn</t>
  </si>
  <si>
    <t>Xuân Thới Đông, Xuân Thới Sơn, Tân Thới Nhì</t>
  </si>
  <si>
    <t>Đông Thạnh</t>
  </si>
  <si>
    <t>Đông Thạnh, Nhị Bình và Thới Tam Thôn</t>
  </si>
  <si>
    <t>Nhà Bè</t>
  </si>
  <si>
    <t>thị trấn Nhà Bè, Phú Xuân, Phước Kiển, Phước Lộc</t>
  </si>
  <si>
    <t>Huyện Nhà Bè</t>
  </si>
  <si>
    <t>Hiệp Phước</t>
  </si>
  <si>
    <t>Nhơn Đức, Long Thới, Hiệp Phước</t>
  </si>
  <si>
    <t>MÃ PE</t>
  </si>
  <si>
    <t>TĐK 2024</t>
  </si>
  <si>
    <t>TĐK 2026</t>
  </si>
  <si>
    <t>Địa chỉ TĐK</t>
  </si>
  <si>
    <t>phường 2024</t>
  </si>
  <si>
    <t>phường 2026</t>
  </si>
  <si>
    <t>Người QL</t>
  </si>
  <si>
    <t>PE03000082442</t>
  </si>
  <si>
    <t>Trần Phú 3</t>
  </si>
  <si>
    <t>Trần Phú - 3</t>
  </si>
  <si>
    <t>397 Trần Phú</t>
  </si>
  <si>
    <t>Lê Văn Hùng</t>
  </si>
  <si>
    <t>PE03000146386</t>
  </si>
  <si>
    <t xml:space="preserve">Trần Phú 4 </t>
  </si>
  <si>
    <t xml:space="preserve">Trần Phú - 4 </t>
  </si>
  <si>
    <t>369 Trần Phú</t>
  </si>
  <si>
    <t>PE03000092139</t>
  </si>
  <si>
    <t>Trần Phú 5</t>
  </si>
  <si>
    <t>Trần Phú - 5</t>
  </si>
  <si>
    <t>300 Trần Phú</t>
  </si>
  <si>
    <t>PE03000164036</t>
  </si>
  <si>
    <t>Nguyễn Duy Dương 2</t>
  </si>
  <si>
    <t>Nguyễn Duy Dương - 1</t>
  </si>
  <si>
    <t>Số 38 Nguyễn Duy Dương</t>
  </si>
  <si>
    <t>PE03000174267</t>
  </si>
  <si>
    <t>Chung Cheng A</t>
  </si>
  <si>
    <t>Công viên An Bình</t>
  </si>
  <si>
    <t>PE03000082375</t>
  </si>
  <si>
    <t>Nguyễn Trãi 8</t>
  </si>
  <si>
    <t>Nguyễn Trãi - 8</t>
  </si>
  <si>
    <t>468 Nguyễn Trãi</t>
  </si>
  <si>
    <t>PE03000082455</t>
  </si>
  <si>
    <t xml:space="preserve">An Bình 4 </t>
  </si>
  <si>
    <t xml:space="preserve">An Bình - 4 </t>
  </si>
  <si>
    <t>209 An Bình</t>
  </si>
  <si>
    <t>PE03000147876</t>
  </si>
  <si>
    <t xml:space="preserve">Trần Phú 2 </t>
  </si>
  <si>
    <t xml:space="preserve">Trần Phú - 2 </t>
  </si>
  <si>
    <t>Đ/d 439 Trần Phú</t>
  </si>
  <si>
    <t>PE03000155497</t>
  </si>
  <si>
    <t>Trần Phú 1</t>
  </si>
  <si>
    <t>Trần Phú - 1</t>
  </si>
  <si>
    <t>388-390-392 Trần Phú</t>
  </si>
  <si>
    <t>PE03000202040</t>
  </si>
  <si>
    <t xml:space="preserve">Hải Thượng Lãn Ông 7 </t>
  </si>
  <si>
    <t>Hẻm 418 Trần Phú</t>
  </si>
  <si>
    <t>PE03000092135</t>
  </si>
  <si>
    <t>Trần Hưng Đạo 4</t>
  </si>
  <si>
    <t>Trần Hưng Đạo - 26</t>
  </si>
  <si>
    <t>148A Trần Hưng Đạo</t>
  </si>
  <si>
    <t>PE03000082377</t>
  </si>
  <si>
    <t xml:space="preserve">Trần Hưng Đạo 5 </t>
  </si>
  <si>
    <t xml:space="preserve">Trần Hưng Đạo - 25 </t>
  </si>
  <si>
    <t>77 Trần Hưng Đạo</t>
  </si>
  <si>
    <t>PE03000102810</t>
  </si>
  <si>
    <t>Cầu Nguyễn Tri Phương 1</t>
  </si>
  <si>
    <t>Cầu Nguyễn Tri Phương - 1</t>
  </si>
  <si>
    <t>Số 63 Nguyễn Tri Phương</t>
  </si>
  <si>
    <t>PE03000102811</t>
  </si>
  <si>
    <t>Cầu Nguyễn Tri Phương 2</t>
  </si>
  <si>
    <t>Cầu Nguyễn Tri Phương - 2</t>
  </si>
  <si>
    <t>Số 60C Nguyễn Tri Phương</t>
  </si>
  <si>
    <t>PE03000164826</t>
  </si>
  <si>
    <t>TL8B</t>
  </si>
  <si>
    <t>Võ Văn Kiệt - 5</t>
  </si>
  <si>
    <t>Đ/d 1102 Võ Văn Kiệt</t>
  </si>
  <si>
    <t>PE03000164827</t>
  </si>
  <si>
    <t>TL8A</t>
  </si>
  <si>
    <t>Võ Văn Kiệt - 6</t>
  </si>
  <si>
    <t>Đ/d 1090 Võ Văn Kiệt</t>
  </si>
  <si>
    <t>PE03000145395</t>
  </si>
  <si>
    <t>TL8</t>
  </si>
  <si>
    <t>Võ Văn Kiệt - 7</t>
  </si>
  <si>
    <t>1122 Võ Văn Kiệt</t>
  </si>
  <si>
    <t>PE03000155495</t>
  </si>
  <si>
    <t>Đồng Khánh 3</t>
  </si>
  <si>
    <t>Hẻm 107 Trần Hưng Đạo</t>
  </si>
  <si>
    <t>Đ/d 150 Trần Hưng Đạo</t>
  </si>
  <si>
    <t>PE03000082388</t>
  </si>
  <si>
    <t>Trần Hưng Đạo 6</t>
  </si>
  <si>
    <t>Trần Hưng Đạo - 27</t>
  </si>
  <si>
    <t>182-184 Trần Hưng Đạo</t>
  </si>
  <si>
    <t>PE03000173900</t>
  </si>
  <si>
    <t xml:space="preserve">Ngô Quyền 1 </t>
  </si>
  <si>
    <t xml:space="preserve">Ngô Quyền - 1 </t>
  </si>
  <si>
    <t>121 Trần Hưng Đạo</t>
  </si>
  <si>
    <t>PE03000155492</t>
  </si>
  <si>
    <t>An Điềm 2</t>
  </si>
  <si>
    <t>An Điềm - 2</t>
  </si>
  <si>
    <t>Đ/d 11-13 An Điềm</t>
  </si>
  <si>
    <t>PE03000082390</t>
  </si>
  <si>
    <t>Trần Hưng Đạo 7</t>
  </si>
  <si>
    <t>Trần Hưng Đạo - 28</t>
  </si>
  <si>
    <t>181 Trần Hưng Đạo</t>
  </si>
  <si>
    <t>PE03000082467</t>
  </si>
  <si>
    <t>Phan Phú Tiên 1</t>
  </si>
  <si>
    <t>Phan Phú Tiên - 1</t>
  </si>
  <si>
    <t>13 Phan Phú Tiên</t>
  </si>
  <si>
    <t>PE03000082383</t>
  </si>
  <si>
    <t>Phan Phú Tiên 2</t>
  </si>
  <si>
    <t>Phan Phú Tiên - 2</t>
  </si>
  <si>
    <t>1 Phan Phú Tiên</t>
  </si>
  <si>
    <t>PE03000082384</t>
  </si>
  <si>
    <t>Xóm Chỉ</t>
  </si>
  <si>
    <t>12 Tản Đà</t>
  </si>
  <si>
    <t>PE03000155493</t>
  </si>
  <si>
    <t>An Điềm 1</t>
  </si>
  <si>
    <t>An Điềm - 1</t>
  </si>
  <si>
    <t>Sn 66 An Điềm</t>
  </si>
  <si>
    <t>PE03000082446</t>
  </si>
  <si>
    <t xml:space="preserve">Tản Đà 1 </t>
  </si>
  <si>
    <t xml:space="preserve">Tản Đà - 1 </t>
  </si>
  <si>
    <t>49 Tản Đà</t>
  </si>
  <si>
    <t>PE03000082416</t>
  </si>
  <si>
    <t>Trần Hưng Đạo 8</t>
  </si>
  <si>
    <t>Trần Hưng Đạo - 29</t>
  </si>
  <si>
    <t>268 Trần Hưng Đạo</t>
  </si>
  <si>
    <t>PE03000082387</t>
  </si>
  <si>
    <t>Trần Hưng Đạo 9</t>
  </si>
  <si>
    <t>Trần Hưng Đạo - 30</t>
  </si>
  <si>
    <t>Số 370 Trần Hưng Đạo</t>
  </si>
  <si>
    <t>PE03000197266</t>
  </si>
  <si>
    <t>Nguyễn Án 3</t>
  </si>
  <si>
    <t>Nguyễn Án</t>
  </si>
  <si>
    <t>Số 3 Nguyễn Án,</t>
  </si>
  <si>
    <t>PE03000082427</t>
  </si>
  <si>
    <t>Ký Hòa</t>
  </si>
  <si>
    <t>số nhà 15 Ký Hòa</t>
  </si>
  <si>
    <t>PE03000082379</t>
  </si>
  <si>
    <t>Phù Đổng Thiên Vương 1</t>
  </si>
  <si>
    <t>Phù Đổng Thiên Vương</t>
  </si>
  <si>
    <t>Đôi diên 87 Phù Đổng Thiên Vương</t>
  </si>
  <si>
    <t>PE03000149485</t>
  </si>
  <si>
    <t>Nguyễn Trãi 9</t>
  </si>
  <si>
    <t>Nguyễn Trãi - 9</t>
  </si>
  <si>
    <t>705 Nguyễn Trãi</t>
  </si>
  <si>
    <t>PE03000146382</t>
  </si>
  <si>
    <t>Tản Đà 2</t>
  </si>
  <si>
    <t>Tản Đà - 2</t>
  </si>
  <si>
    <t>648 Nguyễn Trãi</t>
  </si>
  <si>
    <t>PE03000197268</t>
  </si>
  <si>
    <t>Đặng Thái Thân</t>
  </si>
  <si>
    <t>Đ/d 005 Lô A C/c Hùng Vương</t>
  </si>
  <si>
    <t>PE03000082445</t>
  </si>
  <si>
    <t>Hồng Bàng 10</t>
  </si>
  <si>
    <t>Hồng Bàng - 3</t>
  </si>
  <si>
    <t>215 Hồng  Bàng</t>
  </si>
  <si>
    <t>PE03000153552</t>
  </si>
  <si>
    <t>Hồng Bàng 8</t>
  </si>
  <si>
    <t>Hồng Bàng - 1</t>
  </si>
  <si>
    <t>221A Hồng Bàng</t>
  </si>
  <si>
    <t>PE03000153565</t>
  </si>
  <si>
    <t>Thiên Tích</t>
  </si>
  <si>
    <t>Mạc Thiên Tích</t>
  </si>
  <si>
    <t>116 Ngô Quyền</t>
  </si>
  <si>
    <t>PE03000092138</t>
  </si>
  <si>
    <t>Chung cư Xóm Cải 1</t>
  </si>
  <si>
    <t>Chung cư Xóm Cải - 1</t>
  </si>
  <si>
    <t>630 Nguyễn Trãi</t>
  </si>
  <si>
    <t>PE03000146381</t>
  </si>
  <si>
    <t>Chung cư Xóm Cải 2</t>
  </si>
  <si>
    <t>Chung cư Xóm Cải - 2</t>
  </si>
  <si>
    <t>612 Nguyễn Trãi</t>
  </si>
  <si>
    <t>PE03000082374</t>
  </si>
  <si>
    <t>Phước Hưng</t>
  </si>
  <si>
    <t>Đ/d 66 Phước Hưng</t>
  </si>
  <si>
    <t>PE03000153550</t>
  </si>
  <si>
    <t>Nguyễn Tri Phương 6</t>
  </si>
  <si>
    <t>Nguyễn Tri Phương - 6</t>
  </si>
  <si>
    <t>505 Nguyễn Trãi</t>
  </si>
  <si>
    <t>PE03000082382</t>
  </si>
  <si>
    <t>Hồng Bàng</t>
  </si>
  <si>
    <t>An Dương Vương - 9</t>
  </si>
  <si>
    <t>100 An Dương Vương</t>
  </si>
  <si>
    <t>PE03000155450</t>
  </si>
  <si>
    <t>Nguyễn Duy Dương 3</t>
  </si>
  <si>
    <t>Nguyễn Duy Dương - 2</t>
  </si>
  <si>
    <t>Số 70 Nguyễn Duy Dương</t>
  </si>
  <si>
    <t>PE03000155502</t>
  </si>
  <si>
    <t>Chợ An Đông 2</t>
  </si>
  <si>
    <t>Công Trường An Đông - 2</t>
  </si>
  <si>
    <t>Sn 58C Công trình An Đông</t>
  </si>
  <si>
    <t>PE03000082454</t>
  </si>
  <si>
    <t>An Đông Công Cộng</t>
  </si>
  <si>
    <t>Công trường An Đông - 1</t>
  </si>
  <si>
    <t>28 Công Trường An Đông</t>
  </si>
  <si>
    <t>PE03000197267</t>
  </si>
  <si>
    <t>An Dương Vương 1</t>
  </si>
  <si>
    <t>Yết Kiêu</t>
  </si>
  <si>
    <t>Số 31 Yết Kiêu</t>
  </si>
  <si>
    <t>PE03000082326</t>
  </si>
  <si>
    <t>Sư Vạn Hạnh 4</t>
  </si>
  <si>
    <t>Sư Vạn Hạnh - 4</t>
  </si>
  <si>
    <t>12 An Dương Vương</t>
  </si>
  <si>
    <t>PE03000092848</t>
  </si>
  <si>
    <t>Chung cư Sư Vạn Hạnh</t>
  </si>
  <si>
    <t>Đ/d 202 E Sư Vạn Hạnh</t>
  </si>
  <si>
    <t>PE03000082428</t>
  </si>
  <si>
    <t>Hùng Vương 1</t>
  </si>
  <si>
    <t>Hùng Vương - 3</t>
  </si>
  <si>
    <t>Đôi diện số 215 Hùng Vương</t>
  </si>
  <si>
    <t>PE03000174266</t>
  </si>
  <si>
    <t>Cư xá Thuốc Lá</t>
  </si>
  <si>
    <t>Công viên Hòa Bình</t>
  </si>
  <si>
    <t>PE03000082325</t>
  </si>
  <si>
    <t>Nguyễn Chí Thanh 2</t>
  </si>
  <si>
    <t>Nguyễn Chí Thanh - 2</t>
  </si>
  <si>
    <t>35 Nguyễn Chí Thanh</t>
  </si>
  <si>
    <t>PE03000082432</t>
  </si>
  <si>
    <t xml:space="preserve">Nguyễn Duy Dương 4 </t>
  </si>
  <si>
    <t>Nguyễn Duy Dương - 3</t>
  </si>
  <si>
    <t>Đối diện 95A Nguyễn Duy Dương</t>
  </si>
  <si>
    <t>PE03000155454</t>
  </si>
  <si>
    <t>Hùng Vương 2</t>
  </si>
  <si>
    <t>Hùng Vương - 4</t>
  </si>
  <si>
    <t>Số 100G Hùng Vương</t>
  </si>
  <si>
    <t>PE03000082431</t>
  </si>
  <si>
    <t>Vòng Xoay Ngã 6</t>
  </si>
  <si>
    <t>Vòng Xoay Ngã - 6</t>
  </si>
  <si>
    <t>176 Ng Tri Phương</t>
  </si>
  <si>
    <t>PE03000155494</t>
  </si>
  <si>
    <t>Nguyễn Tri Phương 5</t>
  </si>
  <si>
    <t>Nguyễn Tri Phương - 5</t>
  </si>
  <si>
    <t xml:space="preserve"> 225 Nguyễn Tri Phương</t>
  </si>
  <si>
    <t>PE03000082376</t>
  </si>
  <si>
    <t>Hùng Vương 3</t>
  </si>
  <si>
    <t>Hùng Vương - 5</t>
  </si>
  <si>
    <t>223 Nguyễn Tri Phương</t>
  </si>
  <si>
    <t>PE03000095265</t>
  </si>
  <si>
    <t>Hùng Vương 3B</t>
  </si>
  <si>
    <t>Công viên Dạ Trạch</t>
  </si>
  <si>
    <t>PE03000155456</t>
  </si>
  <si>
    <t xml:space="preserve">Ngô Gia Tự 1 </t>
  </si>
  <si>
    <t>Ngô Gia Tự - 4</t>
  </si>
  <si>
    <t xml:space="preserve"> 502 Ngô Gia Tự</t>
  </si>
  <si>
    <t>PE03000082396</t>
  </si>
  <si>
    <t>Nguyễn Chí Thanh 3</t>
  </si>
  <si>
    <t>Nguyễn Chí Thanh - 3</t>
  </si>
  <si>
    <t>129A Ng. Chí Thanh</t>
  </si>
  <si>
    <t>PE03000082169</t>
  </si>
  <si>
    <t>Nguyễn Chí Thanh 4</t>
  </si>
  <si>
    <t>Nguyễn Chí Thanh - 4</t>
  </si>
  <si>
    <t>155 Nguyễn Chí Thanh</t>
  </si>
  <si>
    <t>PE03000173899</t>
  </si>
  <si>
    <t>Ngô Quyền 2</t>
  </si>
  <si>
    <t>Ngô Quyền - 2</t>
  </si>
  <si>
    <t>Đ/d bệnh viện Phạm Ngọc Thạch</t>
  </si>
  <si>
    <t>PE03000095001</t>
  </si>
  <si>
    <t>Hồng Bàng 9</t>
  </si>
  <si>
    <t>Hồng Bàng - 2</t>
  </si>
  <si>
    <t>Đ/d 215 Hồng Bàng</t>
  </si>
  <si>
    <t>PE03000082397</t>
  </si>
  <si>
    <t>Hồng Bàng 11</t>
  </si>
  <si>
    <t>Hồng Bàng - 4</t>
  </si>
  <si>
    <t>124 Hồng Bàng</t>
  </si>
  <si>
    <t>PE03000164034</t>
  </si>
  <si>
    <t>Bà Triệu</t>
  </si>
  <si>
    <t>Nguyễn Kim</t>
  </si>
  <si>
    <t>Đ/d số 01 Tăng Bạt Hổ</t>
  </si>
  <si>
    <t>PE03000155491</t>
  </si>
  <si>
    <t>Chí Thanh 189</t>
  </si>
  <si>
    <t>Tăng Bạt Hổ</t>
  </si>
  <si>
    <t>01 Tăng Bạt Hổ</t>
  </si>
  <si>
    <t>PE03000082385</t>
  </si>
  <si>
    <t xml:space="preserve">Hải Thượng Lãn Ông 2 </t>
  </si>
  <si>
    <t xml:space="preserve">Hải Thượng Lãn Ông - 2 </t>
  </si>
  <si>
    <t>106 Hải Thượng Lãn Ông</t>
  </si>
  <si>
    <t>Nguyễn Trọng Thi</t>
  </si>
  <si>
    <t>PE03000082406</t>
  </si>
  <si>
    <t xml:space="preserve">Hải Thượng Lãn Ông 1 </t>
  </si>
  <si>
    <t xml:space="preserve">Hải Thượng Lãn Ông - 1 </t>
  </si>
  <si>
    <t>65 Hải Thượng Lãn Ông</t>
  </si>
  <si>
    <t>PE03000141709</t>
  </si>
  <si>
    <t>CHL</t>
  </si>
  <si>
    <t>Cầu Chà Và</t>
  </si>
  <si>
    <t>131 Hải Thượng Lãn Ông</t>
  </si>
  <si>
    <t>PE03000162168</t>
  </si>
  <si>
    <t xml:space="preserve">Hải Thượng Lãn Ông 4 </t>
  </si>
  <si>
    <t xml:space="preserve">Hải Thượng Lãn Ông - 4 </t>
  </si>
  <si>
    <t>Số 131 Hải Thượng Lãn Ông</t>
  </si>
  <si>
    <t>PE03000082418</t>
  </si>
  <si>
    <t xml:space="preserve">Hải Thượng Lãn Ông 3 </t>
  </si>
  <si>
    <t xml:space="preserve">Hải Thượng Lãn Ông - 3 </t>
  </si>
  <si>
    <t>Số 123 Hải Thượng Lãn Ông</t>
  </si>
  <si>
    <t>PE03000082419</t>
  </si>
  <si>
    <t>Lương Nhữ Học 1</t>
  </si>
  <si>
    <t>Lương Nhữ Học - 2</t>
  </si>
  <si>
    <t>Đ/d số 85 Lương Nhữ Học</t>
  </si>
  <si>
    <t>PE03000157549</t>
  </si>
  <si>
    <t>Trần Hưng Đạo 10</t>
  </si>
  <si>
    <t>Trần Hưng Đạo - 31</t>
  </si>
  <si>
    <t>404 Trần Hưng Đạo</t>
  </si>
  <si>
    <t>PE03000155525</t>
  </si>
  <si>
    <t>Châu Văn Liêm 2</t>
  </si>
  <si>
    <t>Châu Văn Liêm - 1</t>
  </si>
  <si>
    <t>Đ/D 41 Châu Văn Liêm</t>
  </si>
  <si>
    <t>PE03000082407</t>
  </si>
  <si>
    <t xml:space="preserve">Trần Hưng Đạo 1 </t>
  </si>
  <si>
    <t>Trần Hưng Đạo - 32</t>
  </si>
  <si>
    <t>452 Trần Hưng Đạo</t>
  </si>
  <si>
    <t>PE03000155451</t>
  </si>
  <si>
    <t>Trần Hưng Đạo 2</t>
  </si>
  <si>
    <t>Trần Hưng Đạo - 33</t>
  </si>
  <si>
    <t>Đ/d 473 Trần Hưng Đạo</t>
  </si>
  <si>
    <t>PE03000082474</t>
  </si>
  <si>
    <t xml:space="preserve">Hải Thượng Lãn Ông 5 </t>
  </si>
  <si>
    <t xml:space="preserve">Hải Thượng Lãn Ông - 5 </t>
  </si>
  <si>
    <t>219 Hải Thượng Lãn Ông</t>
  </si>
  <si>
    <t>PE03000157548</t>
  </si>
  <si>
    <t>Điện Tín 4</t>
  </si>
  <si>
    <t>Nguyễn Thi - 1</t>
  </si>
  <si>
    <t>89A Nguyễn Thi</t>
  </si>
  <si>
    <t>PE03000082198</t>
  </si>
  <si>
    <t>Điện Tín 1</t>
  </si>
  <si>
    <t>Mạc Cửu</t>
  </si>
  <si>
    <t>36 Mạc Cửu</t>
  </si>
  <si>
    <t>PE03000157551</t>
  </si>
  <si>
    <t>Quang Liêm 88</t>
  </si>
  <si>
    <t>Nguyễn Thi - 2</t>
  </si>
  <si>
    <t>45 Nguyễn Thi</t>
  </si>
  <si>
    <t>PE03000153566</t>
  </si>
  <si>
    <t>Paris 4</t>
  </si>
  <si>
    <t>Nguyễn An Khương</t>
  </si>
  <si>
    <t>Bên hông số 26 Trịnh Hoài Đức</t>
  </si>
  <si>
    <t>PE03000082400</t>
  </si>
  <si>
    <t>Paris 1</t>
  </si>
  <si>
    <t>Phùng Hưng</t>
  </si>
  <si>
    <t>27 Phùng Hưng</t>
  </si>
  <si>
    <t>PE03000145394</t>
  </si>
  <si>
    <t>TL7</t>
  </si>
  <si>
    <t>Võ Văn Kiệt - 8</t>
  </si>
  <si>
    <t>Số 1318 Võ Văn Kiệt</t>
  </si>
  <si>
    <t>PE03000082469</t>
  </si>
  <si>
    <t>Đô Thành</t>
  </si>
  <si>
    <t>Vạn Tượng - 1</t>
  </si>
  <si>
    <t>Đ/d 23 Vạn Tượng</t>
  </si>
  <si>
    <t>PE03000082401</t>
  </si>
  <si>
    <t>Paris 2</t>
  </si>
  <si>
    <t>Vạn Tượng - 2</t>
  </si>
  <si>
    <t>35 Vạn Tượng</t>
  </si>
  <si>
    <t>PE03000082402</t>
  </si>
  <si>
    <t>Gò Công 1</t>
  </si>
  <si>
    <t>Gò Công - 2</t>
  </si>
  <si>
    <t>Bên hông số 18 Phan Văn Khỏe</t>
  </si>
  <si>
    <t>PE03000082450</t>
  </si>
  <si>
    <t xml:space="preserve">Hải Thượng Lãn Ông 8 </t>
  </si>
  <si>
    <t xml:space="preserve">Hải Thượng Lãn Ông - 8 </t>
  </si>
  <si>
    <t>297 Hải Thượng Lãn Ông</t>
  </si>
  <si>
    <t>PE03000082447</t>
  </si>
  <si>
    <t>Bãi Sậy 2</t>
  </si>
  <si>
    <t>Gò Công - 1</t>
  </si>
  <si>
    <t>Đối diện số 75 Gò Công</t>
  </si>
  <si>
    <t>PE03000082430</t>
  </si>
  <si>
    <t>Mỹ Tho 2</t>
  </si>
  <si>
    <t>Gia Phú</t>
  </si>
  <si>
    <t>38 Gia Phú</t>
  </si>
  <si>
    <t>PE03000092522</t>
  </si>
  <si>
    <t xml:space="preserve">Hải Thượng Lãn Ông 9 </t>
  </si>
  <si>
    <t xml:space="preserve">Hải Thượng Lãn Ông - 9 </t>
  </si>
  <si>
    <t>Đối diện 315 Hải Thượng Lãn Ông</t>
  </si>
  <si>
    <t>PE03000153551</t>
  </si>
  <si>
    <t xml:space="preserve">Hải Thượng Lãn Ông 6 </t>
  </si>
  <si>
    <t xml:space="preserve">Hải Thượng Lãn Ông - 6 </t>
  </si>
  <si>
    <t>02 Trang Tử</t>
  </si>
  <si>
    <t>PE03000092521</t>
  </si>
  <si>
    <t>Phú Hữu</t>
  </si>
  <si>
    <t>Phú Hữu - 1</t>
  </si>
  <si>
    <t>19 Phú Hữu</t>
  </si>
  <si>
    <t>PE03000082449</t>
  </si>
  <si>
    <t>Chánh Chiếu 3</t>
  </si>
  <si>
    <t>Phú Giáo</t>
  </si>
  <si>
    <t>5B Phú Giáo</t>
  </si>
  <si>
    <t>PE03000167718</t>
  </si>
  <si>
    <t>Chánh Chiếu 3A</t>
  </si>
  <si>
    <t>Bến xe Chợ Lớn</t>
  </si>
  <si>
    <t>Đối diện 90A Trang Tử</t>
  </si>
  <si>
    <t>PE03000082405</t>
  </si>
  <si>
    <t>Chánh Chiếu 1</t>
  </si>
  <si>
    <t>Xóm Vôi - 1</t>
  </si>
  <si>
    <t>16 Xóm Vôi</t>
  </si>
  <si>
    <t>PE03000082476</t>
  </si>
  <si>
    <t>Chánh Chiếu 4</t>
  </si>
  <si>
    <t>Trần Chánh Chiếu</t>
  </si>
  <si>
    <t>96 Trần Chánh Chiếu</t>
  </si>
  <si>
    <t>PE03000082448</t>
  </si>
  <si>
    <t>Chánh Chiếu 2</t>
  </si>
  <si>
    <t>Xóm Vôi - 2</t>
  </si>
  <si>
    <t>1034 Nguyễn Trãi</t>
  </si>
  <si>
    <t>PE03000082410</t>
  </si>
  <si>
    <t>Hồng Bàng 6</t>
  </si>
  <si>
    <t>Hồng Bàng - 10</t>
  </si>
  <si>
    <t>521 Hồng Bàng</t>
  </si>
  <si>
    <t>PE03000146380</t>
  </si>
  <si>
    <t>Thị Sảnh 3</t>
  </si>
  <si>
    <t>Phú Hữu - 2</t>
  </si>
  <si>
    <t>958 Nguyễn Trãi</t>
  </si>
  <si>
    <t>PE03000146384</t>
  </si>
  <si>
    <t>Nguyễn Trãi 10</t>
  </si>
  <si>
    <t>Nguyễn Trãi - 10</t>
  </si>
  <si>
    <t>Số 958 Nguyễn Trãi</t>
  </si>
  <si>
    <t>PE03000082411</t>
  </si>
  <si>
    <t>Trần Hưng Đạo 3</t>
  </si>
  <si>
    <t>Trần Hưng Đạo - 34</t>
  </si>
  <si>
    <t>618 Trần Hưng Đạo</t>
  </si>
  <si>
    <t>PE03000082429</t>
  </si>
  <si>
    <t>Lý 2</t>
  </si>
  <si>
    <t>Dương Tử Giang</t>
  </si>
  <si>
    <t>72 Dương Tử Giang</t>
  </si>
  <si>
    <t>PE03000082408</t>
  </si>
  <si>
    <t>Lý 1</t>
  </si>
  <si>
    <t>Đỗ Ngọc Thạnh - 1</t>
  </si>
  <si>
    <t>427 Hồng Bàng</t>
  </si>
  <si>
    <t>PE03000082404</t>
  </si>
  <si>
    <t>Hồng Bàng 4</t>
  </si>
  <si>
    <t>Hồng Bàng - 8</t>
  </si>
  <si>
    <t>397 Hồng Bàng</t>
  </si>
  <si>
    <t>PE03000155504</t>
  </si>
  <si>
    <t>Châu Văn Liêm 3</t>
  </si>
  <si>
    <t>Châu Văn Liêm - 3</t>
  </si>
  <si>
    <t>Đối diện số 123  Châu Văn Liêm</t>
  </si>
  <si>
    <t>PE03000082417</t>
  </si>
  <si>
    <t xml:space="preserve">Châu Văn Liêm 1 </t>
  </si>
  <si>
    <t>Châu Văn Liêm - 2</t>
  </si>
  <si>
    <t>Đ/D 96 Châu Văn Liêm</t>
  </si>
  <si>
    <t>PE03000082386</t>
  </si>
  <si>
    <t>Lão Tử 1</t>
  </si>
  <si>
    <t>Lão Tử</t>
  </si>
  <si>
    <t>14 Lão Tử</t>
  </si>
  <si>
    <t>PE03000082444</t>
  </si>
  <si>
    <t>Hồng Bàng 2</t>
  </si>
  <si>
    <t>Hồng Bàng - 6</t>
  </si>
  <si>
    <t>329 Hồng Bàng</t>
  </si>
  <si>
    <t>PE03000082464</t>
  </si>
  <si>
    <t>Đại Quang</t>
  </si>
  <si>
    <t>Lương Nhữ Học - 1</t>
  </si>
  <si>
    <t>182 Lương Nhữ Học</t>
  </si>
  <si>
    <t>PE03000095000</t>
  </si>
  <si>
    <t>Hồng Bàng 1</t>
  </si>
  <si>
    <t>Hồng Bàng - 5</t>
  </si>
  <si>
    <t>Đối diện 259 Hồng Bàng</t>
  </si>
  <si>
    <t>PE03000082395</t>
  </si>
  <si>
    <t>Hữu Chí</t>
  </si>
  <si>
    <t>Hữu Chí - 1</t>
  </si>
  <si>
    <t>2 Phạm Hữu Chí</t>
  </si>
  <si>
    <t>PE03000155520</t>
  </si>
  <si>
    <t>Hữu Chí 5</t>
  </si>
  <si>
    <t>Hữu Chí - 2</t>
  </si>
  <si>
    <t>42 Thuận Kiều</t>
  </si>
  <si>
    <t>PE03000155523</t>
  </si>
  <si>
    <t>Bà Triệu 2</t>
  </si>
  <si>
    <t>Tân Hưng - 1</t>
  </si>
  <si>
    <t xml:space="preserve"> Đ/D 82 Tân Hưng </t>
  </si>
  <si>
    <t>PE03000155524</t>
  </si>
  <si>
    <t xml:space="preserve">Hồng Bàng 3 </t>
  </si>
  <si>
    <t>Hồng Bàng - 7</t>
  </si>
  <si>
    <t>186 Hồng Bàng</t>
  </si>
  <si>
    <t>PE03000082391</t>
  </si>
  <si>
    <t>Tân Hưng 2</t>
  </si>
  <si>
    <t>Tân Hưng - 2</t>
  </si>
  <si>
    <t>88 Tân Hưng</t>
  </si>
  <si>
    <t>PE03000082392</t>
  </si>
  <si>
    <t>Tân Hưng 1</t>
  </si>
  <si>
    <t>Tân Hưng - 3</t>
  </si>
  <si>
    <t>116 Tân Hưng</t>
  </si>
  <si>
    <t>PE03000082468</t>
  </si>
  <si>
    <t>Hồ Nước 1</t>
  </si>
  <si>
    <t>Đỗ Ngọc Thạnh - 2</t>
  </si>
  <si>
    <t>216 Đỗ Ngọc Thạnh</t>
  </si>
  <si>
    <t>PE03000155522</t>
  </si>
  <si>
    <t>Phương Toàn 2</t>
  </si>
  <si>
    <t>Tân Thành</t>
  </si>
  <si>
    <t>87A Tân Thành</t>
  </si>
  <si>
    <t>PE03000155521</t>
  </si>
  <si>
    <t>Hữu Chí 4</t>
  </si>
  <si>
    <t>Phó Cơ Điều</t>
  </si>
  <si>
    <t>22 Phó Cơ Điều</t>
  </si>
  <si>
    <t>PE03000095594</t>
  </si>
  <si>
    <t xml:space="preserve">Hồng Bàng 5 </t>
  </si>
  <si>
    <t>Hồng Bàng - 9</t>
  </si>
  <si>
    <t>206 Hồng Bàng</t>
  </si>
  <si>
    <t>PE03000082463</t>
  </si>
  <si>
    <t>Hồ Nước 2</t>
  </si>
  <si>
    <t>Tạ Uyên - 2</t>
  </si>
  <si>
    <t>36 Tạ Uyên</t>
  </si>
  <si>
    <t>PE03000082414</t>
  </si>
  <si>
    <t>Thọ Tường</t>
  </si>
  <si>
    <t>Tạ Uyên - 1</t>
  </si>
  <si>
    <t>234 Tạ Uyên</t>
  </si>
  <si>
    <t>PE03000082423</t>
  </si>
  <si>
    <t>Hồng Bàng 7</t>
  </si>
  <si>
    <t>Hồng Bàng - 11</t>
  </si>
  <si>
    <t>266 Hồng Bàng</t>
  </si>
  <si>
    <t>PE03000082420</t>
  </si>
  <si>
    <t>Công Trừng 107</t>
  </si>
  <si>
    <t>Nguyễn Thị Nhỏ</t>
  </si>
  <si>
    <t>Số 138 Nguyễn Thị Nhỏ</t>
  </si>
  <si>
    <t>PE03000082421</t>
  </si>
  <si>
    <t>Nguyễn Chí Thanh 10</t>
  </si>
  <si>
    <t>Nguyễn Chí Thanh - 11</t>
  </si>
  <si>
    <t>427 Ng.Chí Thanh</t>
  </si>
  <si>
    <t>PE03000082413</t>
  </si>
  <si>
    <t>Hà Tôn Quyền</t>
  </si>
  <si>
    <t>Bên hông 409 Nguyễn Chí Thanh</t>
  </si>
  <si>
    <t>PE03000082412</t>
  </si>
  <si>
    <t>Nguyễn Chí Thanh 9</t>
  </si>
  <si>
    <t>Nguyễn Chí Thanh - 10</t>
  </si>
  <si>
    <t>377 Ng.Chí Thanh</t>
  </si>
  <si>
    <t>PE03000082398</t>
  </si>
  <si>
    <t>Nguyễn Chí Thanh 7</t>
  </si>
  <si>
    <t>Nguyễn Chí Thanh - 8</t>
  </si>
  <si>
    <t>201B Nguyễn Chí Thanh</t>
  </si>
  <si>
    <t>PE03000082394</t>
  </si>
  <si>
    <t>Nguyễn Chí Thanh 6</t>
  </si>
  <si>
    <t>Nguyễn Chí Thanh - 6</t>
  </si>
  <si>
    <t>201A Nguyễn Chí Thanh</t>
  </si>
  <si>
    <t>PE03000155455</t>
  </si>
  <si>
    <t>Trần Phú 8</t>
  </si>
  <si>
    <t>Trần Phú - 6</t>
  </si>
  <si>
    <t>173 Trần Phú</t>
  </si>
  <si>
    <t>Tăng Quốc Hưng</t>
  </si>
  <si>
    <t>PE03000092136</t>
  </si>
  <si>
    <t>Trần Phú</t>
  </si>
  <si>
    <t>Đ/d 23 Trần Nhân Tôn</t>
  </si>
  <si>
    <t>PE03000092137</t>
  </si>
  <si>
    <t>Lê Hồng Phong 1</t>
  </si>
  <si>
    <t>Lê Hồng Phong - 6</t>
  </si>
  <si>
    <t>Đ/d 266 LH Phong</t>
  </si>
  <si>
    <t>PE03000155453</t>
  </si>
  <si>
    <t>Lê Hồng Phong 2</t>
  </si>
  <si>
    <t>Lê Hồng Phong - 7</t>
  </si>
  <si>
    <t>239 Lê Hồng Phong</t>
  </si>
  <si>
    <t>PE03000082380</t>
  </si>
  <si>
    <t>Quang Trung</t>
  </si>
  <si>
    <t>Hẻm 136 Trần Phú</t>
  </si>
  <si>
    <t>Số 144 Trần Phú</t>
  </si>
  <si>
    <t>PE03000082433</t>
  </si>
  <si>
    <t>Trần Phú 7</t>
  </si>
  <si>
    <t>Trần Phú - 7</t>
  </si>
  <si>
    <t>51 Trần Phú</t>
  </si>
  <si>
    <t>PE03000082381</t>
  </si>
  <si>
    <t>Trung Tâm Học Liệu</t>
  </si>
  <si>
    <t>Trần Bình Trọng - 3</t>
  </si>
  <si>
    <t>240 Trần Bình Trọng</t>
  </si>
  <si>
    <t>PE03000082465</t>
  </si>
  <si>
    <t>Trần Phú 6</t>
  </si>
  <si>
    <t>Trần Phú - 8</t>
  </si>
  <si>
    <t>5 Trần Phú</t>
  </si>
  <si>
    <t>PE03000086370</t>
  </si>
  <si>
    <t>Đại Học 4</t>
  </si>
  <si>
    <t>Công Viên Âu Lạc</t>
  </si>
  <si>
    <t>3A Trần Phú</t>
  </si>
  <si>
    <t>PE03000082363</t>
  </si>
  <si>
    <t>Nguyễn Văn Cừ 1</t>
  </si>
  <si>
    <t>Nguyễn Văn Cừ - 3</t>
  </si>
  <si>
    <t>227 Nguyễn Văn Cừ</t>
  </si>
  <si>
    <t>PE03000082461</t>
  </si>
  <si>
    <t>An Dương Vương 2</t>
  </si>
  <si>
    <t>An Dương Vương - 2</t>
  </si>
  <si>
    <t>280 An Dương Vương</t>
  </si>
  <si>
    <t>PE03000082471</t>
  </si>
  <si>
    <t>An Dương Vương 3</t>
  </si>
  <si>
    <t xml:space="preserve">An Dương Vương - 3 </t>
  </si>
  <si>
    <t>290C An Dương Vương</t>
  </si>
  <si>
    <t>PE03000082470</t>
  </si>
  <si>
    <t>An Dương Vương 4</t>
  </si>
  <si>
    <t xml:space="preserve">An Dương Vương - 4 </t>
  </si>
  <si>
    <t>285 An Dương Vương</t>
  </si>
  <si>
    <t>PE03000082462</t>
  </si>
  <si>
    <t>An Dương Vương 5</t>
  </si>
  <si>
    <t>An Dương Vương - 5</t>
  </si>
  <si>
    <t>379 An Dương Vương</t>
  </si>
  <si>
    <t>PE03000082364</t>
  </si>
  <si>
    <t>An Dương Vương 6</t>
  </si>
  <si>
    <t xml:space="preserve">An Dương Vương - 6 </t>
  </si>
  <si>
    <t>410-412 An Dương Vương</t>
  </si>
  <si>
    <t>PE03000155449</t>
  </si>
  <si>
    <t>An Dương Vương 7</t>
  </si>
  <si>
    <t>An Dương Vương - 7</t>
  </si>
  <si>
    <t>Số 522 An Dương Vương</t>
  </si>
  <si>
    <t>PE03000147877</t>
  </si>
  <si>
    <t>An Dương Vương 8</t>
  </si>
  <si>
    <t>An Dương Vương - 8</t>
  </si>
  <si>
    <t>479 An Dương Vương</t>
  </si>
  <si>
    <t>PE03000082322</t>
  </si>
  <si>
    <t>Nguyễn Trãi 7</t>
  </si>
  <si>
    <t>Nguyễn Trãi - 7</t>
  </si>
  <si>
    <t>Đ/d 339 Nguyễn Trãi</t>
  </si>
  <si>
    <t>PE03000082475</t>
  </si>
  <si>
    <t>EMG 2</t>
  </si>
  <si>
    <t>EMG - 2</t>
  </si>
  <si>
    <t>13 C/C Phan Văn Trị</t>
  </si>
  <si>
    <t>PE03000147873</t>
  </si>
  <si>
    <t>Lê Hồng Phong 3</t>
  </si>
  <si>
    <t>Lê Hồng Phong - 8</t>
  </si>
  <si>
    <t>133 Lê Hồng Phong</t>
  </si>
  <si>
    <t>PE03000147879</t>
  </si>
  <si>
    <t>Bình Trọng 240</t>
  </si>
  <si>
    <t>Trần Bình Trọng - 4</t>
  </si>
  <si>
    <t>Số 143 Trần Bình Trọng</t>
  </si>
  <si>
    <t>PE03000082434</t>
  </si>
  <si>
    <t>Nguyễn Trãi 6</t>
  </si>
  <si>
    <t>Nguyễn Trãi - 6</t>
  </si>
  <si>
    <t>20 Nguyễn Trãi</t>
  </si>
  <si>
    <t>PE03000147872</t>
  </si>
  <si>
    <t>Nguyễn Văn Cừ 2</t>
  </si>
  <si>
    <t xml:space="preserve">Nguyễn Văn Cừ - 4 </t>
  </si>
  <si>
    <t>203 Nguyễn Văn Cừ</t>
  </si>
  <si>
    <t>PE03000157553</t>
  </si>
  <si>
    <t>Cao Su 5</t>
  </si>
  <si>
    <t>Cao Su - 5</t>
  </si>
  <si>
    <t>01 Phan Văn Trị</t>
  </si>
  <si>
    <t>PE03000082457</t>
  </si>
  <si>
    <t>Cao Su 4</t>
  </si>
  <si>
    <t>Cao Su - 4</t>
  </si>
  <si>
    <t>Số 164 Nguyễn Biểu</t>
  </si>
  <si>
    <t>PE03000082306</t>
  </si>
  <si>
    <t>Cao Su 3</t>
  </si>
  <si>
    <t>Cao Su - 3</t>
  </si>
  <si>
    <t>146 Nguyễn Biểu</t>
  </si>
  <si>
    <t>PE03000082356</t>
  </si>
  <si>
    <t>Trần Hưng Đạo 12</t>
  </si>
  <si>
    <t xml:space="preserve">Trần Hưng Đạo - 12 </t>
  </si>
  <si>
    <t>422 Trần Hưng Đạo</t>
  </si>
  <si>
    <t>PE03000082435</t>
  </si>
  <si>
    <t>Trần Hưng Đạo 11</t>
  </si>
  <si>
    <t xml:space="preserve">Trần Hưng Đạo - 11 </t>
  </si>
  <si>
    <t>665 Trần Hưng Đạo</t>
  </si>
  <si>
    <t>PE03000139778</t>
  </si>
  <si>
    <t>Nguyễn Văn Cừ 3</t>
  </si>
  <si>
    <t>Nguyễn Văn Cừ - 5</t>
  </si>
  <si>
    <t>56 Nguyễn Văn Cừ</t>
  </si>
  <si>
    <t>PE03000146460</t>
  </si>
  <si>
    <t>TL10</t>
  </si>
  <si>
    <t>Võ Văn Kiệt - 3</t>
  </si>
  <si>
    <t>16C Võ Văn Kiệt</t>
  </si>
  <si>
    <t>PE03000155503</t>
  </si>
  <si>
    <t>Nguyễn Biểu 2</t>
  </si>
  <si>
    <t>Nguyễn Biểu - 2</t>
  </si>
  <si>
    <t>22 Nguyễn Biểu</t>
  </si>
  <si>
    <t>PE03000082361</t>
  </si>
  <si>
    <t>Kim Khí 1</t>
  </si>
  <si>
    <t>Kim Khí - 1</t>
  </si>
  <si>
    <t>Đ/d 72 Nguyễn Biểu</t>
  </si>
  <si>
    <t>PE03000139003</t>
  </si>
  <si>
    <t>C/C 109 Nguyễn Biểu</t>
  </si>
  <si>
    <t>Chung cư 109 Nguyễn Biểu</t>
  </si>
  <si>
    <t>CC 109 Nguyễn Biểu</t>
  </si>
  <si>
    <t>PE03000082360</t>
  </si>
  <si>
    <t>Nguyễn Biểu</t>
  </si>
  <si>
    <t>19 Nguyễn Biểu</t>
  </si>
  <si>
    <t>PE03000082456</t>
  </si>
  <si>
    <t>Trần Bình Trọng 5</t>
  </si>
  <si>
    <t>Trần Bình Trọng - 5</t>
  </si>
  <si>
    <t>68 Trần Bình Trọng</t>
  </si>
  <si>
    <t>PE03000082358</t>
  </si>
  <si>
    <t>Cao Đạt 3</t>
  </si>
  <si>
    <t>Cao Đạt - 3</t>
  </si>
  <si>
    <t>317 Cao Đạt</t>
  </si>
  <si>
    <t>PE03000082451</t>
  </si>
  <si>
    <t>Trần Hưng Đạo 15</t>
  </si>
  <si>
    <t>Trần Hưng Đạo - 13</t>
  </si>
  <si>
    <t>767 Trần Hưng Đạo</t>
  </si>
  <si>
    <t>PE03000082362</t>
  </si>
  <si>
    <t>Trần Hưng Đạo 13</t>
  </si>
  <si>
    <t>Trần Hưng Đạo - 14</t>
  </si>
  <si>
    <t>520 Trần Hưng Đạo</t>
  </si>
  <si>
    <t>PE03000082437</t>
  </si>
  <si>
    <t>Trần Hưng Đạo 14</t>
  </si>
  <si>
    <t>Trần Hưng Đạo - 15</t>
  </si>
  <si>
    <t>Số 606B Trần Hưng Đạo</t>
  </si>
  <si>
    <t>PE03000155498</t>
  </si>
  <si>
    <t>Mẫn Đạt</t>
  </si>
  <si>
    <t>343 Phan Văn Trị</t>
  </si>
  <si>
    <t>PE03000155499</t>
  </si>
  <si>
    <t>EMG 4</t>
  </si>
  <si>
    <t>EMG - 4</t>
  </si>
  <si>
    <t>Sn 113 Lê Hồng Phong</t>
  </si>
  <si>
    <t>PE03000170876</t>
  </si>
  <si>
    <t>Trần Hưng Đạo 16</t>
  </si>
  <si>
    <t>Trần Hưng Đạo - 16</t>
  </si>
  <si>
    <t>Số nhà 682 Trần Hưng Đạo</t>
  </si>
  <si>
    <t>PE03000147875</t>
  </si>
  <si>
    <t>Phước Thiện 3</t>
  </si>
  <si>
    <t>Phước Thiện - 3</t>
  </si>
  <si>
    <t>405 Phan Văn Trị</t>
  </si>
  <si>
    <t>PE03000147874</t>
  </si>
  <si>
    <t>Mẫn Đạt 5</t>
  </si>
  <si>
    <t>Mẫn Đạt - 5</t>
  </si>
  <si>
    <t>758 Trần Hưng Đạo</t>
  </si>
  <si>
    <t>PE03000082368</t>
  </si>
  <si>
    <t>Trần Hưng Đạo 19</t>
  </si>
  <si>
    <t xml:space="preserve">Trần Hưng Đạo - 19 </t>
  </si>
  <si>
    <t>796 Trần Hưng Đạo</t>
  </si>
  <si>
    <t>PE03000082373</t>
  </si>
  <si>
    <t>Trần Hưng Đạo 20</t>
  </si>
  <si>
    <t>Trần Hưng Đạo - 21</t>
  </si>
  <si>
    <t>890 Trần Hưng Đạo</t>
  </si>
  <si>
    <t>PE03000082452</t>
  </si>
  <si>
    <t>An Bình 3</t>
  </si>
  <si>
    <t xml:space="preserve">An Bình - 3 </t>
  </si>
  <si>
    <t>173 An Bình</t>
  </si>
  <si>
    <t>PE03000082372</t>
  </si>
  <si>
    <t>Trần Hưng Đạo 24</t>
  </si>
  <si>
    <t xml:space="preserve">Trần Hưng Đạo - 24 </t>
  </si>
  <si>
    <t>34 Trần Hưng Đạo</t>
  </si>
  <si>
    <t>PE03000155496</t>
  </si>
  <si>
    <t>Văn Đừng 22</t>
  </si>
  <si>
    <t>Văn Đừng - 22</t>
  </si>
  <si>
    <t>Sn 52 Nguyễn Văn Đừng</t>
  </si>
  <si>
    <t>PE03000082426</t>
  </si>
  <si>
    <t>Thời Trung</t>
  </si>
  <si>
    <t>564 Hàm Tử</t>
  </si>
  <si>
    <t>PE03000082371</t>
  </si>
  <si>
    <t>Trần Hưng Đạo 23</t>
  </si>
  <si>
    <t>Trần Hưng Đạo - 23</t>
  </si>
  <si>
    <t>29 Trần Hưng Đạo</t>
  </si>
  <si>
    <t>PE03000082369</t>
  </si>
  <si>
    <t>Đình Lắm 1</t>
  </si>
  <si>
    <t>An Bình - 1</t>
  </si>
  <si>
    <t>4 An Bình</t>
  </si>
  <si>
    <t>PE03000082453</t>
  </si>
  <si>
    <t>An Bình 2</t>
  </si>
  <si>
    <t xml:space="preserve">An Bình - 2 </t>
  </si>
  <si>
    <t>58 An Bình</t>
  </si>
  <si>
    <t>PE03000082473</t>
  </si>
  <si>
    <t>Trần Hưng Đạo 22</t>
  </si>
  <si>
    <t>Trần Hưng Đạo - 22</t>
  </si>
  <si>
    <t>1139 Trần Hưng Đạo</t>
  </si>
  <si>
    <t>PE03000157552</t>
  </si>
  <si>
    <t>An Bình 5</t>
  </si>
  <si>
    <t>An Bình - 5</t>
  </si>
  <si>
    <t>140 Trần Tuấn Khải</t>
  </si>
  <si>
    <t>PE03000156386</t>
  </si>
  <si>
    <t>Hòa Bình 2</t>
  </si>
  <si>
    <t>Hòa Bình - 2</t>
  </si>
  <si>
    <t>71 Bạch Vân</t>
  </si>
  <si>
    <t>PE03000082370</t>
  </si>
  <si>
    <t>Trần Hưng Đạo 21</t>
  </si>
  <si>
    <t>Trần Hưng Đạo - 20</t>
  </si>
  <si>
    <t>1053 Trần Hưng Đạo</t>
  </si>
  <si>
    <t>PE03000082365</t>
  </si>
  <si>
    <t>Hòa Bình 1</t>
  </si>
  <si>
    <t>Hòa Bình - 1</t>
  </si>
  <si>
    <t>Số 39 Bạch Vân</t>
  </si>
  <si>
    <t>PE03000146265</t>
  </si>
  <si>
    <t>TL9</t>
  </si>
  <si>
    <t>Võ Văn Kiệt - 4</t>
  </si>
  <si>
    <t>Số 1 Đào Tấn</t>
  </si>
  <si>
    <t>PE03000164035</t>
  </si>
  <si>
    <t>Nhiêu Tâm 24</t>
  </si>
  <si>
    <t>Nhiêu Tâm - 24</t>
  </si>
  <si>
    <t>Số 44 Chiêu Anh Cát</t>
  </si>
  <si>
    <t>PE03000153549</t>
  </si>
  <si>
    <t>Nhiêu Tâm 4</t>
  </si>
  <si>
    <t>Nhiêu Tâm - 4</t>
  </si>
  <si>
    <t>63 Nghĩa Thục</t>
  </si>
  <si>
    <t>PE03000082367</t>
  </si>
  <si>
    <t>Trần Hưng Đạo 18</t>
  </si>
  <si>
    <t xml:space="preserve">Trần Hưng Đạo - 18 </t>
  </si>
  <si>
    <t>997 Trần Hưng Đạo</t>
  </si>
  <si>
    <t>PE03000082357</t>
  </si>
  <si>
    <t>Đ/d 961 Trần Hưng Đạo</t>
  </si>
  <si>
    <t>PE03000082354</t>
  </si>
  <si>
    <t>Trần Hưng Đạo 17</t>
  </si>
  <si>
    <t xml:space="preserve">Trần Hưng Đạo - 17 </t>
  </si>
  <si>
    <t>Đ/d 682 Trần Hưng Đạo</t>
  </si>
  <si>
    <t>PE03000141545</t>
  </si>
  <si>
    <t>Cầu Chữy Y</t>
  </si>
  <si>
    <t>Cầu Chữ Y</t>
  </si>
  <si>
    <t>Số 30 Nguyễn Biểu</t>
  </si>
  <si>
    <t>PE03000137924</t>
  </si>
  <si>
    <t>Phú Định 8/1</t>
  </si>
  <si>
    <t>Khu TĐC Cảng Phú Định</t>
  </si>
  <si>
    <t>Khu TĐC Phú Định</t>
  </si>
  <si>
    <t>Nguyễn Quí Tiên</t>
  </si>
  <si>
    <t>PE03000162078</t>
  </si>
  <si>
    <t>Hương Lộ 5</t>
  </si>
  <si>
    <t>Hương Lộ - 5</t>
  </si>
  <si>
    <t>Số 22A Hồ Học Lãm</t>
  </si>
  <si>
    <t>PE03000184781</t>
  </si>
  <si>
    <t>Hương Lộ 5A</t>
  </si>
  <si>
    <t>Đường vào Cảng Phú Định</t>
  </si>
  <si>
    <t>Số 01 Hồ Học Lãm</t>
  </si>
  <si>
    <t>PE03000084753</t>
  </si>
  <si>
    <t>An Dương Vương - 1</t>
  </si>
  <si>
    <t>9/1 An Dương Vương</t>
  </si>
  <si>
    <t>PE03000106521</t>
  </si>
  <si>
    <t>Khu dân cư An Dương Vương 1</t>
  </si>
  <si>
    <t>Khu dân cư An Dương Vương - 1</t>
  </si>
  <si>
    <t>37 Lô C KDC An Dương Vương</t>
  </si>
  <si>
    <t>PE03000106522</t>
  </si>
  <si>
    <t>Khu dân cư An Dương Vương 2</t>
  </si>
  <si>
    <t>Khu dân cư An Dương Vương - 2</t>
  </si>
  <si>
    <t>T.số 23 An Dương Vương</t>
  </si>
  <si>
    <t>PE03000082616</t>
  </si>
  <si>
    <t xml:space="preserve">Bến Phú Định 7 </t>
  </si>
  <si>
    <t xml:space="preserve">Phú Định - 7 </t>
  </si>
  <si>
    <t>97 Phú Định</t>
  </si>
  <si>
    <t>PE03000200869</t>
  </si>
  <si>
    <t>Bờ Kè Phú Định 2</t>
  </si>
  <si>
    <t>Đ/d số 68 Phú Định</t>
  </si>
  <si>
    <t>PE03000153572</t>
  </si>
  <si>
    <t>Cầu Đình 4</t>
  </si>
  <si>
    <t>Trương Đình Hội - 1</t>
  </si>
  <si>
    <t>2 Trương Đình Hội</t>
  </si>
  <si>
    <t>PE03000158321</t>
  </si>
  <si>
    <t>Cầu Đình A</t>
  </si>
  <si>
    <t>Trương Đình Hội - 2</t>
  </si>
  <si>
    <t>43D Trương Đình Hội</t>
  </si>
  <si>
    <t>PE03000112492</t>
  </si>
  <si>
    <t>Phạm Đức Sơn 2</t>
  </si>
  <si>
    <t>Phạm Đức Sơn - 2</t>
  </si>
  <si>
    <t>64 Phạm Đức Sơn</t>
  </si>
  <si>
    <t>PE03000112490</t>
  </si>
  <si>
    <t>Phạm Đức Sơn 1</t>
  </si>
  <si>
    <t>Phạm Đức Sơn - 1</t>
  </si>
  <si>
    <t>Đ/d số 28 Phạm Đức Sơn</t>
  </si>
  <si>
    <t>PE03000102420</t>
  </si>
  <si>
    <t>Nhật Minh</t>
  </si>
  <si>
    <t>Khu dân cư Nhật Minh</t>
  </si>
  <si>
    <t>Trước số 11 KDC Nhật Minh</t>
  </si>
  <si>
    <t>PE03000085066</t>
  </si>
  <si>
    <t xml:space="preserve">An Dương Vương 2 </t>
  </si>
  <si>
    <t xml:space="preserve">An Dương Vương - 2 </t>
  </si>
  <si>
    <t>Đ/d 308 An Dương Vương</t>
  </si>
  <si>
    <t>PE03000153573</t>
  </si>
  <si>
    <t>An Dương Vương - 3</t>
  </si>
  <si>
    <t>42 An Dương Vương</t>
  </si>
  <si>
    <t>PE03000149525</t>
  </si>
  <si>
    <t>Hoàng Ngân - 3</t>
  </si>
  <si>
    <t>Số 158 An Dương Vương</t>
  </si>
  <si>
    <t>PE03000157832</t>
  </si>
  <si>
    <t>Hẻm 172 An Dương Vương 1</t>
  </si>
  <si>
    <t>Hẻm 172 An Dương Vương - 1</t>
  </si>
  <si>
    <t>172/41 An Dương Vương</t>
  </si>
  <si>
    <t>PE03000157834</t>
  </si>
  <si>
    <t>An Dương Vương 6A</t>
  </si>
  <si>
    <t>Hẻm 172 An Dương Vương - 2</t>
  </si>
  <si>
    <t>172/134A An Dương Vương</t>
  </si>
  <si>
    <t>PE03000157837</t>
  </si>
  <si>
    <t>Hẻm 172 An Dương Vương 2</t>
  </si>
  <si>
    <t>Hẻm 172 An Dương Vương - 3</t>
  </si>
  <si>
    <t>172/136A An Dương Vương</t>
  </si>
  <si>
    <t>PE03000157835</t>
  </si>
  <si>
    <t>An Dương Vương 11</t>
  </si>
  <si>
    <t>Hẻm 172 An Dương Vương - 4</t>
  </si>
  <si>
    <t>172/185/2 An Dương Vương</t>
  </si>
  <si>
    <t>PE03000112491</t>
  </si>
  <si>
    <t>Phạm Đức Sơn 3</t>
  </si>
  <si>
    <t>Phạm Đức Sơn - 3</t>
  </si>
  <si>
    <t>Phạm Đức Sơn</t>
  </si>
  <si>
    <t>PE03000110444</t>
  </si>
  <si>
    <t>Trạm 41/3</t>
  </si>
  <si>
    <t>Hoàng Ngân - 2</t>
  </si>
  <si>
    <t>Số 146 Hoàng Ngân</t>
  </si>
  <si>
    <t>PE03000099454</t>
  </si>
  <si>
    <t>Trạm 41/1</t>
  </si>
  <si>
    <t>Hoàng Ngân - 1</t>
  </si>
  <si>
    <t xml:space="preserve">Số 92 Đường 41 </t>
  </si>
  <si>
    <t>PE03000102416</t>
  </si>
  <si>
    <t>Bến Phú Định 4</t>
  </si>
  <si>
    <t>Phú Định - 4</t>
  </si>
  <si>
    <t>46/3A Phú Định</t>
  </si>
  <si>
    <t>PE03000102418</t>
  </si>
  <si>
    <t>Bến Phú Định 3</t>
  </si>
  <si>
    <t>Phú Định - 3</t>
  </si>
  <si>
    <t>199 Phú Định</t>
  </si>
  <si>
    <t>PE03000102417</t>
  </si>
  <si>
    <t>Bến Phú Định 2</t>
  </si>
  <si>
    <t>Phú Định - 2</t>
  </si>
  <si>
    <t>71 Phú Định</t>
  </si>
  <si>
    <t>PE03000200057</t>
  </si>
  <si>
    <t>Bờ Kè Phú Định 1</t>
  </si>
  <si>
    <t>Đ/d số 7 Phú Định</t>
  </si>
  <si>
    <t>PE03000102419</t>
  </si>
  <si>
    <t>Bến Phú Định 1</t>
  </si>
  <si>
    <t>Phú Định - 1</t>
  </si>
  <si>
    <t>44 Phú Định</t>
  </si>
  <si>
    <t>PE03000146663</t>
  </si>
  <si>
    <t>Lò Gạch Quận 8</t>
  </si>
  <si>
    <t>Lý Đạo Thành</t>
  </si>
  <si>
    <t>Số 5 Lý Đạo Thành</t>
  </si>
  <si>
    <t>PE03000146556</t>
  </si>
  <si>
    <t>Lò Gạch 2</t>
  </si>
  <si>
    <t>Nguyễn Ngọc Cung - 2</t>
  </si>
  <si>
    <t>Kế sn 22A Nuyễn Nọc Cung</t>
  </si>
  <si>
    <t>PE03000146662</t>
  </si>
  <si>
    <t>Hoà Lục 4A</t>
  </si>
  <si>
    <t>Hẻm 38 Nguyễn Ngọc Cung</t>
  </si>
  <si>
    <t>38/18/4 Nguyễn Ngọc Cung</t>
  </si>
  <si>
    <t>PE03000146555</t>
  </si>
  <si>
    <t>Lò Gạch 2A</t>
  </si>
  <si>
    <t>Nguyễn Ngọc Cung - 1</t>
  </si>
  <si>
    <t>11/1 Nguyễn Ngọc Cung</t>
  </si>
  <si>
    <t>PE03000161631</t>
  </si>
  <si>
    <t>TL3</t>
  </si>
  <si>
    <t>Võ Văn Kiệt - 12</t>
  </si>
  <si>
    <t>1648 Võ Văn Kiệt</t>
  </si>
  <si>
    <t>PE03000163732</t>
  </si>
  <si>
    <t xml:space="preserve">Hẻm 218 An Dương Vương </t>
  </si>
  <si>
    <t>218/5 An Dương Vương</t>
  </si>
  <si>
    <t>PE03000156385</t>
  </si>
  <si>
    <t xml:space="preserve">An Dương Vương 6 </t>
  </si>
  <si>
    <t>đ/d 257A  An Dương Vương</t>
  </si>
  <si>
    <t>PE03000084755</t>
  </si>
  <si>
    <t>72 An Dương Vương</t>
  </si>
  <si>
    <t>PE03000108254</t>
  </si>
  <si>
    <t>Đại Khánh</t>
  </si>
  <si>
    <t>Khu dân cư Thanh Nhựt</t>
  </si>
  <si>
    <t>236/30 An Dương Vương</t>
  </si>
  <si>
    <t>PE03000084754</t>
  </si>
  <si>
    <t>56 An Dương Vương</t>
  </si>
  <si>
    <t>PE03000194913</t>
  </si>
  <si>
    <t>CVP15Q8</t>
  </si>
  <si>
    <t>Hẻm 186 Mễ Cốc</t>
  </si>
  <si>
    <t>PE03000200868</t>
  </si>
  <si>
    <t>Bờ Kè Mễ Cốc</t>
  </si>
  <si>
    <t>Đ/d số 207 Mễ Cốc</t>
  </si>
  <si>
    <t>PE03000153574</t>
  </si>
  <si>
    <t xml:space="preserve">Lưu Hữu Phước 6 </t>
  </si>
  <si>
    <t xml:space="preserve">Lưu Hữu Phước - 6 </t>
  </si>
  <si>
    <t xml:space="preserve">339 Lưu Hữu Phước </t>
  </si>
  <si>
    <t>PE03000082535</t>
  </si>
  <si>
    <t>Rạch Cát 1</t>
  </si>
  <si>
    <t>Rạch Cát</t>
  </si>
  <si>
    <t>16 Rạch Cát</t>
  </si>
  <si>
    <t>PE03000082613</t>
  </si>
  <si>
    <t>Rạch Cát 3</t>
  </si>
  <si>
    <t>Mai Hắc Đế</t>
  </si>
  <si>
    <t>PE03000082536</t>
  </si>
  <si>
    <t>Lưu Hữu Phước 5</t>
  </si>
  <si>
    <t>Lưu Hữu Phước - 5</t>
  </si>
  <si>
    <t>270 Lưu Hữu Phước</t>
  </si>
  <si>
    <t>PE03000200064</t>
  </si>
  <si>
    <t>Bờ Kè Bình Đức</t>
  </si>
  <si>
    <t>Đ/d số 266 Lưu Hữu Phước</t>
  </si>
  <si>
    <t>PE03000126732</t>
  </si>
  <si>
    <t>Mễ Cốc 2</t>
  </si>
  <si>
    <t>Mễ Cốc - 2</t>
  </si>
  <si>
    <t>Cầu Kênh Ngang số 3</t>
  </si>
  <si>
    <t>PE03000157838</t>
  </si>
  <si>
    <t>Chấn Thành 3B</t>
  </si>
  <si>
    <t>Hẻm 20 Mễ Cốc</t>
  </si>
  <si>
    <t>Đ/d D17 hẻm 20 Mễ Cốc</t>
  </si>
  <si>
    <t>PE03000200063</t>
  </si>
  <si>
    <t>Bờ Kè  Nguyễn Sĩ Cố</t>
  </si>
  <si>
    <t>Đ/d số 1B Nguyễn Sĩ Cố</t>
  </si>
  <si>
    <t>PE03000099034</t>
  </si>
  <si>
    <t>Nguyễn Sĩ Cố</t>
  </si>
  <si>
    <t>260/3 Nguyễn Sĩ Cố</t>
  </si>
  <si>
    <t>PE03000099033</t>
  </si>
  <si>
    <t xml:space="preserve">Lưu Hữu Phước 4 </t>
  </si>
  <si>
    <t xml:space="preserve">Lưu Hữu Phước - 4 </t>
  </si>
  <si>
    <t>245 Lưu Hữu Phước</t>
  </si>
  <si>
    <t>PE03000082537</t>
  </si>
  <si>
    <t xml:space="preserve">Lưu Hữu Phước 3 </t>
  </si>
  <si>
    <t xml:space="preserve">Lưu Hữu Phước - 3 </t>
  </si>
  <si>
    <t>184 Lưu Hữu Phước</t>
  </si>
  <si>
    <t>PE03000082611</t>
  </si>
  <si>
    <t>Lương Văn Can</t>
  </si>
  <si>
    <t>34 Lương Văn Can</t>
  </si>
  <si>
    <t>PE03000099032</t>
  </si>
  <si>
    <t xml:space="preserve">Lưu Hữu Phước 2 </t>
  </si>
  <si>
    <t xml:space="preserve">Lưu Hữu Phước - 2 </t>
  </si>
  <si>
    <t>267 Lưu Hữu Phước</t>
  </si>
  <si>
    <t>PE03000099031</t>
  </si>
  <si>
    <t xml:space="preserve">Lưu Hữu Phước 1 </t>
  </si>
  <si>
    <t xml:space="preserve">Lưu Hữu Phước - 1 </t>
  </si>
  <si>
    <t>136 Lưu Hữu Phước</t>
  </si>
  <si>
    <t>PE03000200870</t>
  </si>
  <si>
    <t>Bờ Kè Nguyễn Nhược Thị</t>
  </si>
  <si>
    <t>Đ/d số 02 Nguyễn Nhược Thị</t>
  </si>
  <si>
    <t>PE03000082538</t>
  </si>
  <si>
    <t>Nguyễn Nhược Thị</t>
  </si>
  <si>
    <t>2 Nguyễn Nhược Thị</t>
  </si>
  <si>
    <t>PE03000200065</t>
  </si>
  <si>
    <t>Bờ Kè Bình Đông 2</t>
  </si>
  <si>
    <t>Đ/d số 1387 Bình Đông</t>
  </si>
  <si>
    <t>PE03000200061</t>
  </si>
  <si>
    <t>Bờ Kè Bình Đông 3</t>
  </si>
  <si>
    <t>Đ/d số 371E Bình Đông</t>
  </si>
  <si>
    <t>PE03000082522</t>
  </si>
  <si>
    <t xml:space="preserve">Bình Đông 13 </t>
  </si>
  <si>
    <t xml:space="preserve">Bình Đông - 13 </t>
  </si>
  <si>
    <t>Đ/d 196 Bình Đông</t>
  </si>
  <si>
    <t>PE03000157836</t>
  </si>
  <si>
    <t>Bình Đông 12</t>
  </si>
  <si>
    <t>Hẻm 289 Bình Đông</t>
  </si>
  <si>
    <t>đầu Hẻm 289 Bình Đông</t>
  </si>
  <si>
    <t>PE03000146951</t>
  </si>
  <si>
    <t>Bình Đông 11</t>
  </si>
  <si>
    <t>Bình Đông - 11</t>
  </si>
  <si>
    <t>289 Bình Đông</t>
  </si>
  <si>
    <t>PE03000095274</t>
  </si>
  <si>
    <t>Bình Đông 7</t>
  </si>
  <si>
    <t>Bình Đông - 7</t>
  </si>
  <si>
    <t>443 Bình Đông</t>
  </si>
  <si>
    <t>PE03000200874</t>
  </si>
  <si>
    <t>Bờ Kè Bình Đông 1</t>
  </si>
  <si>
    <t>Đ/d số 763 Bình Đông</t>
  </si>
  <si>
    <t>PE03000090658</t>
  </si>
  <si>
    <t>Bình Đông 14</t>
  </si>
  <si>
    <t>Bình Đông - 14</t>
  </si>
  <si>
    <t>Cầu Kênh Ngang số 2</t>
  </si>
  <si>
    <t>PE03000082607</t>
  </si>
  <si>
    <t xml:space="preserve">Bình Đông 15 </t>
  </si>
  <si>
    <t xml:space="preserve">Bình Đông - 15 </t>
  </si>
  <si>
    <t>301 Bình Đông</t>
  </si>
  <si>
    <t>PE03000200873</t>
  </si>
  <si>
    <t>Bờ Kè Hoàng Sĩ Khải</t>
  </si>
  <si>
    <t>Đ/d số 01 Hoàng Sĩ Khải</t>
  </si>
  <si>
    <t>PE03000099035</t>
  </si>
  <si>
    <t>Hoài Thanh 4</t>
  </si>
  <si>
    <t>Hoài Thanh - 4</t>
  </si>
  <si>
    <t>1458 Hoài Thanh</t>
  </si>
  <si>
    <t>PE03000082608</t>
  </si>
  <si>
    <t xml:space="preserve">Hoài Thanh 3 </t>
  </si>
  <si>
    <t xml:space="preserve">Hoài Thanh - 3 </t>
  </si>
  <si>
    <t>100 Hoài Thanh</t>
  </si>
  <si>
    <t>PE03000099029</t>
  </si>
  <si>
    <t xml:space="preserve">Hoài Thanh 2 </t>
  </si>
  <si>
    <t xml:space="preserve">Hoài Thanh - 2 </t>
  </si>
  <si>
    <t>87 Hoài Thanh</t>
  </si>
  <si>
    <t>PE03000099030</t>
  </si>
  <si>
    <t>Hoài Thanh 1</t>
  </si>
  <si>
    <t>Hoài Thanh - 1</t>
  </si>
  <si>
    <t>56 Hoài Thanh</t>
  </si>
  <si>
    <t>PE03000200871</t>
  </si>
  <si>
    <t>Bờ Kè Ngô Sĩ Liên</t>
  </si>
  <si>
    <t>Đ/d số 35 Ngô Sĩ Liên</t>
  </si>
  <si>
    <t>PE03000202494</t>
  </si>
  <si>
    <t>Ba Đình 5</t>
  </si>
  <si>
    <t>Hẻm 150 Phú Định</t>
  </si>
  <si>
    <t>PE03000153581</t>
  </si>
  <si>
    <t>Bình Đông 2</t>
  </si>
  <si>
    <t>Bình Đông - 16</t>
  </si>
  <si>
    <t xml:space="preserve">325 Bình Đông </t>
  </si>
  <si>
    <t xml:space="preserve">Nguyễn Quí Tiên </t>
  </si>
  <si>
    <t>PE03000082614</t>
  </si>
  <si>
    <t>Văn Can</t>
  </si>
  <si>
    <t>Bình Đông - 17</t>
  </si>
  <si>
    <t>Đ/D gần 338D Bình Đông</t>
  </si>
  <si>
    <t>PE03000153580</t>
  </si>
  <si>
    <t>Văn Can 3</t>
  </si>
  <si>
    <t>Bình Đông - 18</t>
  </si>
  <si>
    <t xml:space="preserve">Số 372 Bình Đông </t>
  </si>
  <si>
    <t>PE03000082615</t>
  </si>
  <si>
    <t>Mễ Cốc</t>
  </si>
  <si>
    <t xml:space="preserve">Mễ Cốc - 1 </t>
  </si>
  <si>
    <t>Số 02 Mễ Cốc</t>
  </si>
  <si>
    <t>PE03000082618</t>
  </si>
  <si>
    <t>Rạch Cát 2</t>
  </si>
  <si>
    <t xml:space="preserve">Mễ Cốc - 4 </t>
  </si>
  <si>
    <t>Số 142 Mễ Cốc</t>
  </si>
  <si>
    <t>PE03000153575</t>
  </si>
  <si>
    <t>Rạch Cát 5</t>
  </si>
  <si>
    <t>Mễ Cốc - 5</t>
  </si>
  <si>
    <t>Số 188 Mễ Cốc</t>
  </si>
  <si>
    <t>PE03000151896</t>
  </si>
  <si>
    <t>Rạch Cát 4</t>
  </si>
  <si>
    <t>Mễ Cốc - 3</t>
  </si>
  <si>
    <t>PE03000153571</t>
  </si>
  <si>
    <t>Lubicô 3</t>
  </si>
  <si>
    <t xml:space="preserve">Phú Định - 5 </t>
  </si>
  <si>
    <t>Số 50G Phú Định</t>
  </si>
  <si>
    <t>PE03000082617</t>
  </si>
  <si>
    <t>Phú Định 2</t>
  </si>
  <si>
    <t>Phú Định - 6</t>
  </si>
  <si>
    <t>Đ/d 68 Phú Định</t>
  </si>
  <si>
    <t>PE03000099021</t>
  </si>
  <si>
    <t>Nguyễn Thị Tần 1</t>
  </si>
  <si>
    <t>Nguyễn Thị Tần - 1</t>
  </si>
  <si>
    <t>34 Nguyên Thị Tần</t>
  </si>
  <si>
    <t>Nguyễn Trần Hùng</t>
  </si>
  <si>
    <t>PE03000099022</t>
  </si>
  <si>
    <t xml:space="preserve">Nguyễn Thị Tần 2 </t>
  </si>
  <si>
    <t xml:space="preserve">Nguyễn Thị Tần - 2 </t>
  </si>
  <si>
    <t>102 Nguyễn Thị Tần</t>
  </si>
  <si>
    <t>PE03000095598</t>
  </si>
  <si>
    <t>Nguyễn Thị Tần 3</t>
  </si>
  <si>
    <t>Nguyễn Thị Tần - 3</t>
  </si>
  <si>
    <t>129 Nguyễn Thị Tần</t>
  </si>
  <si>
    <t>PE03000134913</t>
  </si>
  <si>
    <t xml:space="preserve">Nguyễn Thị Tần 4 </t>
  </si>
  <si>
    <t xml:space="preserve">Nguyễn Thị Tần - 4 </t>
  </si>
  <si>
    <t>192 Nguyễn Thị Tần</t>
  </si>
  <si>
    <t>PE03000163177</t>
  </si>
  <si>
    <t>Cầu Y2B</t>
  </si>
  <si>
    <t>Hẻm 47 Nguyễn Thị Tần</t>
  </si>
  <si>
    <t>Số 43/43 Dạ Nam</t>
  </si>
  <si>
    <t>PE03000082552</t>
  </si>
  <si>
    <t>Cầu Y2</t>
  </si>
  <si>
    <t>Dạ Nam - 2</t>
  </si>
  <si>
    <t>69 Dạ Nam</t>
  </si>
  <si>
    <t>PE03000082550</t>
  </si>
  <si>
    <t xml:space="preserve">Phạm Thế Hiển 1 </t>
  </si>
  <si>
    <t xml:space="preserve">Phạm Thế Hiển - 1 </t>
  </si>
  <si>
    <t>89 Phạm Thế Hiển</t>
  </si>
  <si>
    <t>PE03000139776</t>
  </si>
  <si>
    <t>Bá Trạc 1</t>
  </si>
  <si>
    <t>Dương Bá Trạc - 1</t>
  </si>
  <si>
    <t>92A Dương Bá Trạc</t>
  </si>
  <si>
    <t>PE03000153570</t>
  </si>
  <si>
    <t>Dương Lân 10</t>
  </si>
  <si>
    <t>Hẻm 290D Dương Bá Trạc</t>
  </si>
  <si>
    <t>333E Dương Bá Trạc</t>
  </si>
  <si>
    <t>PE03000082543</t>
  </si>
  <si>
    <t>Bình Minh 4</t>
  </si>
  <si>
    <t>Hẻm 288D Dương Bá Trạc</t>
  </si>
  <si>
    <t>370 Dương Bá Trạc</t>
  </si>
  <si>
    <t>PE03000104409</t>
  </si>
  <si>
    <t>Bá Trạc 6</t>
  </si>
  <si>
    <t>Hẻm 527 Dương Bá Trạc</t>
  </si>
  <si>
    <t>Đối diện 51T Dương Bá Trạc</t>
  </si>
  <si>
    <t>PE03000149487</t>
  </si>
  <si>
    <t>Bá Trạc 7</t>
  </si>
  <si>
    <t>Dương Bá Trạc - 2</t>
  </si>
  <si>
    <t>183 Dương Bá Trạc</t>
  </si>
  <si>
    <t>PE03000159015</t>
  </si>
  <si>
    <t>Dương Bá Trạc 1</t>
  </si>
  <si>
    <t>Hẻm 157 Dương Bá Trạc - 1</t>
  </si>
  <si>
    <t>157/40 Dương Bá Trạc</t>
  </si>
  <si>
    <t>PE03000159014</t>
  </si>
  <si>
    <t>Dương Bá Trạc 2</t>
  </si>
  <si>
    <t>Hẻm 157 Dương Bá Trạc - 2</t>
  </si>
  <si>
    <t>157/66 Dương Bá Trạc</t>
  </si>
  <si>
    <t>PE03000157857</t>
  </si>
  <si>
    <t>Dương Bá Trạc 109</t>
  </si>
  <si>
    <t>Hẻm 109 Dương Bá Trạc</t>
  </si>
  <si>
    <t>109/19 Dương Bá Trạc</t>
  </si>
  <si>
    <t>PE03000082544</t>
  </si>
  <si>
    <t>Phạm Thế Hiển 2</t>
  </si>
  <si>
    <t>Phạm Thế Hiển - 2</t>
  </si>
  <si>
    <t>Phạm Thế Hiển</t>
  </si>
  <si>
    <t>PE03000149486</t>
  </si>
  <si>
    <t xml:space="preserve">Phạm Thế Hiển 3 </t>
  </si>
  <si>
    <t xml:space="preserve">Phạm Thế Hiển - 3 </t>
  </si>
  <si>
    <t>126 Phạm Thế Hiển</t>
  </si>
  <si>
    <t>PE03000082545</t>
  </si>
  <si>
    <t xml:space="preserve">Phạm Thế Hiển 4 </t>
  </si>
  <si>
    <t xml:space="preserve">Phạm Thế Hiển - 4 </t>
  </si>
  <si>
    <t>E10 Phạm Thế Hiển</t>
  </si>
  <si>
    <t>PE03000082553</t>
  </si>
  <si>
    <t>Cầu Y4</t>
  </si>
  <si>
    <t>Dạ Nam - 1</t>
  </si>
  <si>
    <t>Đ/D 153-155 Dạ Nam</t>
  </si>
  <si>
    <t>PE03000124344</t>
  </si>
  <si>
    <t>Dương Lân 9</t>
  </si>
  <si>
    <t>Đặng Chất</t>
  </si>
  <si>
    <t>71 Đặng Chất</t>
  </si>
  <si>
    <t>PE03000082546</t>
  </si>
  <si>
    <t>Âu Dương Lân 1</t>
  </si>
  <si>
    <t>Âu Dương Lân - 1</t>
  </si>
  <si>
    <t>86 Âu Dương Lân</t>
  </si>
  <si>
    <t>PE03000099023</t>
  </si>
  <si>
    <t>Âu Dương Lân 2</t>
  </si>
  <si>
    <t>Âu Dương Lân - 2</t>
  </si>
  <si>
    <t>114 Âu Dương Lân</t>
  </si>
  <si>
    <t>PE03000099024</t>
  </si>
  <si>
    <t>Âu Dương Lân 3</t>
  </si>
  <si>
    <t>Âu Dương Lân - 3</t>
  </si>
  <si>
    <t>160 Âu Dương Lân</t>
  </si>
  <si>
    <t>PE03000095599</t>
  </si>
  <si>
    <t>Âu Dương Lân 4</t>
  </si>
  <si>
    <t>Âu Dương Lân - 4</t>
  </si>
  <si>
    <t>216 Âu Dương Lân</t>
  </si>
  <si>
    <t>PE03000082555</t>
  </si>
  <si>
    <t>Âu Dương Lân 5</t>
  </si>
  <si>
    <t>Âu Dương Lân - 5</t>
  </si>
  <si>
    <t>238 Âu Dương Lân</t>
  </si>
  <si>
    <t>PE03000095600</t>
  </si>
  <si>
    <t xml:space="preserve">Âu Dương Lân 6 </t>
  </si>
  <si>
    <t xml:space="preserve">Âu Dương Lân - 6 </t>
  </si>
  <si>
    <t>314 Âu Dương Lân</t>
  </si>
  <si>
    <t>PE03000082556</t>
  </si>
  <si>
    <t xml:space="preserve">Âu Dương Lân 7 </t>
  </si>
  <si>
    <t xml:space="preserve">Âu Dương Lân - 7 </t>
  </si>
  <si>
    <t>125/61 Âu Dương Lân</t>
  </si>
  <si>
    <t>PE03000108253</t>
  </si>
  <si>
    <t>Tạ Quang Bửu 1</t>
  </si>
  <si>
    <t>Tạ Quang Bửu - 1</t>
  </si>
  <si>
    <t>73 Tạ Quang Bửu ND</t>
  </si>
  <si>
    <t>PE03000108248</t>
  </si>
  <si>
    <t xml:space="preserve">Tạ Quang Bửu 2 </t>
  </si>
  <si>
    <t xml:space="preserve">Tạ Quang Bửu - 2 </t>
  </si>
  <si>
    <t>193 Tạ Quang Bửu ND</t>
  </si>
  <si>
    <t>PE03000158043</t>
  </si>
  <si>
    <t>Tạ Quang Bửu 3</t>
  </si>
  <si>
    <t>Tạ Quang Bửu - 3</t>
  </si>
  <si>
    <t>Ngay Cầu Sáng</t>
  </si>
  <si>
    <t>PE03000201378</t>
  </si>
  <si>
    <t>Tạ Quang Bửu 4</t>
  </si>
  <si>
    <t>Hẻm 154 Âu Dương Lân</t>
  </si>
  <si>
    <t>ĐD 154/55/14 Âu Dương Lân</t>
  </si>
  <si>
    <t>PE03000090163</t>
  </si>
  <si>
    <t>Chiến Thắng 2</t>
  </si>
  <si>
    <t>Hẻm 35 Cao Lỗ</t>
  </si>
  <si>
    <t>ĐD 35/7B Cao Lỗ</t>
  </si>
  <si>
    <t>PE03000119714</t>
  </si>
  <si>
    <t>Khu dân cư Cao Lỗ 1/1</t>
  </si>
  <si>
    <t>Đường số 102 Cao Lỗ</t>
  </si>
  <si>
    <t>44 đường 102 Cao Lỗ</t>
  </si>
  <si>
    <t>PE03000105726</t>
  </si>
  <si>
    <t>Him Lam 2</t>
  </si>
  <si>
    <t>Phạm Nhữ Tăng</t>
  </si>
  <si>
    <t>14 đường 643 Tạ Quang Bửu</t>
  </si>
  <si>
    <t>PE03000105725</t>
  </si>
  <si>
    <t>Him Lam 1</t>
  </si>
  <si>
    <t>Đường số 9 Cao Lỗ</t>
  </si>
  <si>
    <t>Đ/d 9/5 đường số 9 Cao Lỗ</t>
  </si>
  <si>
    <t>PE03000105721</t>
  </si>
  <si>
    <t>Him Lam 3</t>
  </si>
  <si>
    <t>Châu Thị Hóa</t>
  </si>
  <si>
    <t>Số 18 Châu Thị Hóa</t>
  </si>
  <si>
    <t>PE03000119715</t>
  </si>
  <si>
    <t>Khu dân cư Cao Lỗ 1</t>
  </si>
  <si>
    <t>Đường Số 218 Cao Lỗ</t>
  </si>
  <si>
    <t>40 đường 218 Cao Lỗ</t>
  </si>
  <si>
    <t>PE03000105722</t>
  </si>
  <si>
    <t>Phồn Vinh 1</t>
  </si>
  <si>
    <t>Đường số 270 Cao Lỗ</t>
  </si>
  <si>
    <t>31 đường 270 Cao Lỗ</t>
  </si>
  <si>
    <t>PE03000106952</t>
  </si>
  <si>
    <t>Khu dân cư Đồng Diều</t>
  </si>
  <si>
    <t>Đường số 15 Khu dân cư Đồng Diều</t>
  </si>
  <si>
    <t>16A Đường số 15, Bình Hưng, Bình Chánh</t>
  </si>
  <si>
    <t>PE03000105723</t>
  </si>
  <si>
    <t>Phồn Vinh 3</t>
  </si>
  <si>
    <t>Phồn Vinh - 3</t>
  </si>
  <si>
    <t>169/5 đường 204 Cao Lỗ</t>
  </si>
  <si>
    <t>PE03000137093</t>
  </si>
  <si>
    <t>Khu dân cư Đồng Diều 3/1</t>
  </si>
  <si>
    <t>Đường số 751 Tạ Quang Bửu - 1</t>
  </si>
  <si>
    <t>ĐD 151 Trần Thị Nơi</t>
  </si>
  <si>
    <t>PE03000137092</t>
  </si>
  <si>
    <t>Khu dân cư Đồng Diều 3/2</t>
  </si>
  <si>
    <t>Đường số 751 Tạ Quang Bửu - 2</t>
  </si>
  <si>
    <t>PE03000108617</t>
  </si>
  <si>
    <t>Nam Hải</t>
  </si>
  <si>
    <t>Tám Danh - 3</t>
  </si>
  <si>
    <t>Sau lưng Nhà thờ Nam Hải</t>
  </si>
  <si>
    <t>PE03000108616</t>
  </si>
  <si>
    <t>Nam Hải 5</t>
  </si>
  <si>
    <t>Tám Danh - 2</t>
  </si>
  <si>
    <t>141/1 Tám Danh</t>
  </si>
  <si>
    <t>PE03000103503</t>
  </si>
  <si>
    <t>Chánh Hưng D14/11</t>
  </si>
  <si>
    <t>Tám Danh - 1</t>
  </si>
  <si>
    <t>38 Tám Danh</t>
  </si>
  <si>
    <t>PE03000099455</t>
  </si>
  <si>
    <t>Chánh Hưng D14/15 </t>
  </si>
  <si>
    <t>Hồ Biểu Chánh</t>
  </si>
  <si>
    <t>37 Hồ Biểu Chánh</t>
  </si>
  <si>
    <t>PE03000099456</t>
  </si>
  <si>
    <t>Chánh Hưng D14/19</t>
  </si>
  <si>
    <t>Huỳnh Thị Phụng</t>
  </si>
  <si>
    <t>Đối diện số 34 Huỳnh Thị Phụng</t>
  </si>
  <si>
    <t>PE03000103504</t>
  </si>
  <si>
    <t>Lộ 23</t>
  </si>
  <si>
    <t>Hồ Thành Biên</t>
  </si>
  <si>
    <t>12 Hồ Thành Biên</t>
  </si>
  <si>
    <t>PE03000090162</t>
  </si>
  <si>
    <t>Cam Mộc 3</t>
  </si>
  <si>
    <t>Đỗ Ngọc Quang</t>
  </si>
  <si>
    <t>19B đường số 23</t>
  </si>
  <si>
    <t>PE03000158042</t>
  </si>
  <si>
    <t>Chánh Hưng D14/19A</t>
  </si>
  <si>
    <t>Bùi Điền - 2</t>
  </si>
  <si>
    <t>Số nhà 79 Đường 16</t>
  </si>
  <si>
    <t>PE03000103501</t>
  </si>
  <si>
    <t>Chánh Hưng 8/23</t>
  </si>
  <si>
    <t>Bùi Điền - 1</t>
  </si>
  <si>
    <t>64 Bùi Điền</t>
  </si>
  <si>
    <t>PE03000185410</t>
  </si>
  <si>
    <t>Phạm Hùng 1</t>
  </si>
  <si>
    <t>Phạm Hùng - 1</t>
  </si>
  <si>
    <t>Số 173 Phạm Hùng</t>
  </si>
  <si>
    <t>PE03000102812</t>
  </si>
  <si>
    <t xml:space="preserve">Cầu Chánh Hưng 1 </t>
  </si>
  <si>
    <t xml:space="preserve">Cầu Chánh Hưng - 1 </t>
  </si>
  <si>
    <t>123bis Phạm Hùng</t>
  </si>
  <si>
    <t>PE03000082562</t>
  </si>
  <si>
    <t>Chánh Hưng D10</t>
  </si>
  <si>
    <t>Đào Cam Mộc</t>
  </si>
  <si>
    <t>146  Đào Cam Mộc</t>
  </si>
  <si>
    <t>PE03000099453</t>
  </si>
  <si>
    <t>Chung cư Phạm Thế Hiển</t>
  </si>
  <si>
    <t>Đông Hồ</t>
  </si>
  <si>
    <t>Đ/d 96 Đào Cam Mộc </t>
  </si>
  <si>
    <t>PE03000082539</t>
  </si>
  <si>
    <t>Phạm Thế Hiển 12</t>
  </si>
  <si>
    <t>Phạm Thế Hiển - 12</t>
  </si>
  <si>
    <t>909 Phạm Thế Hiển</t>
  </si>
  <si>
    <t>PE03000082559</t>
  </si>
  <si>
    <t xml:space="preserve">Phạm Thế Hiển 11 </t>
  </si>
  <si>
    <t xml:space="preserve">Phạm Thế Hiển - 11 </t>
  </si>
  <si>
    <t>895 Phạm Thế Hiển</t>
  </si>
  <si>
    <t>PE03000082565</t>
  </si>
  <si>
    <t xml:space="preserve">Phạm Thế Hiển 10 </t>
  </si>
  <si>
    <t xml:space="preserve">Phạm Thế Hiển - 10 </t>
  </si>
  <si>
    <t>829 Phạm Thế Hiển</t>
  </si>
  <si>
    <t>PE03000082558</t>
  </si>
  <si>
    <t>Phạm Thế Hiển 9</t>
  </si>
  <si>
    <t>Phạm Thế Hiển - 9</t>
  </si>
  <si>
    <t>767 Phạm Thế Hiển</t>
  </si>
  <si>
    <t>PE03000082561</t>
  </si>
  <si>
    <t>Phạm Thế Hiển 8</t>
  </si>
  <si>
    <t>Phạm Thế Hiển - 8</t>
  </si>
  <si>
    <t>671 Phạm Thế Hiển</t>
  </si>
  <si>
    <t>PE03000082557</t>
  </si>
  <si>
    <t>Phạm Thế Hiển 7</t>
  </si>
  <si>
    <t>Phạm Thế Hiển - 7</t>
  </si>
  <si>
    <t>543 Phạm Thế Hiển</t>
  </si>
  <si>
    <t>PE03000082560</t>
  </si>
  <si>
    <t>Phạm Thế Hiển 6</t>
  </si>
  <si>
    <t>Phạm Thế Hiển - 6</t>
  </si>
  <si>
    <t>477 Phạm Thế Hiển</t>
  </si>
  <si>
    <t>PE03000099025</t>
  </si>
  <si>
    <t xml:space="preserve">Phạm Thế Hiển 5 </t>
  </si>
  <si>
    <t xml:space="preserve">Phạm Thế Hiển - 5 </t>
  </si>
  <si>
    <t>317 Phạm Thế Hiển</t>
  </si>
  <si>
    <t>PE03000153578</t>
  </si>
  <si>
    <t xml:space="preserve">Hưng Phú 1 </t>
  </si>
  <si>
    <t xml:space="preserve">Hưng Phú -1 </t>
  </si>
  <si>
    <t>58 Hưng Phú</t>
  </si>
  <si>
    <t>PE03000082529</t>
  </si>
  <si>
    <t>Hưng Phú 2</t>
  </si>
  <si>
    <t>Hưng Phú - 2</t>
  </si>
  <si>
    <t>134 Hưng Phú</t>
  </si>
  <si>
    <t>PE03000082528</t>
  </si>
  <si>
    <t>Hưng Phú 3</t>
  </si>
  <si>
    <t>Hưng Phú - 3</t>
  </si>
  <si>
    <t>210 Hưng Phú</t>
  </si>
  <si>
    <t>PE03000159013</t>
  </si>
  <si>
    <t>Lò Heo 6</t>
  </si>
  <si>
    <t>Hẻm 121 Hưng Phú</t>
  </si>
  <si>
    <t>121/1 Hưng Phú</t>
  </si>
  <si>
    <t>PE03000157855</t>
  </si>
  <si>
    <t>Đường số 31 Chánh Hưng</t>
  </si>
  <si>
    <t>24 đường số 31 Chánh Hưng</t>
  </si>
  <si>
    <t>PE03000082567</t>
  </si>
  <si>
    <t>Phạm Thế Hiển 13</t>
  </si>
  <si>
    <t>Phạm Thế Hiển - 13</t>
  </si>
  <si>
    <t>Trước CA Quận 8</t>
  </si>
  <si>
    <t>PE03000106519</t>
  </si>
  <si>
    <t>Khu dân cư Chánh Hưng 2</t>
  </si>
  <si>
    <t>Đường Số 320 Khu dân cư Chánh Hưng</t>
  </si>
  <si>
    <t>2 Đường 2 KDC Chánh Hưng</t>
  </si>
  <si>
    <t>PE03000143619</t>
  </si>
  <si>
    <t>Thể Thao Quận 8A</t>
  </si>
  <si>
    <t>Đường số 2 Chánh Hưng</t>
  </si>
  <si>
    <t>số 8 đường số 2 khu dân cư Chánh Hưng</t>
  </si>
  <si>
    <t>PE03000102813</t>
  </si>
  <si>
    <t>Cầu Chánh Hưng 2</t>
  </si>
  <si>
    <t>Cầu Chánh Hưng - 2</t>
  </si>
  <si>
    <t>125 Phạm Hùng</t>
  </si>
  <si>
    <t>PE03000082563</t>
  </si>
  <si>
    <t>Khu dân cư Chánh Hưng 1</t>
  </si>
  <si>
    <t>Đường số 2 Khu dân cư Chánh Hưng</t>
  </si>
  <si>
    <t>Số 2 đường số 2 KDC Chánh Hưng</t>
  </si>
  <si>
    <t>PE03000108250</t>
  </si>
  <si>
    <t>Lệ Quyên</t>
  </si>
  <si>
    <t>Lê Quyên</t>
  </si>
  <si>
    <t>Số 132 Lê Quyên</t>
  </si>
  <si>
    <t>PE03000109018</t>
  </si>
  <si>
    <t>Dương Quang Đông 1</t>
  </si>
  <si>
    <t>Dương Quang Đông - 1</t>
  </si>
  <si>
    <t>số 19 đường Dương Quang Đông</t>
  </si>
  <si>
    <t>PE03000163424</t>
  </si>
  <si>
    <t>Dương Quang Đông 2</t>
  </si>
  <si>
    <t>Dương Quang Đông - 2</t>
  </si>
  <si>
    <t>Số 8 Dương Quang Đông</t>
  </si>
  <si>
    <t>PE03000200705</t>
  </si>
  <si>
    <t>Dương Bạch Mai</t>
  </si>
  <si>
    <t>Trần Thị Ngôi</t>
  </si>
  <si>
    <t>Trước 58 Trần Thị Ngôi</t>
  </si>
  <si>
    <t>PE03000187118</t>
  </si>
  <si>
    <t>Dương Bạch Mai 1</t>
  </si>
  <si>
    <t>Đ/d số nhà 6 Dương Bạch Mai</t>
  </si>
  <si>
    <t>PE03000082572</t>
  </si>
  <si>
    <t>Phạm Thế Hiển 14</t>
  </si>
  <si>
    <t>Phạm Thế Hiển - 14</t>
  </si>
  <si>
    <t>Đ/D 1238 Phạm Thế Hiển</t>
  </si>
  <si>
    <t>PE03000095601</t>
  </si>
  <si>
    <t>Rạch Hiệp Ân</t>
  </si>
  <si>
    <t>Đường số 1 KDC Rạch Hiệp Ân</t>
  </si>
  <si>
    <t>Đ/d 37 Đường Số 1</t>
  </si>
  <si>
    <t>PE03000082518</t>
  </si>
  <si>
    <t>Xóm Củi 1</t>
  </si>
  <si>
    <t>Xóm Củi - 1</t>
  </si>
  <si>
    <t xml:space="preserve">81 Xóm củi </t>
  </si>
  <si>
    <t>Trần Văn Ân</t>
  </si>
  <si>
    <t>PE03000095270</t>
  </si>
  <si>
    <t>Tùng Thiện Vương 3</t>
  </si>
  <si>
    <t>Tùng Thiện Vương - 3</t>
  </si>
  <si>
    <t>251 Tùng Thiện Vương</t>
  </si>
  <si>
    <t>PE03000082603</t>
  </si>
  <si>
    <t>Tùng Thiện Vương 2</t>
  </si>
  <si>
    <t>Tùng Thiện Vương - 2</t>
  </si>
  <si>
    <t>197 Tùng Thiện Vương</t>
  </si>
  <si>
    <t>PE03000082523</t>
  </si>
  <si>
    <t>Tùng Thiện Vương 1</t>
  </si>
  <si>
    <t>Tùng Thiện Vương - 1</t>
  </si>
  <si>
    <t>107 Tùng Thiện Vương</t>
  </si>
  <si>
    <t>PE03000082527</t>
  </si>
  <si>
    <t>Nguyễn Quyền 2</t>
  </si>
  <si>
    <t>Nguyễn Quyền</t>
  </si>
  <si>
    <t>Góc Nguyễn Quyền - Ưu Long</t>
  </si>
  <si>
    <t>PE03000145330</t>
  </si>
  <si>
    <t xml:space="preserve">Bình Đông 1 </t>
  </si>
  <si>
    <t xml:space="preserve">Bình Đông - 1 </t>
  </si>
  <si>
    <t>33 Bình Đông</t>
  </si>
  <si>
    <t>PE03000200137</t>
  </si>
  <si>
    <t>Trần Nguyên Hãn</t>
  </si>
  <si>
    <t>Số 39 Trần Nguyên Hãn</t>
  </si>
  <si>
    <t>PE03000200138</t>
  </si>
  <si>
    <t>Cư xá Hưng Phú</t>
  </si>
  <si>
    <t>042 Lô E Cư xá Hưng Phú</t>
  </si>
  <si>
    <t>PE03000082524</t>
  </si>
  <si>
    <t>Bình Đông 4</t>
  </si>
  <si>
    <t>Vĩnh Nam</t>
  </si>
  <si>
    <t>319 Bình Đông</t>
  </si>
  <si>
    <t>PE03000095272</t>
  </si>
  <si>
    <t>Ưu Long</t>
  </si>
  <si>
    <t>155 Ưu Long</t>
  </si>
  <si>
    <t>PE03000082606</t>
  </si>
  <si>
    <t xml:space="preserve">Bình Đông 5 </t>
  </si>
  <si>
    <t>Đinh Hòa</t>
  </si>
  <si>
    <t>345 Bình Đông</t>
  </si>
  <si>
    <t>PE03000145331</t>
  </si>
  <si>
    <t xml:space="preserve">Bình Đông 6 </t>
  </si>
  <si>
    <t xml:space="preserve">Bình Đông - 2 </t>
  </si>
  <si>
    <t>417 Bình Đông</t>
  </si>
  <si>
    <t>PE03000082519</t>
  </si>
  <si>
    <t>Bình Đông 8</t>
  </si>
  <si>
    <t>Bình Đông - 8</t>
  </si>
  <si>
    <t>515 Bình Đông</t>
  </si>
  <si>
    <t>PE03000154026</t>
  </si>
  <si>
    <t xml:space="preserve">Bình Đông 9 </t>
  </si>
  <si>
    <t>Bình Đông - 3</t>
  </si>
  <si>
    <t>Trước 641 Bình Đông</t>
  </si>
  <si>
    <t>PE03000082620</t>
  </si>
  <si>
    <t>Bình Đông 10</t>
  </si>
  <si>
    <t>Bình Đông - 4</t>
  </si>
  <si>
    <t>277 Bình Đông</t>
  </si>
  <si>
    <t>PE03000099028</t>
  </si>
  <si>
    <t>Việt Phát 2</t>
  </si>
  <si>
    <t>Việt Phát - 2</t>
  </si>
  <si>
    <t>35 Ngô Sỹ Liên</t>
  </si>
  <si>
    <t>PE03000082621</t>
  </si>
  <si>
    <t>Xưởng nhôm 1</t>
  </si>
  <si>
    <t>Bùi Huy Bích - 1</t>
  </si>
  <si>
    <t>17 Bùi Huy Bích</t>
  </si>
  <si>
    <t>PE03000082541</t>
  </si>
  <si>
    <t>Kinh Ngang</t>
  </si>
  <si>
    <t>Bùi Huy Bích - 2</t>
  </si>
  <si>
    <t>91 Bùi Huy Bích</t>
  </si>
  <si>
    <t>PE03000082604</t>
  </si>
  <si>
    <t xml:space="preserve">Nguyễn Duy 10 </t>
  </si>
  <si>
    <t xml:space="preserve">Nguyễn Duy - 10 </t>
  </si>
  <si>
    <t>938 Nguyễn Duy</t>
  </si>
  <si>
    <t>PE03000095271</t>
  </si>
  <si>
    <t>Mạc Vân</t>
  </si>
  <si>
    <t>151 Mạc Vân</t>
  </si>
  <si>
    <t>PE03000082526</t>
  </si>
  <si>
    <t>Chấn Việt</t>
  </si>
  <si>
    <t>Tuy Lý Vương</t>
  </si>
  <si>
    <t>40 Tuy Lý Vương</t>
  </si>
  <si>
    <t>PE03000082520</t>
  </si>
  <si>
    <t>Chấn Á</t>
  </si>
  <si>
    <t>Hẻm 55 Nguyễn Chế Nghĩa</t>
  </si>
  <si>
    <t>55/50 Nguyễn Chế Nghĩa</t>
  </si>
  <si>
    <t>PE03000082605</t>
  </si>
  <si>
    <t>Chấn Á 2</t>
  </si>
  <si>
    <t>Nguyễn Chế Nghĩa</t>
  </si>
  <si>
    <t>51 Nguyễn Chế Nghĩa</t>
  </si>
  <si>
    <t>PE03000082602</t>
  </si>
  <si>
    <t>Tùng Thiện Vương 6</t>
  </si>
  <si>
    <t>Tùng Thiện Vương - 7</t>
  </si>
  <si>
    <t>440 Tùng Thiện Vương</t>
  </si>
  <si>
    <t>PE03000095267</t>
  </si>
  <si>
    <t>Nguyễn Văn Của</t>
  </si>
  <si>
    <t>1 Nguyễn Văn Của</t>
  </si>
  <si>
    <t>PE03000104410</t>
  </si>
  <si>
    <t>Tùng Thiện Vương 7</t>
  </si>
  <si>
    <t>Tùng Thiện Vương - 8</t>
  </si>
  <si>
    <t>579 Tùng Thiện Vương</t>
  </si>
  <si>
    <t>PE03000095269</t>
  </si>
  <si>
    <t>Tùng Thiện Vương 5</t>
  </si>
  <si>
    <t>Tùng Thiện Vương - 6</t>
  </si>
  <si>
    <t>453 Tùng Thiện Vương</t>
  </si>
  <si>
    <t>PE03000082610</t>
  </si>
  <si>
    <t>Tùng Thiện Vương 4</t>
  </si>
  <si>
    <t>Tùng Thiện Vương - 5</t>
  </si>
  <si>
    <t>43 Cao Xuân Dục</t>
  </si>
  <si>
    <t>PE03000082525</t>
  </si>
  <si>
    <t>Cần Giuộc 1</t>
  </si>
  <si>
    <t>Tùng Thiện Vương - 4</t>
  </si>
  <si>
    <t>385 Tùng Thiện Vương</t>
  </si>
  <si>
    <t>PE03000095268</t>
  </si>
  <si>
    <t>Mã Hý 2</t>
  </si>
  <si>
    <t>Mã Hý - 2</t>
  </si>
  <si>
    <t>97 Cao Xuân Dục</t>
  </si>
  <si>
    <t>PE03000082534</t>
  </si>
  <si>
    <t>Nguyễn Duy 9</t>
  </si>
  <si>
    <t>Nguyễn Duy - 9</t>
  </si>
  <si>
    <t>Đ/d 801A Nguyễn Duy</t>
  </si>
  <si>
    <t>PE03000082599</t>
  </si>
  <si>
    <t>Nguyễn Duy 8</t>
  </si>
  <si>
    <t>Nguyễn Duy - 8</t>
  </si>
  <si>
    <t>728 Nguyễn Duy</t>
  </si>
  <si>
    <t>PE03000082598</t>
  </si>
  <si>
    <t xml:space="preserve">Nguyễn Duy 7 </t>
  </si>
  <si>
    <t xml:space="preserve">Nguyễn Duy - 7 </t>
  </si>
  <si>
    <t>626 Nguyễn Duy</t>
  </si>
  <si>
    <t>PE03000153568</t>
  </si>
  <si>
    <t>Nguyễn Duy 6</t>
  </si>
  <si>
    <t>Nguyễn Duy - 6</t>
  </si>
  <si>
    <t>542 Nguyễn Duy</t>
  </si>
  <si>
    <t>PE03000159016</t>
  </si>
  <si>
    <t>Nguyễn Duy 500A</t>
  </si>
  <si>
    <t>Khu dân cư Phường 10 Nguyễn Duy - 1</t>
  </si>
  <si>
    <t>280 Nguyễn Duy</t>
  </si>
  <si>
    <t>PE03000159017</t>
  </si>
  <si>
    <t>Xóm Đầm</t>
  </si>
  <si>
    <t>Khu dân cư Phường 10 Nguyễn Duy - 2</t>
  </si>
  <si>
    <t>441 Nguyễn Duy</t>
  </si>
  <si>
    <t>PE03000175811</t>
  </si>
  <si>
    <t>Rạch Ụ Cây 1</t>
  </si>
  <si>
    <t>Rạch Ụ Cây - 1</t>
  </si>
  <si>
    <t>Số 269/28 Tùng Thiện Vương</t>
  </si>
  <si>
    <t>PE03000175812</t>
  </si>
  <si>
    <t>Rạch Ụ Cây 2</t>
  </si>
  <si>
    <t>Rạch Ụ Cây - 2</t>
  </si>
  <si>
    <t>Kế số 409 Rạch Ụ Cây</t>
  </si>
  <si>
    <t>PE03000082596</t>
  </si>
  <si>
    <t xml:space="preserve">Ba Đình 9 </t>
  </si>
  <si>
    <t xml:space="preserve">Ba Đình - 9 </t>
  </si>
  <si>
    <t>949 Ba Đình</t>
  </si>
  <si>
    <t>PE03000099027</t>
  </si>
  <si>
    <t>Ba Đình 8</t>
  </si>
  <si>
    <t>Ba Đình - 8</t>
  </si>
  <si>
    <t>817 Ba Đình</t>
  </si>
  <si>
    <t>PE03000099026</t>
  </si>
  <si>
    <t>Ba Đình 7</t>
  </si>
  <si>
    <t>Ba Đình - 7</t>
  </si>
  <si>
    <t>775 Ba Đình</t>
  </si>
  <si>
    <t>PE03000102816</t>
  </si>
  <si>
    <t>Phạm Hùng 3</t>
  </si>
  <si>
    <t>Phạm Hùng - 2</t>
  </si>
  <si>
    <t>Số 42 Chánh Hưng</t>
  </si>
  <si>
    <t>PE03000082530</t>
  </si>
  <si>
    <t>Hưng Phú 10</t>
  </si>
  <si>
    <t>Hưng Phú - 10</t>
  </si>
  <si>
    <t>733 Hưng Phú</t>
  </si>
  <si>
    <t>PE03000082532</t>
  </si>
  <si>
    <t>Hưng Phú 11</t>
  </si>
  <si>
    <t>Hưng Phú - 11</t>
  </si>
  <si>
    <t>766 Hưng Phú</t>
  </si>
  <si>
    <t>PE03000124345</t>
  </si>
  <si>
    <t>Lưu Quý Kỳ</t>
  </si>
  <si>
    <t>Lưu Quý Kỳ - 1</t>
  </si>
  <si>
    <t>7 Lô 17 Lưu Quý Kỳ</t>
  </si>
  <si>
    <t>PE03000146559</t>
  </si>
  <si>
    <t>Chánh Hưng 6A</t>
  </si>
  <si>
    <t>Lưu Quý Kỳ - 2</t>
  </si>
  <si>
    <t>Số 11 Lô 9 Lưu Quý Kỳ</t>
  </si>
  <si>
    <t>PE03000090157</t>
  </si>
  <si>
    <t>Hưng Phú 2/2</t>
  </si>
  <si>
    <t>Dã Tượng</t>
  </si>
  <si>
    <t>Đ/d 107 Dã Tượng </t>
  </si>
  <si>
    <t>PE03000157860</t>
  </si>
  <si>
    <t>Chánh Hưng 5A</t>
  </si>
  <si>
    <t>Chánh Hưng - 5A</t>
  </si>
  <si>
    <t>17 Hưng Phú</t>
  </si>
  <si>
    <t>PE03000082566</t>
  </si>
  <si>
    <t>Hưng Phú 9</t>
  </si>
  <si>
    <t>Hưng Phú - 9</t>
  </si>
  <si>
    <t>604 Hưng Phú</t>
  </si>
  <si>
    <t>PE03000082595</t>
  </si>
  <si>
    <t>Hưng Phú 8</t>
  </si>
  <si>
    <t>Hưng Phú - 8</t>
  </si>
  <si>
    <t>617 Hưng Phú</t>
  </si>
  <si>
    <t>PE03000157854</t>
  </si>
  <si>
    <t>Cư xá Chánh Hưng A</t>
  </si>
  <si>
    <t>1A Hưng Phú</t>
  </si>
  <si>
    <t>PE03000157856</t>
  </si>
  <si>
    <t>Hưng Phú 3A</t>
  </si>
  <si>
    <t>Chánh Hưng - 3A</t>
  </si>
  <si>
    <t>12F Hưng Phú</t>
  </si>
  <si>
    <t>PE03000090156</t>
  </si>
  <si>
    <t>Nguyễn Duy 1</t>
  </si>
  <si>
    <t>Nguyễn Duy - 1</t>
  </si>
  <si>
    <t>20A Nguyễn Duy</t>
  </si>
  <si>
    <t>PE03000090155</t>
  </si>
  <si>
    <t>Nguyễn Duy 2</t>
  </si>
  <si>
    <t>Nguyễn Duy - 2</t>
  </si>
  <si>
    <t>88 Nguyễn Duy</t>
  </si>
  <si>
    <t>PE03000151749</t>
  </si>
  <si>
    <t>Hưng Phú 7</t>
  </si>
  <si>
    <t>Hưng Phú - 7</t>
  </si>
  <si>
    <t>481 Hưng Phú</t>
  </si>
  <si>
    <t>PE03000153579</t>
  </si>
  <si>
    <t>Hưng Phú 6</t>
  </si>
  <si>
    <t>Hưng Phú - 6</t>
  </si>
  <si>
    <t>529 Hưng Phú</t>
  </si>
  <si>
    <t>PE03000082592</t>
  </si>
  <si>
    <t xml:space="preserve">Hưng Phú 5 </t>
  </si>
  <si>
    <t xml:space="preserve">Hưng Phú - 5 </t>
  </si>
  <si>
    <t>449 Hưng Phú</t>
  </si>
  <si>
    <t>PE03000082591</t>
  </si>
  <si>
    <t xml:space="preserve">Hưng Phú 4 </t>
  </si>
  <si>
    <t xml:space="preserve">Hưng Phú - 4 </t>
  </si>
  <si>
    <t>255 Hưng Phú</t>
  </si>
  <si>
    <t>PE03000082593</t>
  </si>
  <si>
    <t>Ba Đình 4</t>
  </si>
  <si>
    <t>Ba Đình - 4</t>
  </si>
  <si>
    <t>427 Ba Đình</t>
  </si>
  <si>
    <t>PE03000153576</t>
  </si>
  <si>
    <t>Ba Đình 3</t>
  </si>
  <si>
    <t>Ba Đình - 3</t>
  </si>
  <si>
    <t>325/8 Ba đình</t>
  </si>
  <si>
    <t>PE03000153577</t>
  </si>
  <si>
    <t>Ba Đình 2</t>
  </si>
  <si>
    <t>Ba Đình - 2</t>
  </si>
  <si>
    <t>231A Ba đình</t>
  </si>
  <si>
    <t>PE03000145328</t>
  </si>
  <si>
    <t>Ba Đình 1</t>
  </si>
  <si>
    <t>Ba Đình - 1</t>
  </si>
  <si>
    <t>215 Ba Đình</t>
  </si>
  <si>
    <t>PE03000146404</t>
  </si>
  <si>
    <t>Ba Đình 481</t>
  </si>
  <si>
    <t>Chung cư Ba Đình</t>
  </si>
  <si>
    <t>PE03000145329</t>
  </si>
  <si>
    <t>Ba Đình 6</t>
  </si>
  <si>
    <t>Ba Đình - 6</t>
  </si>
  <si>
    <t>Số 603 Ba Đình</t>
  </si>
  <si>
    <t>PE03000096072</t>
  </si>
  <si>
    <t xml:space="preserve">Nguyễn Duy 5 </t>
  </si>
  <si>
    <t xml:space="preserve">Nguyễn Duy - 5 </t>
  </si>
  <si>
    <t>432 Nguyễn Duy</t>
  </si>
  <si>
    <t>PE03000153569</t>
  </si>
  <si>
    <t>Nguyễn Duy 4</t>
  </si>
  <si>
    <t>Nguyễn Duy - 4</t>
  </si>
  <si>
    <t>400 Nguyễn Duy</t>
  </si>
  <si>
    <t>PE03000153567</t>
  </si>
  <si>
    <t>Nguyễn Duy 3</t>
  </si>
  <si>
    <t>Nguyễn Duy - 3</t>
  </si>
  <si>
    <t>258 Nguyễn Duy</t>
  </si>
  <si>
    <t>PE03000160144</t>
  </si>
  <si>
    <t>Ký Thủ Ôn 8</t>
  </si>
  <si>
    <t>Khu dân cư Bùi Minh Trực - 1</t>
  </si>
  <si>
    <t>Đối diện 73 Khu dân cư 3 Bùi Minh Trực</t>
  </si>
  <si>
    <t>PE03000152088</t>
  </si>
  <si>
    <t>Bông Sao 3</t>
  </si>
  <si>
    <t>Bông Sao - 2</t>
  </si>
  <si>
    <t>67/3 Bông Sao</t>
  </si>
  <si>
    <t>PE03000152646</t>
  </si>
  <si>
    <t>Bông Sao 5</t>
  </si>
  <si>
    <t>Cầu Tạ Quang Bửu</t>
  </si>
  <si>
    <t>Đối diện 875 Tạ Quang Bửu</t>
  </si>
  <si>
    <t>PE03000102109</t>
  </si>
  <si>
    <t>Quốc Lộ 50-3</t>
  </si>
  <si>
    <t>Đường 909 Tạ Quang Bửu</t>
  </si>
  <si>
    <t>888D TQ Bửu</t>
  </si>
  <si>
    <t>PE03000165104</t>
  </si>
  <si>
    <t>Tạ Quang Bửu 6</t>
  </si>
  <si>
    <t>Tạ Quang Bửu - 6</t>
  </si>
  <si>
    <t xml:space="preserve">909 Tạ Quang Bửu </t>
  </si>
  <si>
    <t>PE03000135786</t>
  </si>
  <si>
    <t>Khu nhà ở Bông Sao 1</t>
  </si>
  <si>
    <t>Khu nhà ở Bông Sao - 1</t>
  </si>
  <si>
    <t>Lô A KN Ở Bông Sao</t>
  </si>
  <si>
    <t>PE03000135785</t>
  </si>
  <si>
    <t>Khu nhà ở Bông Sao 2</t>
  </si>
  <si>
    <t>Khu nhà ở Bông Sao - 2</t>
  </si>
  <si>
    <t>Trụ CS 48 đường 320A</t>
  </si>
  <si>
    <t>PE03000161447</t>
  </si>
  <si>
    <t>KDC Bông Sao 4</t>
  </si>
  <si>
    <t>Khu dân cư Bông Sao - 4</t>
  </si>
  <si>
    <t>Số 47 Khu Dân Cư Bông Sao</t>
  </si>
  <si>
    <t>PE03000161281</t>
  </si>
  <si>
    <t>Hẻm 285 Bông Sao (Hẻm 258 Bông Sao)</t>
  </si>
  <si>
    <t>Hẻm 258 Bông Sao</t>
  </si>
  <si>
    <t>Đ/d 285/3 Bông Sao</t>
  </si>
  <si>
    <t>PE03000151876</t>
  </si>
  <si>
    <t>Tạ Quang Bửu 5</t>
  </si>
  <si>
    <t>Tạ Quang Bửu - 5</t>
  </si>
  <si>
    <t>819 Tạ Quang Bửu</t>
  </si>
  <si>
    <t>PE03000148368</t>
  </si>
  <si>
    <t>Quang bửu 2/1</t>
  </si>
  <si>
    <t>Chung cư Him Lam - Nam Khánh</t>
  </si>
  <si>
    <t>PE03000200872</t>
  </si>
  <si>
    <t>Bờ Kè Bùi Huy Bích</t>
  </si>
  <si>
    <t>Đ/d số 986 Bùi Huy Bích</t>
  </si>
  <si>
    <t>PE03000099457</t>
  </si>
  <si>
    <t>Bông Sao 1</t>
  </si>
  <si>
    <t>Bông Sao - 1</t>
  </si>
  <si>
    <t>13/5 Bông Sao</t>
  </si>
  <si>
    <t>Võ Minh Tài</t>
  </si>
  <si>
    <t>PE03000082577</t>
  </si>
  <si>
    <t>Bùi Minh Trực 10</t>
  </si>
  <si>
    <t>Bùi Minh Trực - 8</t>
  </si>
  <si>
    <t>Trước TBA Hoàn Tử Cảnh 9</t>
  </si>
  <si>
    <t>PE03000082574</t>
  </si>
  <si>
    <t>Bùi Minh Trực 11</t>
  </si>
  <si>
    <t>Bùi Minh Trực - 9</t>
  </si>
  <si>
    <t>3A Bùi Minh Trực</t>
  </si>
  <si>
    <t>PE03000082579</t>
  </si>
  <si>
    <t>Bùi Minh Trực 7</t>
  </si>
  <si>
    <t>Bùi Minh Trực - 6</t>
  </si>
  <si>
    <t>12 Bùi Minh Trực</t>
  </si>
  <si>
    <t>PE03000201221</t>
  </si>
  <si>
    <t>Bùi Minh Trực 8</t>
  </si>
  <si>
    <t>Hẻm 453 Bùi Minh Trực</t>
  </si>
  <si>
    <t>Số 453A/50 Bùi Minh Trực</t>
  </si>
  <si>
    <t>PE03000082576</t>
  </si>
  <si>
    <t>Bùi Minh Trực 9</t>
  </si>
  <si>
    <t>Bùi Minh Trực - 7</t>
  </si>
  <si>
    <t>115 Bùi Minh Trực</t>
  </si>
  <si>
    <t>PE03000090165</t>
  </si>
  <si>
    <t>Ký Thủ Ôn 3</t>
  </si>
  <si>
    <t>Hoàng Minh Đạo</t>
  </si>
  <si>
    <t>9B TX Nhị Thiên Đường</t>
  </si>
  <si>
    <t>PE03000156119</t>
  </si>
  <si>
    <t xml:space="preserve">Phạm Thế Hiển 15 </t>
  </si>
  <si>
    <t xml:space="preserve">Phạm Thế Hiển - 15 </t>
  </si>
  <si>
    <t>Cầu HIệp Ân</t>
  </si>
  <si>
    <t>PE03000146411</t>
  </si>
  <si>
    <t>Phạm Thế Hiển 16</t>
  </si>
  <si>
    <t>Phạm Thế Hiển - 16</t>
  </si>
  <si>
    <t>Cầu Hiệp Ân</t>
  </si>
  <si>
    <t>PE03000082587</t>
  </si>
  <si>
    <t>Phạm Thế Hiển 18</t>
  </si>
  <si>
    <t>Phạm Thế Hiển - 17</t>
  </si>
  <si>
    <t>1289 Phạm Thế Hiển</t>
  </si>
  <si>
    <t>PE03000082583</t>
  </si>
  <si>
    <t xml:space="preserve">Quốc Lộ 50-1 </t>
  </si>
  <si>
    <t>91 Quốc Lộ 50</t>
  </si>
  <si>
    <t>PE03000090164</t>
  </si>
  <si>
    <t>Bùi Minh Trực 1</t>
  </si>
  <si>
    <t>Bùi Minh Trực - 1</t>
  </si>
  <si>
    <t>432 Bùi Minh Trực</t>
  </si>
  <si>
    <t>PE03000095605</t>
  </si>
  <si>
    <t>Bùi Minh Trực 2</t>
  </si>
  <si>
    <t>Bùi Minh Trực - 2</t>
  </si>
  <si>
    <t>171 Bùi Minh Trực</t>
  </si>
  <si>
    <t>PE03000095604</t>
  </si>
  <si>
    <t xml:space="preserve">Bùi Minh Trực 4 </t>
  </si>
  <si>
    <t xml:space="preserve">Bùi Minh Trực - 3 </t>
  </si>
  <si>
    <t>89-91 Bùi Minh Trực</t>
  </si>
  <si>
    <t>PE03000095603</t>
  </si>
  <si>
    <t xml:space="preserve">Bùi Minh Trực 5 </t>
  </si>
  <si>
    <t>Bùi Minh Trực - 4</t>
  </si>
  <si>
    <t>63 Bùi Minh Trực</t>
  </si>
  <si>
    <t>PE03000082578</t>
  </si>
  <si>
    <t xml:space="preserve">Bùi Minh Trực 6 </t>
  </si>
  <si>
    <t>Bùi Minh Trực - 5</t>
  </si>
  <si>
    <t>281 Bùi Minh Trực</t>
  </si>
  <si>
    <t>PE03000082586</t>
  </si>
  <si>
    <t>Phạm Thế Hiển 19</t>
  </si>
  <si>
    <t>Phạm Thế Hiển - 18</t>
  </si>
  <si>
    <t>1055 Phạm Thế Hiển</t>
  </si>
  <si>
    <t>PE03000153583</t>
  </si>
  <si>
    <t>Phạm Thế Hiển 20</t>
  </si>
  <si>
    <t>Phạm Thế Hiển - 19</t>
  </si>
  <si>
    <t>1621 Phạm Thế Hiển</t>
  </si>
  <si>
    <t>PE03000134695</t>
  </si>
  <si>
    <t>Phạm Thế Hiển 21</t>
  </si>
  <si>
    <t>Phạm Thế Hiển - 20</t>
  </si>
  <si>
    <t>1572 Phạm Thế Hiển</t>
  </si>
  <si>
    <t>PE03000082600</t>
  </si>
  <si>
    <t>Phạm Thế Hiển 22</t>
  </si>
  <si>
    <t>Phạm Thế Hiển - 21</t>
  </si>
  <si>
    <t>1853 Phạm Thế Hiển</t>
  </si>
  <si>
    <t>PE03000095606</t>
  </si>
  <si>
    <t xml:space="preserve">Phạm Thế Hiển 23 </t>
  </si>
  <si>
    <t>Phạm Thế Hiển - 22</t>
  </si>
  <si>
    <t>2025 Phạm Thế Hiển</t>
  </si>
  <si>
    <t>PE03000082601</t>
  </si>
  <si>
    <t>Phạm Thế Hiển 24</t>
  </si>
  <si>
    <t>Phạm Thế Hiển - 23</t>
  </si>
  <si>
    <t>2209 Phạm Thế Hiển</t>
  </si>
  <si>
    <t>PE03000082585</t>
  </si>
  <si>
    <t>Phạm Thế Hiển 25</t>
  </si>
  <si>
    <t>Phạm Thế Hiển - 24</t>
  </si>
  <si>
    <t>2327 Phạm Thế Hiển</t>
  </si>
  <si>
    <t>PE03000082580</t>
  </si>
  <si>
    <t>Khu nhà ở Bùi Minh Trực 1</t>
  </si>
  <si>
    <t>Khu nhà ở Bùi Minh Trực - 1</t>
  </si>
  <si>
    <t>1 KDC Bùi Minh Trực</t>
  </si>
  <si>
    <t>PE03000184703</t>
  </si>
  <si>
    <t>Thế Hiển 5A</t>
  </si>
  <si>
    <t>Đường số 1 Phạm Thế Hiển</t>
  </si>
  <si>
    <t>Số 2225 đường số 1 Phạm Thế Hiển</t>
  </si>
  <si>
    <t>PE03000164641</t>
  </si>
  <si>
    <t>Lê Bôi 4</t>
  </si>
  <si>
    <t>Lê Bôi - 4</t>
  </si>
  <si>
    <t>Số 3233/5 Phạm Thế Hiển</t>
  </si>
  <si>
    <t>PE03000085445</t>
  </si>
  <si>
    <t>Phạm Thế Hiển 26</t>
  </si>
  <si>
    <t>Phạm Thế Hiển - 25</t>
  </si>
  <si>
    <t>2546 Phạm Thế Hiển ND</t>
  </si>
  <si>
    <t>PE03000082588</t>
  </si>
  <si>
    <t xml:space="preserve">Phạm Thế Hiển 27 </t>
  </si>
  <si>
    <t>Phạm Thế Hiển - 26</t>
  </si>
  <si>
    <t>2578 Phạm Thế Hiển ND</t>
  </si>
  <si>
    <t>PE03000082589</t>
  </si>
  <si>
    <t>Phạm Thế Hiển 28</t>
  </si>
  <si>
    <t>Phạm Thế Hiển - 27</t>
  </si>
  <si>
    <t>2670A Phạm Thế Hiển ND</t>
  </si>
  <si>
    <t>PE03000084748</t>
  </si>
  <si>
    <t>Phạm Thế Hiển 29</t>
  </si>
  <si>
    <t>Phạm Thế Hiển - 28</t>
  </si>
  <si>
    <t>2742 Phạm Thế Hiển ND</t>
  </si>
  <si>
    <t>PE03000084749</t>
  </si>
  <si>
    <t xml:space="preserve">Phạm Thế Hiển 30 </t>
  </si>
  <si>
    <t>Phạm Thế Hiển - 29</t>
  </si>
  <si>
    <t>2784 Phạm Thế Hiển ND</t>
  </si>
  <si>
    <t>PE03000084750</t>
  </si>
  <si>
    <t>Phạm Thế Hiển 31</t>
  </si>
  <si>
    <t>Phạm Thế Hiển - 30</t>
  </si>
  <si>
    <t>2838 Phạm Thế Hiển ND</t>
  </si>
  <si>
    <t>PE03000084751</t>
  </si>
  <si>
    <t>Phạm Thế Hiển 32</t>
  </si>
  <si>
    <t>Phạm Thế Hiển - 31</t>
  </si>
  <si>
    <t>2924 Phạm Thế Hiển ND</t>
  </si>
  <si>
    <t>PE03000084752</t>
  </si>
  <si>
    <t>Phạm Thế Hiển 33</t>
  </si>
  <si>
    <t>Phạm Thế Hiển - 32</t>
  </si>
  <si>
    <t>2958 Phạm Thế Hiển ND</t>
  </si>
  <si>
    <t>PE03000084747</t>
  </si>
  <si>
    <t>Phạm Thế Hiển 34</t>
  </si>
  <si>
    <t>Phạm Thế Hiển - 33</t>
  </si>
  <si>
    <t>3024 Phạm Thế Hiển ND</t>
  </si>
  <si>
    <t>PE03000153585</t>
  </si>
  <si>
    <t>Phạm Thế Hiển 35</t>
  </si>
  <si>
    <t>Phạm Thế Hiển - 34</t>
  </si>
  <si>
    <t>3415A Phạm Thế Hiển</t>
  </si>
  <si>
    <t>PE03000099461</t>
  </si>
  <si>
    <t>Lê Bôi 3</t>
  </si>
  <si>
    <t>Lê Bôi - 3</t>
  </si>
  <si>
    <t>Đ/d 3229/2A Phạm Thế Hiển</t>
  </si>
  <si>
    <t>PE03000159027</t>
  </si>
  <si>
    <t>Trịnh Quang Nghị 1</t>
  </si>
  <si>
    <t>Trịnh Quang Nghị - 1</t>
  </si>
  <si>
    <t>153B Ba Tơ</t>
  </si>
  <si>
    <t>PE03000084265</t>
  </si>
  <si>
    <t>Trịnh Quang Nghị 2</t>
  </si>
  <si>
    <t>Trịnh Quang Nghị - 2</t>
  </si>
  <si>
    <t>177 Trịnh Quang Nghị</t>
  </si>
  <si>
    <t>PE03000153584</t>
  </si>
  <si>
    <t>Trịnh Quang Nghị 3</t>
  </si>
  <si>
    <t>Trịnh Quang Nghị - 3</t>
  </si>
  <si>
    <t>193A Trịnh Quang Nghị</t>
  </si>
  <si>
    <t>PE03000153582</t>
  </si>
  <si>
    <t>Trịnh Quang Nghị 5</t>
  </si>
  <si>
    <t>Trịnh Quang Nghị - 4</t>
  </si>
  <si>
    <t>123 Trịnh Quang Nghị</t>
  </si>
  <si>
    <t>PE03000084263</t>
  </si>
  <si>
    <t>Trịnh Quang Nghị 6</t>
  </si>
  <si>
    <t>Trịnh Quang Nghị - 5</t>
  </si>
  <si>
    <t>1510 Trịnh Quang Nghị</t>
  </si>
  <si>
    <t>PE03000139581</t>
  </si>
  <si>
    <t>Ba Tơ 4</t>
  </si>
  <si>
    <t>Đình An Tài</t>
  </si>
  <si>
    <t>40 An Tài</t>
  </si>
  <si>
    <t>PE03000104412</t>
  </si>
  <si>
    <t>Hoàng Đạo Thúy 1</t>
  </si>
  <si>
    <t>Hoàng Đạo Thúy - 1</t>
  </si>
  <si>
    <t>Số 138 Hoàng Đạo Thúy</t>
  </si>
  <si>
    <t>PE03000104411</t>
  </si>
  <si>
    <t>Hoàng Đạo Thúy 2</t>
  </si>
  <si>
    <t>Quản Trọng Linh - 2</t>
  </si>
  <si>
    <t>Đ/d 85A Hoàng Đạo Thúy</t>
  </si>
  <si>
    <t>PE03000104740</t>
  </si>
  <si>
    <t>Hoàng Đạo Thúy 3</t>
  </si>
  <si>
    <t>Hoàng Đạo Thúy - 3</t>
  </si>
  <si>
    <t>44 Hoàng Đạo Thúy</t>
  </si>
  <si>
    <t>PE03000104741</t>
  </si>
  <si>
    <t xml:space="preserve">Hoàng Đạo Thúy 4 </t>
  </si>
  <si>
    <t>Hoàng Đạo Thúy - 2</t>
  </si>
  <si>
    <t>Số 33 Hoàng Đạo Thúy</t>
  </si>
  <si>
    <t>PE03000109944</t>
  </si>
  <si>
    <t>Khu dân cư Ba Tơ 1</t>
  </si>
  <si>
    <t>Khu dân cư Ba Tơ - 1</t>
  </si>
  <si>
    <t>Chùa Từ Quang khu Ba Tơ</t>
  </si>
  <si>
    <t>PE03000112493</t>
  </si>
  <si>
    <t>Khu dân cư Ba Tơ 2</t>
  </si>
  <si>
    <t>Khu dân cư Ba Tơ - 2</t>
  </si>
  <si>
    <t>Trụ 23 Khu Ba Tơ</t>
  </si>
  <si>
    <t>PE03000120038</t>
  </si>
  <si>
    <t>Khu dân cư Ba Tơ 3</t>
  </si>
  <si>
    <t>Khu dân cư Ba Tơ - 3</t>
  </si>
  <si>
    <t>02 đường 3441 Phạm Thế Hiển</t>
  </si>
  <si>
    <t>PE03000120645</t>
  </si>
  <si>
    <t>Ứng Thành 2</t>
  </si>
  <si>
    <t>Khu dân cư Ứng Thành</t>
  </si>
  <si>
    <t>Số B78 KDC Ứng Thành</t>
  </si>
  <si>
    <t>PE03000126466</t>
  </si>
  <si>
    <t>Bến Lức 1</t>
  </si>
  <si>
    <t>Khu tái định cư Bến Lức</t>
  </si>
  <si>
    <t>Khu Tái ĐC Bến Lức</t>
  </si>
  <si>
    <t>PE03000121310</t>
  </si>
  <si>
    <t>Bình Điền 6</t>
  </si>
  <si>
    <t>Quản Trọng Linh - 1</t>
  </si>
  <si>
    <t>Số 44 Quản Trọng Linh</t>
  </si>
  <si>
    <t>PE03000163607</t>
  </si>
  <si>
    <t>Việt Thắng 2A</t>
  </si>
  <si>
    <t>Rạch Bà Tàng - 2</t>
  </si>
  <si>
    <t>2733/53C Phạm Thế Hiển</t>
  </si>
  <si>
    <t>PE03000163606</t>
  </si>
  <si>
    <t>Việt Thắng 3A</t>
  </si>
  <si>
    <t>Rạch Bà Tàng - 1</t>
  </si>
  <si>
    <t>2491/38 Phạm Thế Hiển</t>
  </si>
  <si>
    <t>PE03000169319</t>
  </si>
  <si>
    <t>Phạm Thế Hiển 36</t>
  </si>
  <si>
    <t>Phạm Thế Hiển - 35</t>
  </si>
  <si>
    <t>3455 Phạm Thể Hiển (nối dài)</t>
  </si>
  <si>
    <t>PE03000141113</t>
  </si>
  <si>
    <t>PHÚ LỢI 3/2</t>
  </si>
  <si>
    <t>Khu dân cư Phú Lợi - 3</t>
  </si>
  <si>
    <t>Số 111 đường 3158B Phạm Thế Hiển (nối dài)</t>
  </si>
  <si>
    <t>PE03000141116</t>
  </si>
  <si>
    <t>PHÚ LỢI 5</t>
  </si>
  <si>
    <t>Khu dân cư Phú Lợi - 7</t>
  </si>
  <si>
    <t>Đối diện Chung cư D1 Khu dân cư Phú Lợi</t>
  </si>
  <si>
    <t>PE03000141115</t>
  </si>
  <si>
    <t>PHÚ LỢI 4</t>
  </si>
  <si>
    <t>Khu dân cư Phú Lợi - 6</t>
  </si>
  <si>
    <t>Khu dân cư Phú Lợi</t>
  </si>
  <si>
    <t>PE03000141112</t>
  </si>
  <si>
    <t>PHÚ LỢI 5/2</t>
  </si>
  <si>
    <t>Khu dân cư Phú Lợi - 4</t>
  </si>
  <si>
    <t>Số 25A9 Khu dân cư Phú Lợi</t>
  </si>
  <si>
    <t>PE03000141117</t>
  </si>
  <si>
    <t>PHÚ LỢI 6/1</t>
  </si>
  <si>
    <t>Khu dân cư Phú Lợi - 5</t>
  </si>
  <si>
    <t>Số 67 Khu dân cư Phú Lợi</t>
  </si>
  <si>
    <t>PE03000168623</t>
  </si>
  <si>
    <t>Hai Thành 2</t>
  </si>
  <si>
    <t>Khu dân cư Phú Lợi - 2</t>
  </si>
  <si>
    <t>Số 05 đường 105A Trịnh Quang Nghị</t>
  </si>
  <si>
    <t>PE03000168624</t>
  </si>
  <si>
    <t>Hai Thành 1</t>
  </si>
  <si>
    <t>Khu dân cư Phú Lợi - 1</t>
  </si>
  <si>
    <t>Số 03 Lô 28 Khu dân cư Hai Thành</t>
  </si>
  <si>
    <t>PE03000158575</t>
  </si>
  <si>
    <t>Bình Điền Khu 17-1</t>
  </si>
  <si>
    <t>Đ/d 47 đường số 4 KDC Bình Điền Khu 17</t>
  </si>
  <si>
    <t>PE03000158577</t>
  </si>
  <si>
    <t>Bình Điền Khu 17-2</t>
  </si>
  <si>
    <t>Đ/d 33 đường số 5 KDC Bình Điền Khu 17</t>
  </si>
  <si>
    <t>PE03000158576</t>
  </si>
  <si>
    <t>Bình Điền Khu 17-3</t>
  </si>
  <si>
    <t>Đ/d 43 đường số 1 KDC Bình Điền Khu 17</t>
  </si>
  <si>
    <t>PE03000164643</t>
  </si>
  <si>
    <t>Lê Bôi 1</t>
  </si>
  <si>
    <t>Lê Bôi - 1</t>
  </si>
  <si>
    <t>Số 55 Lê Bôi</t>
  </si>
  <si>
    <t>PE03000184896</t>
  </si>
  <si>
    <t>Lê Bôi 2</t>
  </si>
  <si>
    <t>Lê Bôi - 2</t>
  </si>
  <si>
    <t>Kế số nhà 20 Lê Bôi</t>
  </si>
  <si>
    <t>PE03000128506</t>
  </si>
  <si>
    <t>Tạ Quang Bửu 1/1</t>
  </si>
  <si>
    <t>Tạ Quang Bửu - 1/1</t>
  </si>
  <si>
    <t>21 đường 817A Tạ Quang Bửu</t>
  </si>
  <si>
    <t>PE03000128507</t>
  </si>
  <si>
    <t>Tạ Quang Bửu 1/2A</t>
  </si>
  <si>
    <t>Tạ Quang Bửu - 1/2A</t>
  </si>
  <si>
    <t>32 đường 817A Tạ Quang Bửu</t>
  </si>
  <si>
    <t>PE03000128508</t>
  </si>
  <si>
    <t>Tạ Quang Bửu 1/2</t>
  </si>
  <si>
    <t>Công viên Tạ Quang Bửu</t>
  </si>
  <si>
    <t>PE03000198246</t>
  </si>
  <si>
    <t>Tạ Quang Bửu 7</t>
  </si>
  <si>
    <t>Tạ Quang Bửu - 7</t>
  </si>
  <si>
    <t>Số 1064 Tạ Quang Bửu</t>
  </si>
  <si>
    <t>Tạ Quang Bửu 8</t>
  </si>
  <si>
    <t>Số 1063A Tạ Quang Bửu</t>
  </si>
  <si>
    <t>PE03000082582</t>
  </si>
  <si>
    <t xml:space="preserve">Quốc Lộ 50-2 </t>
  </si>
  <si>
    <t>219 Quốc Lộ 50</t>
  </si>
  <si>
    <t>PE03000146664</t>
  </si>
  <si>
    <t>Ký Thủ Ôn 5</t>
  </si>
  <si>
    <t>Hẻm 195 Bùi Minh Trực</t>
  </si>
  <si>
    <t>C/X Bùi Minh Trực</t>
  </si>
  <si>
    <t>PE03000146558</t>
  </si>
  <si>
    <t>Ký Thủ Ôn 5A</t>
  </si>
  <si>
    <t>Đường Lô A</t>
  </si>
  <si>
    <t>Số 4K C/X Bùi Minh Trực</t>
  </si>
  <si>
    <t>PE03000124559</t>
  </si>
  <si>
    <t>Nhật Tiến</t>
  </si>
  <si>
    <t>KDC Nhật Tiến</t>
  </si>
  <si>
    <t>PE03000122815</t>
  </si>
  <si>
    <t>Khu nhà ở Bùi Minh Trực 2</t>
  </si>
  <si>
    <t>Khu nhà ở Bùi Minh Trực - 2</t>
  </si>
  <si>
    <t>56 KDC Bùi Minh Trực</t>
  </si>
  <si>
    <t>PE03000184866</t>
  </si>
  <si>
    <t xml:space="preserve">Bến Xe Quận 8 </t>
  </si>
  <si>
    <t>399/2B Liên Tỉnh 5</t>
  </si>
  <si>
    <t>PE03000106520</t>
  </si>
  <si>
    <t>Chung cư Bình Đăng</t>
  </si>
  <si>
    <t>Trụ số 44 QL 50</t>
  </si>
  <si>
    <t>PE03000200610</t>
  </si>
  <si>
    <t>Đường số 1 Chung cư Bình Đăng</t>
  </si>
  <si>
    <t>Kế số 373/39 Bùi Minh Trực</t>
  </si>
  <si>
    <t>PE02000079780</t>
  </si>
  <si>
    <t>Số 2D Hùng Vương</t>
  </si>
  <si>
    <t>Lê Thọ</t>
  </si>
  <si>
    <t>PE02000088280</t>
  </si>
  <si>
    <t>Trần Bình Trọng 2</t>
  </si>
  <si>
    <t>Trần Bình Trọng-2</t>
  </si>
  <si>
    <t>Số 134B Trần Bình Trọng</t>
  </si>
  <si>
    <t>PE02000113312</t>
  </si>
  <si>
    <t>Trần Bình Trọng 1</t>
  </si>
  <si>
    <t>Trần Bình Trọng-1</t>
  </si>
  <si>
    <t>Số 84/26 Hồ Thị Kỷ</t>
  </si>
  <si>
    <t>PE02000113310</t>
  </si>
  <si>
    <t>Hồ Thị Kỷ 2</t>
  </si>
  <si>
    <t>Hồ Thị Kỷ-1</t>
  </si>
  <si>
    <t>Số 44 Hồ Thị Kỷ</t>
  </si>
  <si>
    <t>PE02000113311</t>
  </si>
  <si>
    <t>Hồ Thị Kỷ 3</t>
  </si>
  <si>
    <t>Hồ Thị Kỷ-2</t>
  </si>
  <si>
    <t>Số 78 Hồ Thị Kỷ</t>
  </si>
  <si>
    <t>PE02000079804</t>
  </si>
  <si>
    <t>Hồ Thị Kỷ 4</t>
  </si>
  <si>
    <t>Hồ Thị Kỷ-3</t>
  </si>
  <si>
    <t>Số 86 Hồ Thị  Kỷ</t>
  </si>
  <si>
    <t>PE02000094231</t>
  </si>
  <si>
    <t>Lý Thái Tổ 3</t>
  </si>
  <si>
    <t>Số 76B Lý Thái Tổ</t>
  </si>
  <si>
    <t>PE02000093138</t>
  </si>
  <si>
    <t>Hẻm 500 Lê Hồng Phong 1</t>
  </si>
  <si>
    <t>Hẻm 500 Lê Hồng Phong-1</t>
  </si>
  <si>
    <t>Số 105A Lê Hồng Phong</t>
  </si>
  <si>
    <t>PE02000093136</t>
  </si>
  <si>
    <t>Hẻm 500 Lê Hồng Phong 3</t>
  </si>
  <si>
    <t>Hẻm 500 Lê Hồng Phong-2</t>
  </si>
  <si>
    <t>Số 87/25 Lê Hồng Phong</t>
  </si>
  <si>
    <t>PE02000093137</t>
  </si>
  <si>
    <t>Hẻm 500 Lê Hồng Phong 4</t>
  </si>
  <si>
    <t>Hẻm 500 Lê Hồng Phong-3</t>
  </si>
  <si>
    <t>Số 382/329F Lê Hồng Phong</t>
  </si>
  <si>
    <t>PE02000093134</t>
  </si>
  <si>
    <t>Hẻm 500 Lê Hồng Phong 5</t>
  </si>
  <si>
    <t>Hẻm 500 Lê Hồng Phong-4</t>
  </si>
  <si>
    <t>Số 66/60 Hùng Vương</t>
  </si>
  <si>
    <t>PE02000079788</t>
  </si>
  <si>
    <t>Lê Hồng Phong 4</t>
  </si>
  <si>
    <t>Lê Hồng Phong-5</t>
  </si>
  <si>
    <t>Số 356 Lê Hồng Phong</t>
  </si>
  <si>
    <t>PE02000079781</t>
  </si>
  <si>
    <t>Số 148 Hùng Vương</t>
  </si>
  <si>
    <t>PE02000085643</t>
  </si>
  <si>
    <t>Lê Hồng Phong 5</t>
  </si>
  <si>
    <t>Lê Hồng Phong-4</t>
  </si>
  <si>
    <t>Số 526 Lê Hồng Phong</t>
  </si>
  <si>
    <t>PE02000103556</t>
  </si>
  <si>
    <t>Lê Hồng Phong 7</t>
  </si>
  <si>
    <t>Lê Hồng Phong-2</t>
  </si>
  <si>
    <t>Số 618 Lê Hồng Phong</t>
  </si>
  <si>
    <t>PE02000103557</t>
  </si>
  <si>
    <t>Lê Hồng Phong 6</t>
  </si>
  <si>
    <t>Lê Hồng Phong-3</t>
  </si>
  <si>
    <t>Số 617 Lê Hồng Phong</t>
  </si>
  <si>
    <t>PE02000079763</t>
  </si>
  <si>
    <t>Lý Thái Tổ 5</t>
  </si>
  <si>
    <t>Số 416 Lý Thái Tổ</t>
  </si>
  <si>
    <t>PE02000079764</t>
  </si>
  <si>
    <t>Lý Thái Tổ 6</t>
  </si>
  <si>
    <t>Số 287 Lý Thái Tổ</t>
  </si>
  <si>
    <t>PE02000079760</t>
  </si>
  <si>
    <t>Lý Thái Tổ 7</t>
  </si>
  <si>
    <t>Số 532 Lý Thái Tổ</t>
  </si>
  <si>
    <t>PE02000079758</t>
  </si>
  <si>
    <t>Ba Tháng Hai 3</t>
  </si>
  <si>
    <t>Ba Tháng Hai-3</t>
  </si>
  <si>
    <t>Đối diện 354 Ba Tháng Hai</t>
  </si>
  <si>
    <t>PE02000113264</t>
  </si>
  <si>
    <t>Ba Tháng Hai 4</t>
  </si>
  <si>
    <t>Ba Tháng Hai-4</t>
  </si>
  <si>
    <t>Số 404-406-408 Ba Tháng Hai</t>
  </si>
  <si>
    <t>PE02000105299</t>
  </si>
  <si>
    <t>Ba Tháng Hai 5</t>
  </si>
  <si>
    <t>Ba Tháng Hai-5</t>
  </si>
  <si>
    <t>Số 446B Ba Tháng Hai</t>
  </si>
  <si>
    <t>PE02000117075</t>
  </si>
  <si>
    <t>Ba Tháng Hai 7</t>
  </si>
  <si>
    <t>Ba Tháng Hai-7</t>
  </si>
  <si>
    <t>Số 516 Ba Tháng Hai</t>
  </si>
  <si>
    <t>PE02000079928</t>
  </si>
  <si>
    <t>Ba Tháng Hai 6</t>
  </si>
  <si>
    <t>Ba Tháng Hai-6</t>
  </si>
  <si>
    <t>Số 565 Ba Tháng Hai</t>
  </si>
  <si>
    <t>PE02000113342</t>
  </si>
  <si>
    <t>Ngô Quyền 314</t>
  </si>
  <si>
    <t>Ngô Quyền-6</t>
  </si>
  <si>
    <t>Số 268 Ngô Quyền</t>
  </si>
  <si>
    <t>PE02000117408</t>
  </si>
  <si>
    <t>Bà Hạt 3</t>
  </si>
  <si>
    <t>Bà Hạt-3</t>
  </si>
  <si>
    <t>Số 576 Bà Hạt</t>
  </si>
  <si>
    <t>PE02000113340</t>
  </si>
  <si>
    <t>Bà Hạt 4</t>
  </si>
  <si>
    <t>Bà Hạt-4</t>
  </si>
  <si>
    <t>Số 594 Bà Hạt</t>
  </si>
  <si>
    <t>PE02000079919</t>
  </si>
  <si>
    <t>Tân Phước 3</t>
  </si>
  <si>
    <t>Tân Phước-1</t>
  </si>
  <si>
    <t>Đối diện 282 Tân Phước</t>
  </si>
  <si>
    <t>PE02000118116</t>
  </si>
  <si>
    <t>Vĩnh Viễn 8</t>
  </si>
  <si>
    <t>Vĩnh Viễn-8</t>
  </si>
  <si>
    <t>Số 564 Vĩnh Viễn</t>
  </si>
  <si>
    <t>PE02000113336</t>
  </si>
  <si>
    <t>Giếng Trần Quý TC</t>
  </si>
  <si>
    <t>Nhật Tảo-2</t>
  </si>
  <si>
    <t>Đối diện 138 Lý Thường Kiệt</t>
  </si>
  <si>
    <t>PE02000080100</t>
  </si>
  <si>
    <t>Lý Thường Kiệt 1</t>
  </si>
  <si>
    <t>Lý Thường Kiệt-2</t>
  </si>
  <si>
    <t>Đối diện 209 Lý Thường Kiệt</t>
  </si>
  <si>
    <t>PE02000079986</t>
  </si>
  <si>
    <t>Ba Tháng Hai 8</t>
  </si>
  <si>
    <t>Ba Tháng Hai-8</t>
  </si>
  <si>
    <t>Số 683 Ba Tháng Hai</t>
  </si>
  <si>
    <t>PE02000117407</t>
  </si>
  <si>
    <t>Sư Vạn Hạnh 1</t>
  </si>
  <si>
    <t>Số 341 Sư Vạn Hạnh</t>
  </si>
  <si>
    <t>PE02000089393</t>
  </si>
  <si>
    <t>Trần Thiện Chánh 2</t>
  </si>
  <si>
    <t>Trần Thiện Chánh-2</t>
  </si>
  <si>
    <t>Số 81 Trần Thiện Chánh</t>
  </si>
  <si>
    <t>PE02000113238</t>
  </si>
  <si>
    <t>Trần Thiện Chánh 1</t>
  </si>
  <si>
    <t>Trần Thiện Chánh-1</t>
  </si>
  <si>
    <t>Số 51 Trần Thiện Chánh</t>
  </si>
  <si>
    <t>PE02000088282</t>
  </si>
  <si>
    <t>KNỞ P12 Trần Thiện Chánh</t>
  </si>
  <si>
    <t>Số 781A/1 KNỞ Trần Thiện Chánh</t>
  </si>
  <si>
    <t>PE02000079784</t>
  </si>
  <si>
    <t>Lê Hồng Phong 8</t>
  </si>
  <si>
    <t>Lê Hồng Phong-1</t>
  </si>
  <si>
    <t xml:space="preserve">Số 741 Lê Hồng Phong </t>
  </si>
  <si>
    <t>PE02000079756</t>
  </si>
  <si>
    <t>Giếng Quốc Toản 3</t>
  </si>
  <si>
    <t>Trần Minh Quyền</t>
  </si>
  <si>
    <t>Số 127 Trần Minh Quyền</t>
  </si>
  <si>
    <t>PE02000127831</t>
  </si>
  <si>
    <t>Hẻm 207 Ba Tháng Hai</t>
  </si>
  <si>
    <t>Hẻm 207/38 Ba Tháng Hai</t>
  </si>
  <si>
    <t>PE02000079753</t>
  </si>
  <si>
    <t>Ba Tháng Hai 2</t>
  </si>
  <si>
    <t>Ba Tháng Hai-2</t>
  </si>
  <si>
    <t>Số 147 Ba Tháng Hai</t>
  </si>
  <si>
    <t>PE02000126860</t>
  </si>
  <si>
    <t>Hẻm 528 Điện Biên Phủ 1</t>
  </si>
  <si>
    <t>Hẻm 528/5/53 Điện Biên Phủ</t>
  </si>
  <si>
    <t>PE02000116725</t>
  </si>
  <si>
    <t>Điện Biên Phủ 1</t>
  </si>
  <si>
    <t>Điện Biên Phủ-1</t>
  </si>
  <si>
    <t>Số 594 Điện Biên Phủ</t>
  </si>
  <si>
    <t>PE02000090215</t>
  </si>
  <si>
    <t>Điện Biên Phủ 2</t>
  </si>
  <si>
    <t>Điện Biên Phủ-2</t>
  </si>
  <si>
    <t>Số 478 Điện Biên Phủ</t>
  </si>
  <si>
    <t>PE02000079743</t>
  </si>
  <si>
    <t>Ba Tháng Hai 1</t>
  </si>
  <si>
    <t>Ba Tháng Hai-1</t>
  </si>
  <si>
    <t>Số 47A Ba Tháng Hai</t>
  </si>
  <si>
    <t>PE02000079734</t>
  </si>
  <si>
    <t>Điện Biên Phủ 3</t>
  </si>
  <si>
    <t>Điện Biên Phủ-3</t>
  </si>
  <si>
    <t>Số 380 Điện Biên Phủ</t>
  </si>
  <si>
    <t>PE02000105696</t>
  </si>
  <si>
    <t>Điện Biên Phủ 4</t>
  </si>
  <si>
    <t>Điện Biên Phủ-4</t>
  </si>
  <si>
    <t>Số 326 Điện Biên Phủ</t>
  </si>
  <si>
    <t>PE02000093364</t>
  </si>
  <si>
    <t>Cao Thắng 1 (cũ Cao Thắng 3)</t>
  </si>
  <si>
    <t>Cao Thắng 1</t>
  </si>
  <si>
    <t>Số 384 Cao Thắng ND</t>
  </si>
  <si>
    <t>PE02000129345</t>
  </si>
  <si>
    <t>Hồ Thị Kỷ 1</t>
  </si>
  <si>
    <t>Hẻm 392 Cao Thắng</t>
  </si>
  <si>
    <t>Số 392/8/57 Cao Thắng</t>
  </si>
  <si>
    <t>PE02000127829</t>
  </si>
  <si>
    <t>Hẻm 14 Hoàng Dư Khương</t>
  </si>
  <si>
    <t>Số 14/3A Hoàng Dư Khương</t>
  </si>
  <si>
    <t>PE02000126859</t>
  </si>
  <si>
    <t>Hẻm Cao Thắng ND</t>
  </si>
  <si>
    <t>Hẻm 456/28 Cao Thắng ND</t>
  </si>
  <si>
    <t>PE02000093147</t>
  </si>
  <si>
    <t>Hoàng Dư Khương</t>
  </si>
  <si>
    <t>Số 03 Hoàng Dư Khương</t>
  </si>
  <si>
    <t>PE02000094233</t>
  </si>
  <si>
    <t>Trạm K34</t>
  </si>
  <si>
    <t>Khu nhà ở K34 Trần Thiện Chánh</t>
  </si>
  <si>
    <t>Số 839/H2 Lê Hồng Phong</t>
  </si>
  <si>
    <t>PE02000079961</t>
  </si>
  <si>
    <t>Sư Vạn Hạnh ND 1</t>
  </si>
  <si>
    <t>Số 798 Sư Vạn Hạnh ND</t>
  </si>
  <si>
    <t>PE02000127830</t>
  </si>
  <si>
    <t>Hẻm 814 Sư Vạn Hạnh</t>
  </si>
  <si>
    <t>Số 814/20C Sư Vạn Hạnh</t>
  </si>
  <si>
    <t>PE02000129339</t>
  </si>
  <si>
    <t>Hẻm 500 Lê Hồng Phong 6</t>
  </si>
  <si>
    <t>Khu Chung cư hẻm 830 Sư Vạn Hạnh</t>
  </si>
  <si>
    <t>Khu Chung cư Hẻm 830/2 Sư Vạn Hạnh</t>
  </si>
  <si>
    <t>PE02000129337</t>
  </si>
  <si>
    <t>Hẻm 500 Lê Hồng Phong 2</t>
  </si>
  <si>
    <t>Hẻm 449 Sư Vạn Hạnh</t>
  </si>
  <si>
    <t>Hẻm 449/15 Sư Vạn Hạnh</t>
  </si>
  <si>
    <t>PE02000126546</t>
  </si>
  <si>
    <t>Hẻm 436A Ba Tháng Hai</t>
  </si>
  <si>
    <t>Hẻm 436A/102 Ba Tháng Hai</t>
  </si>
  <si>
    <t>PE02000116868</t>
  </si>
  <si>
    <t>Nguyễn Chí Thanh 5</t>
  </si>
  <si>
    <t>Nguyễn Chí Thanh-5</t>
  </si>
  <si>
    <t>Đ/d Số 69 Nguyễn Kim</t>
  </si>
  <si>
    <t>Nguyễn Chí Hiếu</t>
  </si>
  <si>
    <t>PE02000079906</t>
  </si>
  <si>
    <t>Hoàng Quân 3/2</t>
  </si>
  <si>
    <t>Hẻm 138 Ngô Quyền</t>
  </si>
  <si>
    <t>Số 87 Nguyễn Kim</t>
  </si>
  <si>
    <t>PE02000129091</t>
  </si>
  <si>
    <t>Hẻm 702 Điện Biên Phủ</t>
  </si>
  <si>
    <t>Hẻm 702/60 Điện Biên Phủ</t>
  </si>
  <si>
    <t>PE02000079892</t>
  </si>
  <si>
    <t>Duy Từ 69</t>
  </si>
  <si>
    <t>Đào Duy Từ</t>
  </si>
  <si>
    <t>Số 117 Đào Duy Từ</t>
  </si>
  <si>
    <t>PE02000079895</t>
  </si>
  <si>
    <t>Triệu Đà 2</t>
  </si>
  <si>
    <t>Ngô Quyền-3</t>
  </si>
  <si>
    <t>Số 84 Ngô Quyền</t>
  </si>
  <si>
    <t>PE02000113337</t>
  </si>
  <si>
    <t>Hòa Hảo 1A</t>
  </si>
  <si>
    <t>Hòa Hảo-5</t>
  </si>
  <si>
    <t>Số 91A Cư xá Lý Thường Kiệt</t>
  </si>
  <si>
    <t>PE02000113338</t>
  </si>
  <si>
    <t>Tân Phước 2</t>
  </si>
  <si>
    <t>Số 241 Tân Phước</t>
  </si>
  <si>
    <t>PE02000113339</t>
  </si>
  <si>
    <t>Vĩnh Viễn 9</t>
  </si>
  <si>
    <t>Vĩnh Viễn-9</t>
  </si>
  <si>
    <t>Đối diện 479 Vĩnh Viễn</t>
  </si>
  <si>
    <t>PE02000113345</t>
  </si>
  <si>
    <t>Nguyễn Lâm 1</t>
  </si>
  <si>
    <t>Nguyễn Lâm-1</t>
  </si>
  <si>
    <t>Số 18 Nguyễn Lâm</t>
  </si>
  <si>
    <t>PE02000079920</t>
  </si>
  <si>
    <t>Nguyễn Lâm 2</t>
  </si>
  <si>
    <t>Nguyễn Lâm-2</t>
  </si>
  <si>
    <t>Số 34 Nguyễn Lâm</t>
  </si>
  <si>
    <t>PE02000113343</t>
  </si>
  <si>
    <t>Vĩnh Viễn 307</t>
  </si>
  <si>
    <t>Ngô Quyền-4</t>
  </si>
  <si>
    <t>Số 188 Ngô Quyền</t>
  </si>
  <si>
    <t>PE02000079893</t>
  </si>
  <si>
    <t>Giếng Triệu Đà</t>
  </si>
  <si>
    <t>Ngô Quyền-5</t>
  </si>
  <si>
    <t>Số 246 Ngô Quyền</t>
  </si>
  <si>
    <t>PE02000090219</t>
  </si>
  <si>
    <t>Tiểu La 4</t>
  </si>
  <si>
    <t>Tiểu La-4</t>
  </si>
  <si>
    <t>Số 527 Bà Hạt</t>
  </si>
  <si>
    <t>PE02000090221</t>
  </si>
  <si>
    <t>Tiểu La 3</t>
  </si>
  <si>
    <t>Tiểu La-3</t>
  </si>
  <si>
    <t>Số 220 Nguyễn Tiểu La</t>
  </si>
  <si>
    <t>PE02000085645</t>
  </si>
  <si>
    <t>Tri Phương 6</t>
  </si>
  <si>
    <t>Nhật Tảo-1</t>
  </si>
  <si>
    <t>Số 157 Nhật Tảo</t>
  </si>
  <si>
    <t>PE02000079860</t>
  </si>
  <si>
    <t>Vĩnh Viễn 7</t>
  </si>
  <si>
    <t>Vĩnh Viễn-7</t>
  </si>
  <si>
    <t>Số 410 Vĩnh Viễn</t>
  </si>
  <si>
    <t>PE02000113324</t>
  </si>
  <si>
    <t>Vĩnh Viễn 6</t>
  </si>
  <si>
    <t>Vĩnh Viễn-6</t>
  </si>
  <si>
    <t>Số 299 Vĩnh Viễn</t>
  </si>
  <si>
    <t>PE02000079882</t>
  </si>
  <si>
    <t>Hòa Hảo 4</t>
  </si>
  <si>
    <t>Hòa Hảo-4</t>
  </si>
  <si>
    <t>Số 415 Hòa Hảo</t>
  </si>
  <si>
    <t>PE02000090217</t>
  </si>
  <si>
    <t>Nguyễn Tri Phương 4</t>
  </si>
  <si>
    <t>Nguyễn Tri Phương-4</t>
  </si>
  <si>
    <t>Số 307 Nguyễn Tri Phương</t>
  </si>
  <si>
    <t>PE02000113326</t>
  </si>
  <si>
    <t>Hòa Hảo 5</t>
  </si>
  <si>
    <t>Hòa Hảo-3</t>
  </si>
  <si>
    <t>Số 311 Hòa Hảo</t>
  </si>
  <si>
    <t>PE02000113327</t>
  </si>
  <si>
    <t>Nguyễn Tri Phương 3</t>
  </si>
  <si>
    <t>Nguyễn Tri Phương-3</t>
  </si>
  <si>
    <t>Số 322 Nguyễn Tri Phương</t>
  </si>
  <si>
    <t>PE02000129346</t>
  </si>
  <si>
    <t>Vĩnh Viễn 5</t>
  </si>
  <si>
    <t>Hẻm 480 Nguyễn Tri Phương</t>
  </si>
  <si>
    <t>Số 480/20 Nguyễn Tri Phương</t>
  </si>
  <si>
    <t>PE02000079819</t>
  </si>
  <si>
    <t>Ấn Quan 3</t>
  </si>
  <si>
    <t>Số 295 Nguyễn Duy Dương</t>
  </si>
  <si>
    <t>PE02000113328</t>
  </si>
  <si>
    <t>Ấn Quan 4</t>
  </si>
  <si>
    <t>Số 257 Nguyễn Duy Dương</t>
  </si>
  <si>
    <t>PE02000079829</t>
  </si>
  <si>
    <t>Vĩnh Viễn 4</t>
  </si>
  <si>
    <t>Vĩnh Viễn-4</t>
  </si>
  <si>
    <t>Số 188 Vĩnh Viễn</t>
  </si>
  <si>
    <t>PE02000094232</t>
  </si>
  <si>
    <t>C/c Ấn Quan</t>
  </si>
  <si>
    <t>Chung cư Ấn Quan</t>
  </si>
  <si>
    <t>Số 123/1 Bà Hạt</t>
  </si>
  <si>
    <t>PE02000079765</t>
  </si>
  <si>
    <t>Duy Dương</t>
  </si>
  <si>
    <t>Số 394 Nguyễn Duy Dương</t>
  </si>
  <si>
    <t>PE02000079849</t>
  </si>
  <si>
    <t>Nguyễn Tri Phương 2</t>
  </si>
  <si>
    <t>Nguyễn Tri Phương-2</t>
  </si>
  <si>
    <t>Số 513 Nguyễn Tri Phương</t>
  </si>
  <si>
    <t>PE02000090216</t>
  </si>
  <si>
    <t>Nguyễn Tri Phương 1</t>
  </si>
  <si>
    <t>Nguyễn Tri Phương-1</t>
  </si>
  <si>
    <t>Số 472A Nguyễn Tri Phương</t>
  </si>
  <si>
    <t>PE02000090220</t>
  </si>
  <si>
    <t>Bà Hạt 2</t>
  </si>
  <si>
    <t>Bà Hạt-2</t>
  </si>
  <si>
    <t>Số 366 Bà Hạt</t>
  </si>
  <si>
    <t>PE02000126547</t>
  </si>
  <si>
    <t>Hẻm 436B Ba Tháng Hai</t>
  </si>
  <si>
    <t>Số 436/15 Ba Tháng Hai</t>
  </si>
  <si>
    <t>PE02000125403</t>
  </si>
  <si>
    <t>Thành Thái 2</t>
  </si>
  <si>
    <t>Thành Thái-2</t>
  </si>
  <si>
    <t>Số 84/1 Thành Thái</t>
  </si>
  <si>
    <t>PE02000126858</t>
  </si>
  <si>
    <t>Hẻm 134 Thành Thái</t>
  </si>
  <si>
    <t>Số 134/1 Thành Thái</t>
  </si>
  <si>
    <t>PE02000117035</t>
  </si>
  <si>
    <t>Thành Thái ND 2</t>
  </si>
  <si>
    <t>Thành Thái ND-2</t>
  </si>
  <si>
    <t>Đối diện 220 Thành Thái ND</t>
  </si>
  <si>
    <t>PE02000100808</t>
  </si>
  <si>
    <t>Thành Thái ND 1</t>
  </si>
  <si>
    <t>Thành Thái ND-1</t>
  </si>
  <si>
    <t>Số 367 Tô Hiến Thành</t>
  </si>
  <si>
    <t>PE02000084874</t>
  </si>
  <si>
    <t>Khu Tập Thể Z756</t>
  </si>
  <si>
    <t>Hẻm 43 Thành Thái</t>
  </si>
  <si>
    <t>Đối diện 43/1 Thành Thái</t>
  </si>
  <si>
    <t>PE02000079962</t>
  </si>
  <si>
    <t>Thành Thái 1</t>
  </si>
  <si>
    <t>Thành Thái-1</t>
  </si>
  <si>
    <t>Số 9 Thành Thái</t>
  </si>
  <si>
    <t>PE02000113321</t>
  </si>
  <si>
    <t>Sư Vạn Hạnh 2</t>
  </si>
  <si>
    <t>Số 243 Sư Vạn Hạnh</t>
  </si>
  <si>
    <t>PE02000079830</t>
  </si>
  <si>
    <t>Ngô Gia Tự 3</t>
  </si>
  <si>
    <t>Số 168 Ngô Gia Tự</t>
  </si>
  <si>
    <t>PE02000079767</t>
  </si>
  <si>
    <t>Bà Hạt 1</t>
  </si>
  <si>
    <t>Bà Hạt-1</t>
  </si>
  <si>
    <t>Số 96  Bà Hạt</t>
  </si>
  <si>
    <t>PE02000098332</t>
  </si>
  <si>
    <t>Ngô Gia Tự 1</t>
  </si>
  <si>
    <t>Số 147 Lý Thái Tổ (V/x Ngã 7)</t>
  </si>
  <si>
    <t>PE02000079773</t>
  </si>
  <si>
    <t>Ngô Gia Tự 2</t>
  </si>
  <si>
    <t>Số 43 Ngô Gia Tự</t>
  </si>
  <si>
    <t>PE02000079867</t>
  </si>
  <si>
    <t>Hòa Hảo 6</t>
  </si>
  <si>
    <t>Hòa Hảo-2</t>
  </si>
  <si>
    <t>Số 317 Ngô Gia Tự</t>
  </si>
  <si>
    <t>PE02000113325</t>
  </si>
  <si>
    <t>Duy Dương 180</t>
  </si>
  <si>
    <t>Số 178 Nguyễn Chí Thanh</t>
  </si>
  <si>
    <t>PE02000079871</t>
  </si>
  <si>
    <t>C/c Ngô Gia Tự</t>
  </si>
  <si>
    <t>Chung cư Ngô Gia Tự</t>
  </si>
  <si>
    <t xml:space="preserve">Số 167/20 C/C Ngô Gia Tự </t>
  </si>
  <si>
    <t>PE02000113317</t>
  </si>
  <si>
    <t>Hòa Hảo 7</t>
  </si>
  <si>
    <t>Hòa Hảo-1</t>
  </si>
  <si>
    <t>Đối diện 055 Lô G Chung cư Ngô Gia Tự</t>
  </si>
  <si>
    <t>PE02000116870</t>
  </si>
  <si>
    <t>Nguyễn Chí Thanh 1</t>
  </si>
  <si>
    <t>Số 78-80 Nguyễn Chí Thanh</t>
  </si>
  <si>
    <t>PE02000113315</t>
  </si>
  <si>
    <t>Sư Vạn Hạnh 3</t>
  </si>
  <si>
    <t>Số 001 Lô H Chung cư Ngô Gia Tự</t>
  </si>
  <si>
    <t>PE02000113316</t>
  </si>
  <si>
    <t>CC Sư Vạn Hạnh Lô L</t>
  </si>
  <si>
    <t>Chung cư Sư Vạn Hạnh Lô L</t>
  </si>
  <si>
    <t>Đối diện 017L Chung cư Nội bộ Sư Vạn Hạnh</t>
  </si>
  <si>
    <t>PE02000081725</t>
  </si>
  <si>
    <t>CC Sư Vạn Hạnh Lô U</t>
  </si>
  <si>
    <t>Chung cư Sư Vạn Hạnh Lô U</t>
  </si>
  <si>
    <t>Số 001  Lô U Nội bộ Sư Vạn Hạnh</t>
  </si>
  <si>
    <t>PE02000113314</t>
  </si>
  <si>
    <t>Vĩnh Viễn 3</t>
  </si>
  <si>
    <t>Vĩnh Viễn-3</t>
  </si>
  <si>
    <t>Số 75 Vĩnh Viễn</t>
  </si>
  <si>
    <t>PE02000079807</t>
  </si>
  <si>
    <t>Vĩnh Viễn 2</t>
  </si>
  <si>
    <t>Vĩnh Viễn-2</t>
  </si>
  <si>
    <t>Đối diện 24 Vĩnh Viễn</t>
  </si>
  <si>
    <t>PE02000113313</t>
  </si>
  <si>
    <t>Vĩnh Viễn 1</t>
  </si>
  <si>
    <t>Vĩnh Viễn-1</t>
  </si>
  <si>
    <t>Đối diện 10 Vĩnh Viễn</t>
  </si>
  <si>
    <t>PE02000081723</t>
  </si>
  <si>
    <t>Nhân Tôn 2</t>
  </si>
  <si>
    <t>Nhân Tôn-2</t>
  </si>
  <si>
    <t>Số 40 Lô Y Chung Cư Sư Vạn Hạnh</t>
  </si>
  <si>
    <t>PE02000081724</t>
  </si>
  <si>
    <t>CC Sư Vạn Hạnh Lô N</t>
  </si>
  <si>
    <t>Chung cư Sư Vạn Hạnh Lô N</t>
  </si>
  <si>
    <t>Đối diện 032 Lô N Chung cư Nội bộ Sư Vạn Hạnh</t>
  </si>
  <si>
    <t>PE02000079792</t>
  </si>
  <si>
    <t>Nhân Tôn</t>
  </si>
  <si>
    <t>Nhân Tôn-1</t>
  </si>
  <si>
    <t>Số 4 Trần Nhân Tôn</t>
  </si>
  <si>
    <t>PE02000113253</t>
  </si>
  <si>
    <t>Công Binh TC</t>
  </si>
  <si>
    <t>Số 289 Cách Mạng Tháng Tám</t>
  </si>
  <si>
    <t>Nguyễn Trần Hiếu Nghĩa</t>
  </si>
  <si>
    <t>PE02000079992</t>
  </si>
  <si>
    <t>Công Binh</t>
  </si>
  <si>
    <t>Số 279 CMT8</t>
  </si>
  <si>
    <t>PE02000120391</t>
  </si>
  <si>
    <t>Hẻm 285 CMT8</t>
  </si>
  <si>
    <t>Số 283/42 CMT8</t>
  </si>
  <si>
    <t>PE02000080012</t>
  </si>
  <si>
    <t>Hòa Hưng 4</t>
  </si>
  <si>
    <t>Số 127A Hòa Hưng</t>
  </si>
  <si>
    <t>PE02000094234</t>
  </si>
  <si>
    <t>Cư Xá Công Chức 2</t>
  </si>
  <si>
    <t>Lộ 50 Hòa Hưng</t>
  </si>
  <si>
    <t>Số 91/62 Hoà Hưng</t>
  </si>
  <si>
    <t>PE02000113252</t>
  </si>
  <si>
    <t>Hòa Hưng 210 TC</t>
  </si>
  <si>
    <t>Hẻm 83 Hòa Hưng</t>
  </si>
  <si>
    <t>Hẻm 83A Hòa Hưng</t>
  </si>
  <si>
    <t>PE02000113260</t>
  </si>
  <si>
    <t>H 158 Hòa Hưng</t>
  </si>
  <si>
    <t>Hẻm 158 Hòa Hưng</t>
  </si>
  <si>
    <t>Số 158/24 Hòa Hưng</t>
  </si>
  <si>
    <t>PE02000113261</t>
  </si>
  <si>
    <t>H 419 CMT8</t>
  </si>
  <si>
    <t>Hẻm 419 Cách Mạng Tháng 8</t>
  </si>
  <si>
    <t>Hẻm 419/1A CMT8</t>
  </si>
  <si>
    <t>PE02000085851</t>
  </si>
  <si>
    <t>Hẻm 463 CMT8 1</t>
  </si>
  <si>
    <t>Số 463F1 Cách Mạng Tháng Tám</t>
  </si>
  <si>
    <t>PE02000079999</t>
  </si>
  <si>
    <t>Tô Hiến Thành 1</t>
  </si>
  <si>
    <t>Tô Hiến Thành-1</t>
  </si>
  <si>
    <t>Số 15 Tô Hiến Thành</t>
  </si>
  <si>
    <t>PE02000081726</t>
  </si>
  <si>
    <t>Tô Hiến Thành TC</t>
  </si>
  <si>
    <t>Hồ Bá Kiện-1</t>
  </si>
  <si>
    <t>Số 96 Hồ Bá Kiện</t>
  </si>
  <si>
    <t>PE02000081727</t>
  </si>
  <si>
    <t>Trường Sơn</t>
  </si>
  <si>
    <t>Hồ Bá Kiện-2</t>
  </si>
  <si>
    <t>Số 132/248/3F Hồ Bá Kiện</t>
  </si>
  <si>
    <t>PE02000126857</t>
  </si>
  <si>
    <t>Hẻm 163 Tô Hiến Thành</t>
  </si>
  <si>
    <t>Số 163/24/17 Tô Hiến Thành</t>
  </si>
  <si>
    <t>PE02000080001</t>
  </si>
  <si>
    <t>Tô Hiến Thành 2</t>
  </si>
  <si>
    <t>Tô Hiến Thành-2</t>
  </si>
  <si>
    <t>Số 251 Tô Hiến Thành</t>
  </si>
  <si>
    <t>PE02000113477</t>
  </si>
  <si>
    <t>Hẻm 68 Đồng Nai 2</t>
  </si>
  <si>
    <t>Hẻm 68 Đồng Nai-2</t>
  </si>
  <si>
    <t>Hẻm 68/122 Đồng Nai</t>
  </si>
  <si>
    <t>PE02000093151</t>
  </si>
  <si>
    <t>Nguyễn Giản Thanh 1</t>
  </si>
  <si>
    <t>Số 132/18/50B Nguyễn Giản Thanh</t>
  </si>
  <si>
    <t>PE02000088283</t>
  </si>
  <si>
    <t>KNỞ Lê Thị Riêng 1</t>
  </si>
  <si>
    <t>Khu nhà ở Lê Thị Riêng-1</t>
  </si>
  <si>
    <t>Đối diện 18B Lê Thị Riêng</t>
  </si>
  <si>
    <t>PE02000093049</t>
  </si>
  <si>
    <t>KNỞ Lê Thị Riêng 2</t>
  </si>
  <si>
    <t>Khu nhà ở Lê Thị Riêng-2</t>
  </si>
  <si>
    <t>Đối diện 001 Chung cư Lê Thị Riêng</t>
  </si>
  <si>
    <t>PE02000080048</t>
  </si>
  <si>
    <t>Cửu Long 3</t>
  </si>
  <si>
    <t>Cửu Long-2</t>
  </si>
  <si>
    <t>Số 67 Cửu Long</t>
  </si>
  <si>
    <t>PE02000128640</t>
  </si>
  <si>
    <t>Cửu Long 2</t>
  </si>
  <si>
    <t>Ba Vì</t>
  </si>
  <si>
    <t>Đối diện V12B Hương Giang</t>
  </si>
  <si>
    <t>PE02000092406</t>
  </si>
  <si>
    <t>Sỹ Quan 3</t>
  </si>
  <si>
    <t>Số 1 Bạch Mã</t>
  </si>
  <si>
    <t>PE02000128709</t>
  </si>
  <si>
    <t>Tam Đảo (cũ Hồng Lĩnh 1)</t>
  </si>
  <si>
    <t>Tam Đảo</t>
  </si>
  <si>
    <t>Số LL1B Tam Đảo</t>
  </si>
  <si>
    <t>PE02000128641</t>
  </si>
  <si>
    <t>Cửu Long 1</t>
  </si>
  <si>
    <t>Cửu Long-1</t>
  </si>
  <si>
    <t>Số J6 Bis Cửu Long</t>
  </si>
  <si>
    <t>PE02000080054</t>
  </si>
  <si>
    <t>Đồng Nai 1</t>
  </si>
  <si>
    <t>Số 12 Ter Đồng Nai</t>
  </si>
  <si>
    <t>PE02000113476</t>
  </si>
  <si>
    <t>Hẻm 68 Đồng Nai 1</t>
  </si>
  <si>
    <t>Hẻm 68 Đồng Nai-1</t>
  </si>
  <si>
    <t>Hẻm 68 Đồng Nai</t>
  </si>
  <si>
    <t>PE02000125404</t>
  </si>
  <si>
    <t>Hẻm 339 Tô Hiến Thành</t>
  </si>
  <si>
    <t>Số 339/34A1 Tô Hiến Thành</t>
  </si>
  <si>
    <t>PE02000113239</t>
  </si>
  <si>
    <t>KN 541 Sư Vạn Hạnh</t>
  </si>
  <si>
    <t>Số 541/1 Sư Vạn Hạnh</t>
  </si>
  <si>
    <t>PE02000113609</t>
  </si>
  <si>
    <t>Dương Quang Trung 1</t>
  </si>
  <si>
    <t>Đối diện 28 Dương Quang Trung</t>
  </si>
  <si>
    <t>PE02000113608</t>
  </si>
  <si>
    <t>Dương Quang Trung 2</t>
  </si>
  <si>
    <t>Số 4 Dương Quang Trung (Cổng số Viện Tim 2)</t>
  </si>
  <si>
    <t>PE02000113241</t>
  </si>
  <si>
    <t>Tạo Tác 4</t>
  </si>
  <si>
    <t>Hẻm 3 Thành Thái</t>
  </si>
  <si>
    <t>Hẻm số 3/51 Thành Thái</t>
  </si>
  <si>
    <t>PE02000095255</t>
  </si>
  <si>
    <t>Dân Cư HC QK7</t>
  </si>
  <si>
    <t>Hẻm 506 Ba Tháng Hai</t>
  </si>
  <si>
    <t>Hẻm 506/1 Ba Tháng Hai</t>
  </si>
  <si>
    <t>PE02000113248</t>
  </si>
  <si>
    <t>Nguyễn Ngọc Lộc 1</t>
  </si>
  <si>
    <t>Số 26 Nguyễn Ngọc Lộc</t>
  </si>
  <si>
    <t>PE02000084876</t>
  </si>
  <si>
    <t>Cư xá Tây Sơn</t>
  </si>
  <si>
    <t>Hẻm 606 Ba Tháng Hai-1</t>
  </si>
  <si>
    <t>Hẻm 606/83 Ba Tháng Hai</t>
  </si>
  <si>
    <t>PE02000113247</t>
  </si>
  <si>
    <t>Cư xá Tây Sơn 3</t>
  </si>
  <si>
    <t>Hẻm 606 Ba Tháng Hai-2</t>
  </si>
  <si>
    <t>Hẻm 606/131 Ba Tháng Hai</t>
  </si>
  <si>
    <t>PE02000084870</t>
  </si>
  <si>
    <t>Hẻm 284 Lý Thường Kiệt</t>
  </si>
  <si>
    <t>PE02000094449</t>
  </si>
  <si>
    <t>CC Trần Văn Kiểu</t>
  </si>
  <si>
    <t>Chung cư Trần Văn Kiểu</t>
  </si>
  <si>
    <t>Hẻm 666/61 Ba Tháng Hai</t>
  </si>
  <si>
    <t>PE02000084877</t>
  </si>
  <si>
    <t>Quốc Toản 4</t>
  </si>
  <si>
    <t>Hẻm 666 Ba Tháng Hai</t>
  </si>
  <si>
    <t>Hẻm 666/12 Ba Tháng Hai</t>
  </si>
  <si>
    <t>PE02000095252</t>
  </si>
  <si>
    <t>Hẻm 224 Lý Thường Kiệt</t>
  </si>
  <si>
    <t>Số 252 Lý Thường Kiệt</t>
  </si>
  <si>
    <t>PE02000113243</t>
  </si>
  <si>
    <t>Hẻm 232 Lý Thường Kiệt</t>
  </si>
  <si>
    <t>Số 234 Lý Thường Kiệt</t>
  </si>
  <si>
    <t>PE02000093627</t>
  </si>
  <si>
    <t>Lý Thường Kiệt 3</t>
  </si>
  <si>
    <t>Lý Thường Kiệt-4</t>
  </si>
  <si>
    <t>Số 262 Lý Thường Kiệt</t>
  </si>
  <si>
    <t>PE02000080101</t>
  </si>
  <si>
    <t>Lý Thường Kiệt 4</t>
  </si>
  <si>
    <t>Lý Thường Kiệt-5</t>
  </si>
  <si>
    <t>Số 266 Lý Thường Kiệt</t>
  </si>
  <si>
    <t>PE02000084871</t>
  </si>
  <si>
    <t>Hẻm 334 Lý Thường Kiệt</t>
  </si>
  <si>
    <t>Hẻm 334/1 Lý Thường Kiệt</t>
  </si>
  <si>
    <t>PE02000084872</t>
  </si>
  <si>
    <t>Hẻm 354 Lý Thường Kiệt</t>
  </si>
  <si>
    <t>Hẻm 354/72A Lý Thường Kiệt</t>
  </si>
  <si>
    <t>PE02000098330</t>
  </si>
  <si>
    <t>Tô Hiến Thành 4</t>
  </si>
  <si>
    <t>Tô Hiến Thành-4</t>
  </si>
  <si>
    <t>Số 523H Tô Hiến Thành</t>
  </si>
  <si>
    <t>PE02000079997</t>
  </si>
  <si>
    <t>Tô Hiến Thành 3</t>
  </si>
  <si>
    <t>Tô Hiến Thành-3</t>
  </si>
  <si>
    <t>Số 453 Tô Hiến Thành</t>
  </si>
  <si>
    <t>PE02000117783</t>
  </si>
  <si>
    <t>C/x Đồng Tiến 8</t>
  </si>
  <si>
    <t>Hẻm 451 Tô Hiến Thành-1</t>
  </si>
  <si>
    <t>Số 451/9C Tô Hiến Thành</t>
  </si>
  <si>
    <t>PE02000113246</t>
  </si>
  <si>
    <t>C/x Đồng Tiến 9</t>
  </si>
  <si>
    <t>Hẻm 451 Tô Hiến Thành-2</t>
  </si>
  <si>
    <t>Số 451/29/6 Tô Hiến Thành</t>
  </si>
  <si>
    <t>PE02000113434</t>
  </si>
  <si>
    <t>C/x Đồng Tiến 10</t>
  </si>
  <si>
    <t>Hẻm 495 Tô Hiến Thành</t>
  </si>
  <si>
    <t>Hẻm 495/7 Tô Hiến Thành</t>
  </si>
  <si>
    <t>PE02000125406</t>
  </si>
  <si>
    <t>C/C Nguyễn Tri Phương</t>
  </si>
  <si>
    <t>Chung cư Nguyễn Tri Phương</t>
  </si>
  <si>
    <t>Số 7A/43/60 Thành Thái</t>
  </si>
  <si>
    <t>PE02000079938</t>
  </si>
  <si>
    <t>C/x Đồng Tiến 7</t>
  </si>
  <si>
    <t>Hẻm 7A+7B Thành Thái-1</t>
  </si>
  <si>
    <t>Hẻm 7A/94 Thành Thái</t>
  </si>
  <si>
    <t>PE02000106023</t>
  </si>
  <si>
    <t>Tạo Tác 1</t>
  </si>
  <si>
    <t>Hẻm 51 Thành Thái</t>
  </si>
  <si>
    <t>Ngã tư hẻm 51 T.Thái (7A/82 T.Thái)</t>
  </si>
  <si>
    <t>PE02000084873</t>
  </si>
  <si>
    <t>C/x Đồng Tiến 6</t>
  </si>
  <si>
    <t>Hẻm 7A+7B Thành Thái-2</t>
  </si>
  <si>
    <t>Hẻm 7A/19 Thành Thái</t>
  </si>
  <si>
    <t>PE02000113249</t>
  </si>
  <si>
    <t>C/x Đồng Tiến 5</t>
  </si>
  <si>
    <t>Hẻm 7A+7B Thành Thái-3</t>
  </si>
  <si>
    <t>Hẻm 7A/5/19 Thành Thái</t>
  </si>
  <si>
    <t>PE02000113244</t>
  </si>
  <si>
    <t>C/x Đồng Tiến 4</t>
  </si>
  <si>
    <t>Cư xá Đồng Tiến-4</t>
  </si>
  <si>
    <t>Số 7/51 Thành Thái</t>
  </si>
  <si>
    <t>PE02000079939</t>
  </si>
  <si>
    <t>C/x Đồng Tiến 3</t>
  </si>
  <si>
    <t>Cư xá Đồng Tiến-3</t>
  </si>
  <si>
    <t>Số 7/41 Thành Thái</t>
  </si>
  <si>
    <t>PE02000095253</t>
  </si>
  <si>
    <t>Cư xá Đồng Tiến 2</t>
  </si>
  <si>
    <t>Cư xá Đồng Tiến-2</t>
  </si>
  <si>
    <t>Số A1 Cư xá Đồng Tiến</t>
  </si>
  <si>
    <t>PE02000113240</t>
  </si>
  <si>
    <t>C/x Đồng Tiến 1</t>
  </si>
  <si>
    <t>Cư xá Đồng Tiến-1</t>
  </si>
  <si>
    <t>Số 7/4 Thành Thái</t>
  </si>
  <si>
    <t>PE02000084621</t>
  </si>
  <si>
    <t>Lạc Long Quân 202</t>
  </si>
  <si>
    <t>Hẻm 86 Ông Ích Khiêm</t>
  </si>
  <si>
    <t>Số 86/142 Ông Ích Khiêm</t>
  </si>
  <si>
    <t>Nguyễn Bá Phước</t>
  </si>
  <si>
    <t>PE02000093156</t>
  </si>
  <si>
    <t>Bình Thới H100/46</t>
  </si>
  <si>
    <t>Hẻm 32 Ông Ích Khiêm-2</t>
  </si>
  <si>
    <t>Số 121 Hẻm 100 Bình Thới</t>
  </si>
  <si>
    <t>PE02000084620</t>
  </si>
  <si>
    <t>Bình Thới H100/5</t>
  </si>
  <si>
    <t>Hẻm 100 Bình Thới-2</t>
  </si>
  <si>
    <t>Số 100/106 Bình Thới</t>
  </si>
  <si>
    <t>PE02000084622</t>
  </si>
  <si>
    <t>Lý Văn 2</t>
  </si>
  <si>
    <t>Hẻm 100 Bình Thới-1</t>
  </si>
  <si>
    <t>Số 100/45B Bình Thới</t>
  </si>
  <si>
    <t>PE02000126861</t>
  </si>
  <si>
    <t>Hẻm 568 Lạc Long Quân</t>
  </si>
  <si>
    <t>Số 568/3 Lạc Long Quân</t>
  </si>
  <si>
    <t>PE02000128966</t>
  </si>
  <si>
    <t>Ba Tháng Hai 13</t>
  </si>
  <si>
    <t>Lạc Long Quân-10</t>
  </si>
  <si>
    <t>Số 454 Lạc Long Quân</t>
  </si>
  <si>
    <t>PE02000105697</t>
  </si>
  <si>
    <t>Lạc Long Quân 12</t>
  </si>
  <si>
    <t>Lạc Long Quân-13</t>
  </si>
  <si>
    <t>Số 630 Lạc Long Quân</t>
  </si>
  <si>
    <t>PE02000113486</t>
  </si>
  <si>
    <t>Bình Dương Thị Xã</t>
  </si>
  <si>
    <t>Số 205/6 Bình Dương Thị Xã</t>
  </si>
  <si>
    <t>PE02000080229</t>
  </si>
  <si>
    <t>Âu Cơ 4</t>
  </si>
  <si>
    <t>Âu Cơ-4</t>
  </si>
  <si>
    <t>Số 189 Âu Cơ</t>
  </si>
  <si>
    <t>PE02000080175</t>
  </si>
  <si>
    <t>Chợ Thiếc 1</t>
  </si>
  <si>
    <t>Đ/d Số 166 Tân Phước</t>
  </si>
  <si>
    <t>PE02000080174</t>
  </si>
  <si>
    <t>Chợ Thiếc 2</t>
  </si>
  <si>
    <t>Số 131 Phó Cơ Điều</t>
  </si>
  <si>
    <t>PE02000113463</t>
  </si>
  <si>
    <t>Chợ Thiếc 1 TC</t>
  </si>
  <si>
    <t>126 Phó Cơ Điều</t>
  </si>
  <si>
    <t>PE02000080141</t>
  </si>
  <si>
    <t>Tân Khai 2</t>
  </si>
  <si>
    <t>Tân Khai-2</t>
  </si>
  <si>
    <t>Số 53 Tân Khai</t>
  </si>
  <si>
    <t>PE02000080140</t>
  </si>
  <si>
    <t>Tân Khai 1</t>
  </si>
  <si>
    <t>Tân Khai-1</t>
  </si>
  <si>
    <t>Số 109 Tân Khai</t>
  </si>
  <si>
    <t>PE02000117409</t>
  </si>
  <si>
    <t>Số 728 Nguyễn Chí Thanh</t>
  </si>
  <si>
    <t>PE02000080165</t>
  </si>
  <si>
    <t>Hoàng Quân 2</t>
  </si>
  <si>
    <t>Số 284 Đỗ Ngọc Thạnh</t>
  </si>
  <si>
    <t>PE02000080147</t>
  </si>
  <si>
    <t>Tân Khai 3</t>
  </si>
  <si>
    <t>Tân Khai-3</t>
  </si>
  <si>
    <t>Số 119 Trần Quý</t>
  </si>
  <si>
    <t>PE02000080170</t>
  </si>
  <si>
    <t>Trần Quý 1</t>
  </si>
  <si>
    <t>Số 187 Trần Quý</t>
  </si>
  <si>
    <t>PE02000113404</t>
  </si>
  <si>
    <t>Trần Quý 1 TC</t>
  </si>
  <si>
    <t>203 Tạ Uyên</t>
  </si>
  <si>
    <t>PE02000080155</t>
  </si>
  <si>
    <t>Ông Tích 1</t>
  </si>
  <si>
    <t>Hẻm 277/11 Tạ Uyên</t>
  </si>
  <si>
    <t>PE02000080154</t>
  </si>
  <si>
    <t>Ông Tích 2</t>
  </si>
  <si>
    <t>Hẻm 277/1 Tạ Uyên</t>
  </si>
  <si>
    <t>PE02000080161</t>
  </si>
  <si>
    <t>Khánh Vân 3</t>
  </si>
  <si>
    <t>Số 136 Hà Tôn Quyền</t>
  </si>
  <si>
    <t>PE02000080131</t>
  </si>
  <si>
    <t>Nguyễn Chí Thanh 12</t>
  </si>
  <si>
    <t>Số 884  Nguyễn Chí Thanh</t>
  </si>
  <si>
    <t>PE02000094596</t>
  </si>
  <si>
    <t>Công Trừng 3</t>
  </si>
  <si>
    <t>Số 277A Trần Quý</t>
  </si>
  <si>
    <t>PE02000113465</t>
  </si>
  <si>
    <t>Lãnh Binh Thăng 6 TC</t>
  </si>
  <si>
    <t>Đường số 6 Cư xá Bình Thới-3</t>
  </si>
  <si>
    <t>Góc Đường số 6 CXBT với 193 Lò Siêu</t>
  </si>
  <si>
    <t>PE02000080189</t>
  </si>
  <si>
    <t>Dương Đình Nghệ 1</t>
  </si>
  <si>
    <t>Dương Đình Nghệ-1</t>
  </si>
  <si>
    <t>Số 5 Dương Đình Nghệ</t>
  </si>
  <si>
    <t>PE02000090249</t>
  </si>
  <si>
    <t>Dương Đình Nghệ 2</t>
  </si>
  <si>
    <t>Dương Đình Nghệ-2</t>
  </si>
  <si>
    <t>Số 17 B-C Dương Đình Nghệ</t>
  </si>
  <si>
    <t>PE02000093164</t>
  </si>
  <si>
    <t>Dương Đình Nghệ 3</t>
  </si>
  <si>
    <t>Dương Đình Nghệ-3</t>
  </si>
  <si>
    <t>Số 48 Dương Đình Nghệ</t>
  </si>
  <si>
    <t>PE02000093165</t>
  </si>
  <si>
    <t>Dương Đình Nghệ 4</t>
  </si>
  <si>
    <t>Dương Đình Nghệ-4</t>
  </si>
  <si>
    <t>Số 92 Dương Đình Nghệ</t>
  </si>
  <si>
    <t>PE02000090245</t>
  </si>
  <si>
    <t>CX Đường Số 1K</t>
  </si>
  <si>
    <t>Lô E-F Cư xá Bình Thới</t>
  </si>
  <si>
    <t>Số 05 Lô E-F Chung cư Bình Thới</t>
  </si>
  <si>
    <t>PE02000090246</t>
  </si>
  <si>
    <t>Gia Cư Bình Thới 11</t>
  </si>
  <si>
    <t>Đường số 6 Cư xá Bình Thới-2</t>
  </si>
  <si>
    <t>Số 33-35 Đường số 6 Cư xá Bình Thới</t>
  </si>
  <si>
    <t>PE02000080190</t>
  </si>
  <si>
    <t>CLB TDTT Quận 11</t>
  </si>
  <si>
    <t>Đường số 5 Cư xá Bình Thới</t>
  </si>
  <si>
    <t>Số 2 Đường số 5 Cư Xá Bình Thới</t>
  </si>
  <si>
    <t>PE02000091686</t>
  </si>
  <si>
    <t>Lãnh Binh Thăng 5</t>
  </si>
  <si>
    <t>Lãnh Binh Thăng-5</t>
  </si>
  <si>
    <t>Số 281K Lãnh Binh Thăng</t>
  </si>
  <si>
    <t>PE02000113211</t>
  </si>
  <si>
    <t>Tủ số 2</t>
  </si>
  <si>
    <t>Đường số 2 Cư xá Bình Thới</t>
  </si>
  <si>
    <t>Đ/d số 39 Đường số 2 Cư xá Bình Thới</t>
  </si>
  <si>
    <t>PE02000113408</t>
  </si>
  <si>
    <t>Lãnh Binh Thăng 6 TC 2</t>
  </si>
  <si>
    <t>Đường số 3 Cư xá Bình Thới</t>
  </si>
  <si>
    <t>Đ/d Số 1 Đường số 4 Cư xá Bình Thới</t>
  </si>
  <si>
    <t>PE02000090247</t>
  </si>
  <si>
    <t>Gia Cư Bình Thới 8</t>
  </si>
  <si>
    <t>Đường số 7 Cư xá Bình Thới</t>
  </si>
  <si>
    <t>Số 6 Đường số 7 Cư xá Bình Thới</t>
  </si>
  <si>
    <t>PE02000090248</t>
  </si>
  <si>
    <t>CX Lãnh Binh Thăng</t>
  </si>
  <si>
    <t>Đường số 6 Cư xá Bình Thới-1</t>
  </si>
  <si>
    <t>Số 101 Lô K Đường số 6 Cư xá Bình Thới</t>
  </si>
  <si>
    <t>PE02000113492</t>
  </si>
  <si>
    <t>CX Lãnh Binh Thăng TC</t>
  </si>
  <si>
    <t>Đường số 7A Cư xá Bình Thới</t>
  </si>
  <si>
    <t>Số 51-53 Đường số 7A Cư xá Bình Thới</t>
  </si>
  <si>
    <t>PE02000080193</t>
  </si>
  <si>
    <t>Gia Cư Bình Thới 2</t>
  </si>
  <si>
    <t>Đường số 9 Cư xá Bình Thới-2</t>
  </si>
  <si>
    <t>Số 9/64 Đường số 9 Cư xá Bình Thới</t>
  </si>
  <si>
    <t>PE02000080194</t>
  </si>
  <si>
    <t>Gia Cư Bình Thới 1</t>
  </si>
  <si>
    <t>Đường số 9 Cư xá Bình Thới-1</t>
  </si>
  <si>
    <t>Số 9/22 Đường số 9 Cư xá Bình Thới</t>
  </si>
  <si>
    <t>PE02000080286</t>
  </si>
  <si>
    <t>Lãnh Binh Thăng 6</t>
  </si>
  <si>
    <t>Lãnh Binh Thăng-6</t>
  </si>
  <si>
    <t>Số 294A Lãnh Binh Thăng</t>
  </si>
  <si>
    <t>PE02000113468</t>
  </si>
  <si>
    <t>Bình Thới H100/46 TC</t>
  </si>
  <si>
    <t>Hẻm 32 Ông Ích Khiêm-1</t>
  </si>
  <si>
    <t>Hẻm 32/9 Ông Ích Khiêm</t>
  </si>
  <si>
    <t>PE02000113469</t>
  </si>
  <si>
    <t>Ông Ích Khiêm 2</t>
  </si>
  <si>
    <t>Số 84 Ông Ích Khiêm</t>
  </si>
  <si>
    <t>PE02000080263</t>
  </si>
  <si>
    <t>Ông Ích Khiêm 3</t>
  </si>
  <si>
    <t>Số 88A Ông Ích Khiêm</t>
  </si>
  <si>
    <t>PE02000126862</t>
  </si>
  <si>
    <t>Hẻm 45 Ông Ích Khiêm</t>
  </si>
  <si>
    <t>Hẻm 45/9 Ông Ích Khiêm</t>
  </si>
  <si>
    <t>PE02000113464</t>
  </si>
  <si>
    <t>Ông Ích Khiêm 4</t>
  </si>
  <si>
    <t>Số 116 Ông Ích Khiêm</t>
  </si>
  <si>
    <t>PE02000101481</t>
  </si>
  <si>
    <t>Lạc Long Quân 312/A1</t>
  </si>
  <si>
    <t>Chung cư 312 Lạc Long Quân</t>
  </si>
  <si>
    <t>PE02000101482</t>
  </si>
  <si>
    <t>Lạc Long Quân 312/A2</t>
  </si>
  <si>
    <t>PE02000090233</t>
  </si>
  <si>
    <t>Hẻm CX Phú Thọ Hoà 1</t>
  </si>
  <si>
    <t>Hẻm Cư xá Phú Thọ Hoà-1</t>
  </si>
  <si>
    <t>372 Lạc Long Quân</t>
  </si>
  <si>
    <t>PE02000090240</t>
  </si>
  <si>
    <t>Hẻm CX Phú Thọ Hoà 2</t>
  </si>
  <si>
    <t>Hẻm Cư xá Phú Thọ Hoà-2</t>
  </si>
  <si>
    <t>75 Lô E C/X Phú Hòa</t>
  </si>
  <si>
    <t>PE02000129344</t>
  </si>
  <si>
    <t>Công Nghiệp Phú Thọ</t>
  </si>
  <si>
    <t>Tống Văn Trân</t>
  </si>
  <si>
    <t>Số 39 Tống Văn Trân</t>
  </si>
  <si>
    <t>PE02000090243</t>
  </si>
  <si>
    <t>CC Lạc Long Quân 1</t>
  </si>
  <si>
    <t>Chung cư Lạc Long Quân-1</t>
  </si>
  <si>
    <t>Đối diện 001G Chung cư Lạc Long Quân</t>
  </si>
  <si>
    <t>PE02000090242</t>
  </si>
  <si>
    <t>CC Lạc Long Quân 2</t>
  </si>
  <si>
    <t>Chung cư Lạc Long Quân-2</t>
  </si>
  <si>
    <t>Đối diện 024 Lô F Chung cư Lạc Long Quân</t>
  </si>
  <si>
    <t>PE02000090241</t>
  </si>
  <si>
    <t>Nguyễn Văn Phú 2</t>
  </si>
  <si>
    <t>Chung cư Lạc Long Quân-3</t>
  </si>
  <si>
    <t>Số 01 Bic Lô B C/C Lạc Long Quân</t>
  </si>
  <si>
    <t>PE02000093163</t>
  </si>
  <si>
    <t>Hẻm 341 Lạc Long Quân 2</t>
  </si>
  <si>
    <t>Hẻm 341 Lạc Long Quân-2</t>
  </si>
  <si>
    <t>Đ/d số 341/83A Long Lạc Quân</t>
  </si>
  <si>
    <t>PE02000113487</t>
  </si>
  <si>
    <t>Hẻm 341 Lạc Long Quân 1</t>
  </si>
  <si>
    <t>Hẻm 341 Lạc Long Quân-1</t>
  </si>
  <si>
    <t>Hẻm 341/12 Lạc Long Quân</t>
  </si>
  <si>
    <t>PE02000080235</t>
  </si>
  <si>
    <t>VX.LLQ + Hoà Bình</t>
  </si>
  <si>
    <t>Vòng xoay Lạc Long Quân - Hoà Bình</t>
  </si>
  <si>
    <t>Số 335 Lạc Long Quân</t>
  </si>
  <si>
    <t>PE02000080238</t>
  </si>
  <si>
    <t>Hòa Bình-1</t>
  </si>
  <si>
    <t>Số 55 Hòa Bình</t>
  </si>
  <si>
    <t>PE02000104218</t>
  </si>
  <si>
    <t>Hòa Bình-2</t>
  </si>
  <si>
    <t>Số 92F Hòa Bình</t>
  </si>
  <si>
    <t>PE02000129342</t>
  </si>
  <si>
    <t>Trịnh Đình Trọng 3</t>
  </si>
  <si>
    <t>Hẻm 94 Hoà Bình-1</t>
  </si>
  <si>
    <t>Số 94/46 Hòa Bình</t>
  </si>
  <si>
    <t>PE02000093162</t>
  </si>
  <si>
    <t>Hẻm 341 Lạc Long Quân 3</t>
  </si>
  <si>
    <t>Hẻm 341 Lạc Long Quân-3</t>
  </si>
  <si>
    <t>Số 341/78D Lạc Long Quân</t>
  </si>
  <si>
    <t>PE02000113208</t>
  </si>
  <si>
    <t>Tủ H 94</t>
  </si>
  <si>
    <t>Hẻm 94 Hoà Bình-2</t>
  </si>
  <si>
    <t>341/N12 Lạc Long Quân</t>
  </si>
  <si>
    <t>PE02000113484</t>
  </si>
  <si>
    <t>Nguyễn Văn Phú 1</t>
  </si>
  <si>
    <t>Trụ trước 351/2N Nguyễn Văn Phú</t>
  </si>
  <si>
    <t>PE02000090237</t>
  </si>
  <si>
    <t>Khu Chợ Phú Bình 1</t>
  </si>
  <si>
    <t>Khu Chợ Phú Bình-1</t>
  </si>
  <si>
    <t>Số 9F Lạc Long Quân</t>
  </si>
  <si>
    <t>PE02000090236</t>
  </si>
  <si>
    <t>Khu Chợ Phú Bình 2</t>
  </si>
  <si>
    <t>Khu Chợ Phú Bình-2</t>
  </si>
  <si>
    <t>Số 12D Chung cư Phú Bình</t>
  </si>
  <si>
    <t>PE02000090238</t>
  </si>
  <si>
    <t>Khu Chợ Phú Bình 3</t>
  </si>
  <si>
    <t>Khu Chợ Phú Bình-3</t>
  </si>
  <si>
    <t>10B Chung cư Phú Bình</t>
  </si>
  <si>
    <t>PE02000090235</t>
  </si>
  <si>
    <t>Khu Chợ Phú Bình 4</t>
  </si>
  <si>
    <t>Khu Chợ Phú Bình-4</t>
  </si>
  <si>
    <t>Số 19A Lạc Long Quân</t>
  </si>
  <si>
    <t>PE02000090239</t>
  </si>
  <si>
    <t>NĐ Phú Thọ Hòa 3</t>
  </si>
  <si>
    <t>Hẻm 423 Lạc Long Quân-2</t>
  </si>
  <si>
    <t>Hẻm 423/27 Lạc Long Quân</t>
  </si>
  <si>
    <t>PE02000113485</t>
  </si>
  <si>
    <t>NĐ Phú T Hoà 3 TC</t>
  </si>
  <si>
    <t>Hẻm 423 Lạc Long Quân-3</t>
  </si>
  <si>
    <t>Số 423/27/4 Lạc Long Quân</t>
  </si>
  <si>
    <t>PE02000090234</t>
  </si>
  <si>
    <t>Phú Bình 3</t>
  </si>
  <si>
    <t>Hẻm 423 Lạc Long Quân-1</t>
  </si>
  <si>
    <t>Số 423/34 Lạc Long Quân</t>
  </si>
  <si>
    <t>PE02000113489</t>
  </si>
  <si>
    <t>Trịnh Đình Trọng 4</t>
  </si>
  <si>
    <t>Trịnh Đình Trọng-2</t>
  </si>
  <si>
    <t>Số 02 Lô A3 Cư Xá Trịnh Đình Trọng</t>
  </si>
  <si>
    <t>PE02000090232</t>
  </si>
  <si>
    <t>Âu Cơ 279</t>
  </si>
  <si>
    <t>Cư xá Trịnh Đình Trọng</t>
  </si>
  <si>
    <t>Số 47 Trịnh Đình Trọng</t>
  </si>
  <si>
    <t>PE02000090231</t>
  </si>
  <si>
    <t>CX Âu Cơ</t>
  </si>
  <si>
    <t>Hẻm 37 Trịnh Đình Trọng</t>
  </si>
  <si>
    <t>Hẻm 37/4 Trịnh Đình Trọng</t>
  </si>
  <si>
    <t>PE02000106065</t>
  </si>
  <si>
    <t>Trịnh Đình Trọng 1</t>
  </si>
  <si>
    <t>Trịnh Đình Trọng-1</t>
  </si>
  <si>
    <t>01 Trịnh Đình Trọng</t>
  </si>
  <si>
    <t>PE02000093161</t>
  </si>
  <si>
    <t>Lạc Long Quân 11</t>
  </si>
  <si>
    <t>Lạc Long Quân-12</t>
  </si>
  <si>
    <t>Số 503 Lạc Long Quân</t>
  </si>
  <si>
    <t>PE02000085086</t>
  </si>
  <si>
    <t>Lạc Long Quân 10</t>
  </si>
  <si>
    <t>Lạc Long Quân-11</t>
  </si>
  <si>
    <t>Số 423 Lạc Long Quân</t>
  </si>
  <si>
    <t>PE02000080317</t>
  </si>
  <si>
    <t>Cây Mai 1</t>
  </si>
  <si>
    <t>Hồng Bàng-12</t>
  </si>
  <si>
    <t>Số 462 Hồng Bàng</t>
  </si>
  <si>
    <t>Trương Khánh Hùng</t>
  </si>
  <si>
    <t>PE02000080330</t>
  </si>
  <si>
    <t>Lò Siêu 45</t>
  </si>
  <si>
    <t>Số 22C Lò Siêu</t>
  </si>
  <si>
    <t>PE02000080332</t>
  </si>
  <si>
    <t>Diên Nghệ 1</t>
  </si>
  <si>
    <t>Số 103 Lò Siêu</t>
  </si>
  <si>
    <t>PE02000080331</t>
  </si>
  <si>
    <t>Diên Nghệ 2</t>
  </si>
  <si>
    <t>Nguyễn Chí Thanh Nối Dài-2</t>
  </si>
  <si>
    <t>95 Nguyễn Chí Thanh nd</t>
  </si>
  <si>
    <t>PE02000080334</t>
  </si>
  <si>
    <t>Quan Âm TC</t>
  </si>
  <si>
    <t>Số 48 Lò Siêu</t>
  </si>
  <si>
    <t>PE02000080333</t>
  </si>
  <si>
    <t>Quan Âm 2</t>
  </si>
  <si>
    <t>Nguyễn Chí Thanh Nối Dài-1</t>
  </si>
  <si>
    <t>44 Nguyễn Chí Thanh nd</t>
  </si>
  <si>
    <t>PE02000084634</t>
  </si>
  <si>
    <t>Công Trừng 2</t>
  </si>
  <si>
    <t>Tân Thành Nối Dài-1</t>
  </si>
  <si>
    <t>Số 01 Tân Thành ND</t>
  </si>
  <si>
    <t>PE02000084633</t>
  </si>
  <si>
    <t>Diên Nghệ 5</t>
  </si>
  <si>
    <t>Tân Thành Nối Dài-2</t>
  </si>
  <si>
    <t>87 Tân Thành ND</t>
  </si>
  <si>
    <t>PE02000080321</t>
  </si>
  <si>
    <t>Hùng Vương 100</t>
  </si>
  <si>
    <t>Hồng Bàng-13</t>
  </si>
  <si>
    <t>Số 626 Hồng Bàng</t>
  </si>
  <si>
    <t>PE02000080323</t>
  </si>
  <si>
    <t>Ba Tháng Hai 15</t>
  </si>
  <si>
    <t>Ba Tháng Hai-14</t>
  </si>
  <si>
    <t>Số 1597 Ba Tháng Hai</t>
  </si>
  <si>
    <t>PE02000080336</t>
  </si>
  <si>
    <t>Ba Tháng Hai 12</t>
  </si>
  <si>
    <t>Ba Tháng Hai-12</t>
  </si>
  <si>
    <t xml:space="preserve">Số 1467 Ba Tháng Hai </t>
  </si>
  <si>
    <t>PE02000115850</t>
  </si>
  <si>
    <t>Quốc Toản 633 TC</t>
  </si>
  <si>
    <t>Phan Xích Long</t>
  </si>
  <si>
    <t>Số 63 Phan Xích Long</t>
  </si>
  <si>
    <t>PE02000113205</t>
  </si>
  <si>
    <t>Tủ H 1352</t>
  </si>
  <si>
    <t>Hẻm 1352 Ba Tháng Hai</t>
  </si>
  <si>
    <t>Số 1352/2 Ba Tháng Hai</t>
  </si>
  <si>
    <t>PE02000080329</t>
  </si>
  <si>
    <t>Ba Tháng Hai 14</t>
  </si>
  <si>
    <t>Ba Tháng Hai-13</t>
  </si>
  <si>
    <t>Số 1456D Ba Tháng Hai</t>
  </si>
  <si>
    <t>PE02000080339</t>
  </si>
  <si>
    <t>Minh Phụng 7</t>
  </si>
  <si>
    <t>Số 262 Minh Phụng</t>
  </si>
  <si>
    <t>PE02000113461</t>
  </si>
  <si>
    <t>Phú Thọ 1</t>
  </si>
  <si>
    <t>Số 38 Phú Thọ</t>
  </si>
  <si>
    <t>PE02000080345</t>
  </si>
  <si>
    <t>Phú Thọ 2A</t>
  </si>
  <si>
    <t xml:space="preserve">Số 58 Phú Thọ </t>
  </si>
  <si>
    <t>PE02000113209</t>
  </si>
  <si>
    <t>Tủ H 323</t>
  </si>
  <si>
    <t>Hẻm 323 Minh Phụng</t>
  </si>
  <si>
    <t>Số 323/28 Minh Phụng</t>
  </si>
  <si>
    <t>PE02000080346</t>
  </si>
  <si>
    <t>Phú Thọ 3</t>
  </si>
  <si>
    <t>Số 82 Phú Thọ</t>
  </si>
  <si>
    <t>PE02000080371</t>
  </si>
  <si>
    <t>Lục Tỉnh</t>
  </si>
  <si>
    <t>Hồng Bàng-14</t>
  </si>
  <si>
    <t>688 Hồng Bàng</t>
  </si>
  <si>
    <t>PE02000080368</t>
  </si>
  <si>
    <t>Hẻm 702 Hồng Bàng</t>
  </si>
  <si>
    <t>Hẻm 702/22 Hồng Bàng</t>
  </si>
  <si>
    <t>PE02000126551</t>
  </si>
  <si>
    <t>Diên Nghệ 2 TC</t>
  </si>
  <si>
    <t>Hẻm 36B Đường 762 Hồng Bàng</t>
  </si>
  <si>
    <t>Hẻm 36B/41-47 Đường 762 Hồng Bàng</t>
  </si>
  <si>
    <t>PE02000103545</t>
  </si>
  <si>
    <t>Hòa Đồng 2</t>
  </si>
  <si>
    <t>Hẻm 8 Tân Hóa-2</t>
  </si>
  <si>
    <t>Hẻm 8/44 Tân Hoá</t>
  </si>
  <si>
    <t>PE02000113491</t>
  </si>
  <si>
    <t>Hòa Đồng 2 TC</t>
  </si>
  <si>
    <t>Hẻm 8 Tân Hóa-1</t>
  </si>
  <si>
    <t>Hẻm 8/8 Tân Hóa</t>
  </si>
  <si>
    <t>PE02000114944</t>
  </si>
  <si>
    <t>TĐK CS-10</t>
  </si>
  <si>
    <t>Kênh Tân Hóa Lò Gốm</t>
  </si>
  <si>
    <t>Số 74B Kênh Tân Hóa-Lò Gốm</t>
  </si>
  <si>
    <t>PE02000080356</t>
  </si>
  <si>
    <t>Lạc Long Quân 1</t>
  </si>
  <si>
    <t>Lạc Long Quân-1</t>
  </si>
  <si>
    <t>Số 155 Lạc Long Quân</t>
  </si>
  <si>
    <t>PE02000129343</t>
  </si>
  <si>
    <t>Trịnh Đình Trọng 2</t>
  </si>
  <si>
    <t>Hẻm 151 Lạc Long Quân</t>
  </si>
  <si>
    <t>Số 151/10A Lạc Long Quân</t>
  </si>
  <si>
    <t>PE02000094601</t>
  </si>
  <si>
    <t>Lạc Long Quân 2</t>
  </si>
  <si>
    <t>Lạc Long Quân-2</t>
  </si>
  <si>
    <t>Số 139 Lạc Long Quân</t>
  </si>
  <si>
    <t>PE02000113490</t>
  </si>
  <si>
    <t>152/38 TC</t>
  </si>
  <si>
    <t>Hẻm 152 Lạc Long Quân-2</t>
  </si>
  <si>
    <t>Hẻm 152/8 Lạc Long Quân</t>
  </si>
  <si>
    <t>PE02000100037</t>
  </si>
  <si>
    <t>152/38</t>
  </si>
  <si>
    <t>Hẻm 152 Lạc Long Quân-1</t>
  </si>
  <si>
    <t>Hẻm 152/34 Lạc Long Quân</t>
  </si>
  <si>
    <t>PE02000080352</t>
  </si>
  <si>
    <t>Lạc Long Quân 3</t>
  </si>
  <si>
    <t>Lạc Long Quân-3</t>
  </si>
  <si>
    <t>Số 89 Lạc Long Quân</t>
  </si>
  <si>
    <t>PE02000080349</t>
  </si>
  <si>
    <t>Lạc Long Quân 4</t>
  </si>
  <si>
    <t>Lạc Long Quân-4</t>
  </si>
  <si>
    <t>Số 11A Lạc Long Quân</t>
  </si>
  <si>
    <t>PE02000080347</t>
  </si>
  <si>
    <t>Bình Thới Làng</t>
  </si>
  <si>
    <t>Số 336 Phú Thọ</t>
  </si>
  <si>
    <t>PE02000090250</t>
  </si>
  <si>
    <t>Hàn Hải Nguyên 9</t>
  </si>
  <si>
    <t>Hàn Hải Nguyên-9</t>
  </si>
  <si>
    <t>Số 425 Hàn Hải Nguyên</t>
  </si>
  <si>
    <t>PE02000080348</t>
  </si>
  <si>
    <t>Hàn Hải Nguyên 8</t>
  </si>
  <si>
    <t>Hàn Hải Nguyên-8</t>
  </si>
  <si>
    <t>Số 401 Hàn Hải Nguyên</t>
  </si>
  <si>
    <t>PE02000080269</t>
  </si>
  <si>
    <t>Hàn Hải Nguyên 7</t>
  </si>
  <si>
    <t>Hàn Hải Nguyên-7</t>
  </si>
  <si>
    <t>Số 321 Hàn Hải Nguyên</t>
  </si>
  <si>
    <t>PE02000090251</t>
  </si>
  <si>
    <t>Hàn Hải Nguyên 6</t>
  </si>
  <si>
    <t>Hàn Hải Nguyên-6</t>
  </si>
  <si>
    <t>Số 291 Hàn Hải Nguyên</t>
  </si>
  <si>
    <t>PE02000080264</t>
  </si>
  <si>
    <t>Hàn Hải Nguyên 5</t>
  </si>
  <si>
    <t>Hàn Hải Nguyên-5</t>
  </si>
  <si>
    <t>Số 225 Hàn Hải Nguyên</t>
  </si>
  <si>
    <t>PE02000113462</t>
  </si>
  <si>
    <t>Hàn Hải Nguyên 3</t>
  </si>
  <si>
    <t>Hàn Hải Nguyên-3</t>
  </si>
  <si>
    <t>Số 161 Hàn Hải Nguyên</t>
  </si>
  <si>
    <t>PE02000080265</t>
  </si>
  <si>
    <t>Hàn Hải Nguyên 2</t>
  </si>
  <si>
    <t>Hàn Hải Nguyên-2</t>
  </si>
  <si>
    <t>Số 155/1 Hàn Hải Nguyên</t>
  </si>
  <si>
    <t>PE02000081731</t>
  </si>
  <si>
    <t>Xóm Đất 1</t>
  </si>
  <si>
    <t>Số 25A Xóm Đất</t>
  </si>
  <si>
    <t>PE02000113405</t>
  </si>
  <si>
    <t>Xóm Đất TC 1</t>
  </si>
  <si>
    <t>Hẻm 76 Xóm Đất</t>
  </si>
  <si>
    <t>Hẻm 76/44 Xóm Đất</t>
  </si>
  <si>
    <t>PE02000113406</t>
  </si>
  <si>
    <t>Xóm Đất 2</t>
  </si>
  <si>
    <t>Số 53 Xóm Đất</t>
  </si>
  <si>
    <t>PE02000084630</t>
  </si>
  <si>
    <t>Thái Phiên 1</t>
  </si>
  <si>
    <t>Thái Phiên-1</t>
  </si>
  <si>
    <t>Số 166 Thái Phiên</t>
  </si>
  <si>
    <t>PE02000084631</t>
  </si>
  <si>
    <t>Thái Phiên 2</t>
  </si>
  <si>
    <t>Thái Phiên-2</t>
  </si>
  <si>
    <t>Số 188A Thái Phiên</t>
  </si>
  <si>
    <t>PE02000084629</t>
  </si>
  <si>
    <t>Hẻm 418 Minh Phụng 2</t>
  </si>
  <si>
    <t>Hẻm 418 Minh Phụng-2</t>
  </si>
  <si>
    <t>Hẻm 418 Minh Phụng với 193 Thái Phiên</t>
  </si>
  <si>
    <t>PE02000093167</t>
  </si>
  <si>
    <t>Hẻm 418 Minh Phụng 3</t>
  </si>
  <si>
    <t>Hẻm 200 Thái Phiên</t>
  </si>
  <si>
    <t>Hẻm 200/3 Thái Phiên</t>
  </si>
  <si>
    <t>PE02000084627</t>
  </si>
  <si>
    <t>Thái Phiên 3</t>
  </si>
  <si>
    <t>Thái Phiên-3</t>
  </si>
  <si>
    <t>Số 234 Thái Phiên</t>
  </si>
  <si>
    <t>PE02000093166</t>
  </si>
  <si>
    <t>Minh Phụng 12</t>
  </si>
  <si>
    <t>Hẻm 236 Thái Phiên</t>
  </si>
  <si>
    <t>Hẻm 236/35 Thái Phiên</t>
  </si>
  <si>
    <t>PE02000084628</t>
  </si>
  <si>
    <t>Thái Phiên 4</t>
  </si>
  <si>
    <t>Thái Phiên-4</t>
  </si>
  <si>
    <t>Số 254 Thái Phiên</t>
  </si>
  <si>
    <t>PE02000113466</t>
  </si>
  <si>
    <t>Minh Phụng 10 TC</t>
  </si>
  <si>
    <t>143D Đội Cung</t>
  </si>
  <si>
    <t>PE02000125407</t>
  </si>
  <si>
    <t>Hẻm 181 Bình Thới</t>
  </si>
  <si>
    <t>Số 181/31/7 Bình Thới</t>
  </si>
  <si>
    <t>PE02000084626</t>
  </si>
  <si>
    <t>Minh Phụng 11</t>
  </si>
  <si>
    <t>165B Đội Cung</t>
  </si>
  <si>
    <t>PE02000081730</t>
  </si>
  <si>
    <t>Xóm Đất 3</t>
  </si>
  <si>
    <t>Số 191  Xóm Đất</t>
  </si>
  <si>
    <t>PE02000081732</t>
  </si>
  <si>
    <t>Xóm Đất 4</t>
  </si>
  <si>
    <t>Số 265 Xóm Đất</t>
  </si>
  <si>
    <t>PE02000080273</t>
  </si>
  <si>
    <t>Minh Phụng 8</t>
  </si>
  <si>
    <t xml:space="preserve">Số 383G Minh Phụng </t>
  </si>
  <si>
    <t>PE02000085852</t>
  </si>
  <si>
    <t>Minh Phụng 9</t>
  </si>
  <si>
    <t xml:space="preserve">Số 394 Minh Phụng </t>
  </si>
  <si>
    <t>PE02000113398</t>
  </si>
  <si>
    <t>Hẻm 418 Minh Phụng 1</t>
  </si>
  <si>
    <t>Hẻm 418 Minh Phụng-1</t>
  </si>
  <si>
    <t>Hẻm 418/7 Minh Phụng</t>
  </si>
  <si>
    <t>PE02000080280</t>
  </si>
  <si>
    <t>Minh Phụng 10</t>
  </si>
  <si>
    <t xml:space="preserve">Số 565 Minh Phụng </t>
  </si>
  <si>
    <t>PE02000080236</t>
  </si>
  <si>
    <t>Lạc Long Quân 8</t>
  </si>
  <si>
    <t>Lạc Long Quân-9</t>
  </si>
  <si>
    <t>Số 321 Lạc Long Quân</t>
  </si>
  <si>
    <t>PE02000092596</t>
  </si>
  <si>
    <t>Lạc Long Quân 9</t>
  </si>
  <si>
    <t>Lạc Long Quân-8</t>
  </si>
  <si>
    <t>Số 315 Lạc Long Quân</t>
  </si>
  <si>
    <t>PE02000101365</t>
  </si>
  <si>
    <t>H161 Lạc Long Quân 2</t>
  </si>
  <si>
    <t>Hẻm 161 Lạc Long Quân</t>
  </si>
  <si>
    <t>Hẻm 161B/54 Lạc Long Quân</t>
  </si>
  <si>
    <t>PE02000112915</t>
  </si>
  <si>
    <t>H161 Lạc Long Quân 1</t>
  </si>
  <si>
    <t>Hẻm 106 Lạc Long Quân</t>
  </si>
  <si>
    <t>Hẻm 106I/46 Lạc Long Quân</t>
  </si>
  <si>
    <t>PE02000080245</t>
  </si>
  <si>
    <t>Lạc Long Quân 5</t>
  </si>
  <si>
    <t>Lạc Long Quân-5</t>
  </si>
  <si>
    <t>Số 152 Lạc Long Quân</t>
  </si>
  <si>
    <t>PE02000080246</t>
  </si>
  <si>
    <t>Lạc Long Quân 6</t>
  </si>
  <si>
    <t>Lạc Long Quân-6</t>
  </si>
  <si>
    <t xml:space="preserve">Số 174 Lạc long Quân </t>
  </si>
  <si>
    <t>PE02000108716</t>
  </si>
  <si>
    <t>Hẻm 180 Minh Phụng 1</t>
  </si>
  <si>
    <t>Hẻm 180 Minh Phụng-1</t>
  </si>
  <si>
    <t>Hẻm 180/21 Lạc Long Quân</t>
  </si>
  <si>
    <t>PE02000108715</t>
  </si>
  <si>
    <t>Hẻm 180 Minh Phụng 2</t>
  </si>
  <si>
    <t>Hẻm 180 Minh Phụng-2</t>
  </si>
  <si>
    <t>Hẻm 180/8F Lạc Long Quân</t>
  </si>
  <si>
    <t>PE02000113407</t>
  </si>
  <si>
    <t>Lạc Long Quân 7</t>
  </si>
  <si>
    <t>Lạc Long Quân-7</t>
  </si>
  <si>
    <t>Số 208 Lạc Long Quân</t>
  </si>
  <si>
    <t>PE02000080258</t>
  </si>
  <si>
    <t>Bình Thới 7</t>
  </si>
  <si>
    <t>Số 629 Bình Thới</t>
  </si>
  <si>
    <t>PE02000080283</t>
  </si>
  <si>
    <t>Bình Thới 6</t>
  </si>
  <si>
    <t>Số 179 Bình Thới</t>
  </si>
  <si>
    <t>PE02000113467</t>
  </si>
  <si>
    <t>Lò Siêu 2 TC</t>
  </si>
  <si>
    <t>272 Lò Siêu</t>
  </si>
  <si>
    <t>PE02000080288</t>
  </si>
  <si>
    <t>Lò Siêu 2</t>
  </si>
  <si>
    <t>Số 130 Lò Siêu</t>
  </si>
  <si>
    <t>PE02000080307</t>
  </si>
  <si>
    <t>Ba Tháng Hai 11</t>
  </si>
  <si>
    <t>Ba Tháng Hai-11</t>
  </si>
  <si>
    <t>Số 1275 Ba Tháng Hai</t>
  </si>
  <si>
    <t>PE02000094595</t>
  </si>
  <si>
    <t>Hàn Hải Nguyên 1</t>
  </si>
  <si>
    <t>Hàn Hải Nguyên-1</t>
  </si>
  <si>
    <t>Số 2 Hàn Hải Nguyên</t>
  </si>
  <si>
    <t>PE02000126550</t>
  </si>
  <si>
    <t>Quan Âm 2 TC</t>
  </si>
  <si>
    <t>Hẻm 269 Nguyễn Thị Nhỏ</t>
  </si>
  <si>
    <t>Hẻm 269/23 Nguyễn Thị Nhỏ</t>
  </si>
  <si>
    <t>PE02000080135</t>
  </si>
  <si>
    <t>Nam Đế 2</t>
  </si>
  <si>
    <t>Nguyễn Chí Thanh-7</t>
  </si>
  <si>
    <t xml:space="preserve">Góc 568A Nguyễn Chí Thanh + Lý Nam Đế </t>
  </si>
  <si>
    <t>Trần Đức Định</t>
  </si>
  <si>
    <t>PE02000113403</t>
  </si>
  <si>
    <t>Nam Đế 2 TC</t>
  </si>
  <si>
    <t>64A Lý Nam Đế</t>
  </si>
  <si>
    <t>PE02000080119</t>
  </si>
  <si>
    <t>Lê Đại Hành 1</t>
  </si>
  <si>
    <t>Lê Đại Hành-1</t>
  </si>
  <si>
    <t>Số 10 Lê Đại Hành</t>
  </si>
  <si>
    <t>PE02000080123</t>
  </si>
  <si>
    <t>Lê Đại Hành 2</t>
  </si>
  <si>
    <t>Lê Đại Hành-2</t>
  </si>
  <si>
    <t>Số 116 Lê Đại Hành</t>
  </si>
  <si>
    <t>PE02000113393</t>
  </si>
  <si>
    <t>Phùng Bích TC</t>
  </si>
  <si>
    <t>176A Lê Đại Hành</t>
  </si>
  <si>
    <t>PE02000113399</t>
  </si>
  <si>
    <t>Ba Tháng Hai 9</t>
  </si>
  <si>
    <t>Ba Tháng Hai-9</t>
  </si>
  <si>
    <t>Số 897 Ba Tháng Hai</t>
  </si>
  <si>
    <t>PE02000080116</t>
  </si>
  <si>
    <t>Hỏa Hoạn 1</t>
  </si>
  <si>
    <t>Hẻm 185 Lý Thường Kiệt</t>
  </si>
  <si>
    <t>PE02000080124</t>
  </si>
  <si>
    <t>Nam Đế 3</t>
  </si>
  <si>
    <t>Vĩnh Viễn-10</t>
  </si>
  <si>
    <t>Số O16 Vĩnh Viễn</t>
  </si>
  <si>
    <t>PE02000129340</t>
  </si>
  <si>
    <t>Nam Đế 4</t>
  </si>
  <si>
    <t>Lý Nam Đế</t>
  </si>
  <si>
    <t>Số 117 Lý Nam Đế</t>
  </si>
  <si>
    <t>PE02000080113</t>
  </si>
  <si>
    <t>Lý Thường Kiệt-1</t>
  </si>
  <si>
    <t>Số 151 Lý Thường Kiệt</t>
  </si>
  <si>
    <t>PE02000080187</t>
  </si>
  <si>
    <t>Ba Tháng Hai 10</t>
  </si>
  <si>
    <t>Ba Tháng Hai-10</t>
  </si>
  <si>
    <t>Số 972-974 Ba Tháng Hai</t>
  </si>
  <si>
    <t>PE02000113391</t>
  </si>
  <si>
    <t>Lãnh Binh Thăng 1</t>
  </si>
  <si>
    <t>Lãnh Binh Thăng-1</t>
  </si>
  <si>
    <t>Số 32 Lãnh Bình Thăng</t>
  </si>
  <si>
    <t>PE02000091685</t>
  </si>
  <si>
    <t>Lãnh Binh Thăng 2</t>
  </si>
  <si>
    <t>Lãnh Binh Thăng-2</t>
  </si>
  <si>
    <t>Số 003 Chung cư Tuệ Tĩnh</t>
  </si>
  <si>
    <t>PE02000081728</t>
  </si>
  <si>
    <t>Tuệ Tĩnh</t>
  </si>
  <si>
    <t>Đ/d số 005 Công Chúa Ngọc Hân</t>
  </si>
  <si>
    <t>PE02000113411</t>
  </si>
  <si>
    <t>Lãnh Binh Thăng 4 TC 3</t>
  </si>
  <si>
    <t>150 Công Chúa Ngọc Hân</t>
  </si>
  <si>
    <t>PE02000115849</t>
  </si>
  <si>
    <t>Tuệ Tĩnh 204</t>
  </si>
  <si>
    <t>Số 204 Tuệ Tĩnh</t>
  </si>
  <si>
    <t>PE02000113409</t>
  </si>
  <si>
    <t>Tôn Thất Hiệp 3</t>
  </si>
  <si>
    <t>Tôn Thất Hiệp-3</t>
  </si>
  <si>
    <t>Số 219 Tôn Thất Thiệp</t>
  </si>
  <si>
    <t>PE02000084615</t>
  </si>
  <si>
    <t>Huyện Toại</t>
  </si>
  <si>
    <t>Số 25A Huyện Toại</t>
  </si>
  <si>
    <t>PE02000113412</t>
  </si>
  <si>
    <t>Lãnh Binh Thăng 3</t>
  </si>
  <si>
    <t>Lãnh Binh Thăng-3</t>
  </si>
  <si>
    <t>Số 165 Lãnh Bình Thăng</t>
  </si>
  <si>
    <t>PE02000080196</t>
  </si>
  <si>
    <t>Lãnh Binh Thăng 4</t>
  </si>
  <si>
    <t>Lãnh Binh Thăng-4</t>
  </si>
  <si>
    <t>Số 218 Lãnh Binh Thăng</t>
  </si>
  <si>
    <t>PE02000080202</t>
  </si>
  <si>
    <t>Tôn Thất Hiệp 2</t>
  </si>
  <si>
    <t>Tôn Thất Hiệp-2</t>
  </si>
  <si>
    <t>Số 186 Tôn Thất Hiệp</t>
  </si>
  <si>
    <t>PE02000080204</t>
  </si>
  <si>
    <t>Lê Thị Bạch Cát 1</t>
  </si>
  <si>
    <t>Lê Thị Bạch Cát-1</t>
  </si>
  <si>
    <t>Số 46 Lê Thị Bạch Cát</t>
  </si>
  <si>
    <t>PE02000081729</t>
  </si>
  <si>
    <t>Lê Thị Bạch Cát 2</t>
  </si>
  <si>
    <t>Lê Thị Bạch Cát-2</t>
  </si>
  <si>
    <t>Số 124 Lê Thị Bạch Cát</t>
  </si>
  <si>
    <t>PE02000080203</t>
  </si>
  <si>
    <t>Lê Thị Bạch Cát 3</t>
  </si>
  <si>
    <t>Lê Thị Bạch Cát-3</t>
  </si>
  <si>
    <t>Số 165 Lê Thị Bạch Cát</t>
  </si>
  <si>
    <t>PE02000113206</t>
  </si>
  <si>
    <t>Quân Sự</t>
  </si>
  <si>
    <t>Số 91 Quân Sự</t>
  </si>
  <si>
    <t>PE02000113210</t>
  </si>
  <si>
    <t>Lò Siêu TC 3</t>
  </si>
  <si>
    <t>Số 276 Bis Lãnh Binh Thăng</t>
  </si>
  <si>
    <t>PE02000090228</t>
  </si>
  <si>
    <t>Tôn Thất Hiệp 1</t>
  </si>
  <si>
    <t>Tôn Thất Hiệp-1</t>
  </si>
  <si>
    <t>Số 63 Tôn Thất Hiệp</t>
  </si>
  <si>
    <t>PE02000090229</t>
  </si>
  <si>
    <t>Thất Hiệp 1/1</t>
  </si>
  <si>
    <t>8 Tuệ Tĩnh</t>
  </si>
  <si>
    <t>PE02000090230</t>
  </si>
  <si>
    <t>Tổng Lung</t>
  </si>
  <si>
    <t>15 Lê Tung</t>
  </si>
  <si>
    <t>PE02000113410</t>
  </si>
  <si>
    <t>Giếng Đại Hành TC</t>
  </si>
  <si>
    <t>27 Công Chúa Ngọc Hân</t>
  </si>
  <si>
    <t>PE02000100655</t>
  </si>
  <si>
    <t>Lê Đại Hành 3</t>
  </si>
  <si>
    <t>Lê Đại Hành-3</t>
  </si>
  <si>
    <t>Số 335 Lê Đại Hành</t>
  </si>
  <si>
    <t>PE02000118627</t>
  </si>
  <si>
    <t>Hẻm 349 Lê Đại Hành</t>
  </si>
  <si>
    <t>Số 349/126 Lê Đại Hành</t>
  </si>
  <si>
    <t>PE02000117065</t>
  </si>
  <si>
    <t>Lê Đại Hành 4</t>
  </si>
  <si>
    <t>Lê Đại Hành-4</t>
  </si>
  <si>
    <t>Số 353 Lê Đại Hành</t>
  </si>
  <si>
    <t>PE02000084617</t>
  </si>
  <si>
    <t xml:space="preserve">Hẻm 351 Lê Đại Hành 2 </t>
  </si>
  <si>
    <t>Hẻm 351 Lê Đại Hành-2</t>
  </si>
  <si>
    <t>Số 351A/109 Lê Đại Hành</t>
  </si>
  <si>
    <t>PE02000084616</t>
  </si>
  <si>
    <t>Hẻm 351 Lê Đại Hành 1</t>
  </si>
  <si>
    <t>Hẻm 351 Lê Đại Hành-1</t>
  </si>
  <si>
    <t>Số 351A/2A Lê Đại Hành</t>
  </si>
  <si>
    <t>PE02000118628</t>
  </si>
  <si>
    <t>Hẻm 377 Lê Đại Hành</t>
  </si>
  <si>
    <t>Số 377 Lê Đại Hành</t>
  </si>
  <si>
    <t>PE02000080107</t>
  </si>
  <si>
    <t>Lê Đại Hành 5</t>
  </si>
  <si>
    <t>Lê Đại Hành-5</t>
  </si>
  <si>
    <t>Số 451 Lê Đại Hành</t>
  </si>
  <si>
    <t>PE02000113402</t>
  </si>
  <si>
    <t>Bình Thới 4</t>
  </si>
  <si>
    <t>Số 133B Bình Thới</t>
  </si>
  <si>
    <t>PE02000113400</t>
  </si>
  <si>
    <t>Bình Thới 2</t>
  </si>
  <si>
    <t>Số 63A Bình Thới</t>
  </si>
  <si>
    <t>PE02000113207</t>
  </si>
  <si>
    <t>Đội Cung</t>
  </si>
  <si>
    <t>Số 32A Đội Cung</t>
  </si>
  <si>
    <t>PE02000084623</t>
  </si>
  <si>
    <t>Hẻm 49 Âu Cơ</t>
  </si>
  <si>
    <t>Số 49/21 Âu Cơ</t>
  </si>
  <si>
    <t>PE02000084624</t>
  </si>
  <si>
    <t>Hẻm 79 Âu Cơ 2</t>
  </si>
  <si>
    <t>Hẻm 79 Âu Cơ-2</t>
  </si>
  <si>
    <t>Số 79/26 Âu Cơ</t>
  </si>
  <si>
    <t>PE02000113494</t>
  </si>
  <si>
    <t>Hẻm 79 Âu Cơ 1</t>
  </si>
  <si>
    <t>Hẻm 79 Âu Cơ-1</t>
  </si>
  <si>
    <t>Số 79/N7 Âu Cơ</t>
  </si>
  <si>
    <t>PE02000093155</t>
  </si>
  <si>
    <t>Hẻm 102 Bình Thới 2</t>
  </si>
  <si>
    <t>Hẻm 102 Bình Thới-2</t>
  </si>
  <si>
    <t>Số 104A/100 Âu Cơ</t>
  </si>
  <si>
    <t>PE02000093157</t>
  </si>
  <si>
    <t>Hẻm 102 Bình Thới 1</t>
  </si>
  <si>
    <t>Hẻm 102 Bình Thới-1</t>
  </si>
  <si>
    <t>Số 102/63/100 Âu Cơ</t>
  </si>
  <si>
    <t>PE02000113493</t>
  </si>
  <si>
    <t>Hẻm 127 Âu Cơ 2</t>
  </si>
  <si>
    <t>Hẻm 127 Âu Cơ-2</t>
  </si>
  <si>
    <t>Số 127/43 Âu Cơ</t>
  </si>
  <si>
    <t>PE02000093159</t>
  </si>
  <si>
    <t>Hẻm 127 Âu Cơ 1</t>
  </si>
  <si>
    <t>Hẻm 127 Âu Cơ-1</t>
  </si>
  <si>
    <t>Số 127/37A Âu Cơ</t>
  </si>
  <si>
    <t>PE02000080228</t>
  </si>
  <si>
    <t>Âu Cơ 3</t>
  </si>
  <si>
    <t>Âu Cơ-3</t>
  </si>
  <si>
    <t>Số 129 Âu Cơ</t>
  </si>
  <si>
    <t>PE02000101189</t>
  </si>
  <si>
    <t>Âu Cơ 2</t>
  </si>
  <si>
    <t>Âu Cơ-2</t>
  </si>
  <si>
    <t>Số 69 Âu Cơ</t>
  </si>
  <si>
    <t>PE02000080226</t>
  </si>
  <si>
    <t>Âu Cơ 1</t>
  </si>
  <si>
    <t>Âu Cơ-1</t>
  </si>
  <si>
    <t>Số 29 Bis Âu Cơ</t>
  </si>
  <si>
    <t>PE02000102553</t>
  </si>
  <si>
    <t>CC Trường Đua B</t>
  </si>
  <si>
    <t>Chung cư Trường Đua B</t>
  </si>
  <si>
    <t>Số 1 Lô 4B Khu B Khu nhà Phú Thọ</t>
  </si>
  <si>
    <t>PE02000106952</t>
  </si>
  <si>
    <t>CC Trường Đua A</t>
  </si>
  <si>
    <t>Chung cư Trường Đua A</t>
  </si>
  <si>
    <t>Số 3 Lô 3B Khu A Khu nhà Phú Thọ</t>
  </si>
  <si>
    <t>PE02000080097</t>
  </si>
  <si>
    <t>Lữ Gia</t>
  </si>
  <si>
    <t>Đ/d số 68 Lữ Gia</t>
  </si>
  <si>
    <t>PE02000080308</t>
  </si>
  <si>
    <t>Sân TT Phú Thọ</t>
  </si>
  <si>
    <t>Sân Thể Thao Phú Thọ</t>
  </si>
  <si>
    <t xml:space="preserve">Đối diện 109 Nguyễn Thị Nhỏ </t>
  </si>
  <si>
    <t>PE02000081978</t>
  </si>
  <si>
    <t>Lữ Gia 3</t>
  </si>
  <si>
    <t>Đ/d số 68/1G Đường Số 68 Cư xá Lữ Gia</t>
  </si>
  <si>
    <t>PE02000113390</t>
  </si>
  <si>
    <t>Đường Số 1 CXLG 2</t>
  </si>
  <si>
    <t>Đường Số 1 Cư xá Lữ Gia-2</t>
  </si>
  <si>
    <t>Số 1/100 Đường số 1 Cư xá Lữ Gia</t>
  </si>
  <si>
    <t>PE02000113397</t>
  </si>
  <si>
    <t>Đường Số 52 CXLG 1</t>
  </si>
  <si>
    <t>Đường số 52 Cư xá Lữ Gia-1</t>
  </si>
  <si>
    <t>Số 19 Đường số 52 Cư xá Lữ Gia</t>
  </si>
  <si>
    <t>PE02000113396</t>
  </si>
  <si>
    <t>Đường Số 52 CXLG 2</t>
  </si>
  <si>
    <t>Đường Số 52 Cư xá Lữ Gia-2</t>
  </si>
  <si>
    <t>Số 33 Đường số 52 Cư xá Lữ Gia</t>
  </si>
  <si>
    <t>PE02000081979</t>
  </si>
  <si>
    <t>Lữ Gia 4</t>
  </si>
  <si>
    <t>Số 93 Đường Số 3 Cư Xá Lữ Gia</t>
  </si>
  <si>
    <t>PE02000100036</t>
  </si>
  <si>
    <t>Lữ Gia 7</t>
  </si>
  <si>
    <t>Số 33 Đường số 2 Cư Xá Lữ Gia</t>
  </si>
  <si>
    <t>PE02000126533</t>
  </si>
  <si>
    <t>Đường Số 1 CXLG 1</t>
  </si>
  <si>
    <t>Đường Số 1 Cư xá Lữ Gia-1</t>
  </si>
  <si>
    <t>Số 1/10  Đường số 1 Cư xá Lữ Gia</t>
  </si>
  <si>
    <t>PE02000090227</t>
  </si>
  <si>
    <t>Lữ Gia 6</t>
  </si>
  <si>
    <t>Số 3 Đường Số 2 Cư Xá Lữ Gia</t>
  </si>
  <si>
    <t>PE02000080085</t>
  </si>
  <si>
    <t>Lý Thường Kiệt 5</t>
  </si>
  <si>
    <t>Lý Thường Kiệt-6</t>
  </si>
  <si>
    <t>Số 249B Lý Thường Kiệt</t>
  </si>
  <si>
    <t>PE02000080084</t>
  </si>
  <si>
    <t>Lý Thường Kiệt 6</t>
  </si>
  <si>
    <t>Lý Thường Kiệt-7</t>
  </si>
  <si>
    <t>Số 265 Lý Thường Kiệt</t>
  </si>
  <si>
    <t>PE02000080071</t>
  </si>
  <si>
    <t>Đường 281 Lý Thường Kiệt 1</t>
  </si>
  <si>
    <t>Đường 281 Lý Thường Kiệt-1</t>
  </si>
  <si>
    <t>Số 7 Hẻm 281 Lý Thường Kiệt</t>
  </si>
  <si>
    <t>PE02000080070</t>
  </si>
  <si>
    <t>Đường 281 Lý Thường Kiệt 2</t>
  </si>
  <si>
    <t>Đường 281 Lý Thường Kiệt-2</t>
  </si>
  <si>
    <t>Số 20 Hẻm 281 Lý Thường Kiệt</t>
  </si>
  <si>
    <t>PE02000094593</t>
  </si>
  <si>
    <t>Đường 281 Lý Thường Kiệt 3</t>
  </si>
  <si>
    <t>Đường 281 Lý Thường Kiệt-3</t>
  </si>
  <si>
    <t>Số 54 Lý Thường Kiệt</t>
  </si>
  <si>
    <t>PE02000080062</t>
  </si>
  <si>
    <t>Văn Thoại 5</t>
  </si>
  <si>
    <t>Đường 299 Lý Thường Kiệt</t>
  </si>
  <si>
    <t>Số 299/15A Lý Thường Kiệt</t>
  </si>
  <si>
    <t>PE02000101187</t>
  </si>
  <si>
    <t>Chung Cư 319/2</t>
  </si>
  <si>
    <t>Số 04 Lô 2A Chung Cư  319 Lý Thường Kiệt</t>
  </si>
  <si>
    <t>PE02000106941</t>
  </si>
  <si>
    <t>Cao Ốc Thuận Việt</t>
  </si>
  <si>
    <t>Số 4 Chung cư Thuận Việt</t>
  </si>
  <si>
    <t>PE02000080059</t>
  </si>
  <si>
    <t>Chung Cư 319/1</t>
  </si>
  <si>
    <t>Số 319 C13 Lý Thường Kiệt</t>
  </si>
  <si>
    <t>PE02000087531</t>
  </si>
  <si>
    <t>Lý Thường Kiệt 7</t>
  </si>
  <si>
    <t>Lý Thường Kiệt-8</t>
  </si>
  <si>
    <t>Số 293 Lý Thường Kiệt</t>
  </si>
  <si>
    <t>PE02000113392</t>
  </si>
  <si>
    <t>Lý Thường Kiệt 2</t>
  </si>
  <si>
    <t>Lý Thường Kiệt-3</t>
  </si>
  <si>
    <t>Số 215C Lý Thường Kiệt</t>
  </si>
  <si>
    <t>1. Khảo sát tăng cường đèn</t>
  </si>
  <si>
    <t>2. Khảo sát ngầm hóa</t>
  </si>
  <si>
    <t>3. Khảo sát thay thế đèn</t>
  </si>
  <si>
    <t>4. Lắp đặt - Thay thế hộp kín nước</t>
  </si>
  <si>
    <t>5. Thay thế cáp nguồn nổi, lão hóa, nứt vỏ cách điện</t>
  </si>
  <si>
    <t>6. Thay thế cáp luồn cần</t>
  </si>
  <si>
    <t>7. Thay thế cáp ngầm chạm chập</t>
  </si>
  <si>
    <t>8. Thay thế cần đèn mục, rỉ sét, sai kiềng</t>
  </si>
  <si>
    <t>9. Thay thế trụ mục mặt bích, rỉ sét, móp</t>
  </si>
  <si>
    <t>10. Thay thế chóa đèn, bộ đèn bể, lão hóa</t>
  </si>
  <si>
    <t>11. Lắp đặt nắp cửa trụ bị mất</t>
  </si>
  <si>
    <t>12. Thay thế vỏ tủ bể, lão hóa</t>
  </si>
  <si>
    <t>13. Lắp đặt tăng cường đèn có khoảng cách xa</t>
  </si>
  <si>
    <t>14. Decal số trụ</t>
  </si>
  <si>
    <t>15. Móng trụ mục - Nâng móng trụ</t>
  </si>
  <si>
    <t>khao sat tang cuong den.xlsx</t>
  </si>
  <si>
    <t>16. BBHT ký app</t>
  </si>
  <si>
    <t>Dãy phân cách</t>
  </si>
  <si>
    <t>Số làn xe</t>
  </si>
  <si>
    <t>Số đèn dự kiến</t>
  </si>
  <si>
    <t>Vị trí</t>
  </si>
  <si>
    <t>Tên hẻm</t>
  </si>
  <si>
    <t>Trạng thái thiết kế</t>
  </si>
  <si>
    <t>Link Google Map</t>
  </si>
  <si>
    <t xml:space="preserve">Hai Bà Trưng </t>
  </si>
  <si>
    <t>Trạm Cầu Kiệu 1</t>
  </si>
  <si>
    <t>3,3</t>
  </si>
  <si>
    <t>451 Hai Bà Trưng</t>
  </si>
  <si>
    <t>451/54 Hai Bà Trưng</t>
  </si>
  <si>
    <t xml:space="preserve">Nguyễn Văn Trung </t>
  </si>
  <si>
    <t>475-451 HAI BA TRUNG</t>
  </si>
  <si>
    <t>3,8</t>
  </si>
  <si>
    <t xml:space="preserve">475-Hai Bà Trưng </t>
  </si>
  <si>
    <t xml:space="preserve">475/35-Hai Bà Trưng </t>
  </si>
  <si>
    <t xml:space="preserve">Nam Kỳ Khởi Nghĩa </t>
  </si>
  <si>
    <t xml:space="preserve">Võ Thị Sáu </t>
  </si>
  <si>
    <t>Nam Kỳ Khởi Nghĩa 2</t>
  </si>
  <si>
    <t>3,1</t>
  </si>
  <si>
    <t xml:space="preserve">235/2 Nam Kỳ Khởi Nghĩa </t>
  </si>
  <si>
    <t xml:space="preserve">235/105 Nam Kỳ Khởi Nghĩa </t>
  </si>
  <si>
    <t>235NKKN-134 LY CHINH THANG</t>
  </si>
  <si>
    <t xml:space="preserve">Lý Chính Thắng </t>
  </si>
  <si>
    <t xml:space="preserve">134/97 Lý Chính Thắng </t>
  </si>
  <si>
    <t xml:space="preserve">Hẻm 384 Nam Kỳ Khởi Nghĩa </t>
  </si>
  <si>
    <t xml:space="preserve">384/41-Nam Kỳ Khởi Nghĩa </t>
  </si>
  <si>
    <t xml:space="preserve">381/60-Nam Kỳ Khởi Nghĩa </t>
  </si>
  <si>
    <t>384-290 NKKN, 82 LY CHINH THANG</t>
  </si>
  <si>
    <t xml:space="preserve">Góc ngã 3 hẻm 384 và 290 Nam Kỳ Khởi Nghĩa </t>
  </si>
  <si>
    <t xml:space="preserve">290/12-Nam Kỳ Khởi Nghĩa </t>
  </si>
  <si>
    <t xml:space="preserve">Nguyễn Hiền </t>
  </si>
  <si>
    <t xml:space="preserve">Đường số 3-cư xá Đô Thành </t>
  </si>
  <si>
    <t>3,7</t>
  </si>
  <si>
    <t>Sn 22-Nguyễn Hiền</t>
  </si>
  <si>
    <t>Sn 22/6-Nguyễn Hiền</t>
  </si>
  <si>
    <t>22 NGUYỄN HIỀN Q3</t>
  </si>
  <si>
    <t>3,5</t>
  </si>
  <si>
    <t xml:space="preserve">Đối diện SN 36/6-Nguyễn Hiền </t>
  </si>
  <si>
    <t>SN 36/40-Nguyễn Hiền</t>
  </si>
  <si>
    <t xml:space="preserve">Đường số 2-cư xá Đô Thành </t>
  </si>
  <si>
    <t>4,5</t>
  </si>
  <si>
    <t xml:space="preserve">Đối diện SN 23 đường số 2-cư xá Đô Thành </t>
  </si>
  <si>
    <t xml:space="preserve">SN 26-đường số 3-cư xá Đô Thành </t>
  </si>
  <si>
    <t>26 ĐƯỜNG SỐ 3</t>
  </si>
  <si>
    <t xml:space="preserve">Bàn Cờ </t>
  </si>
  <si>
    <t>Bàn Cờ 1</t>
  </si>
  <si>
    <t>SN 128-Bàn Cờ</t>
  </si>
  <si>
    <t>SN 128/1-Bàn Cờ</t>
  </si>
  <si>
    <t>128 BÀN CỜ</t>
  </si>
  <si>
    <t xml:space="preserve">Lê Văn Sỹ </t>
  </si>
  <si>
    <t>Lê Văn Sỹ 2</t>
  </si>
  <si>
    <t>Ngay bảng khu phố văn hoá( của phường)</t>
  </si>
  <si>
    <t>Giữa sn 264L và SN 264M</t>
  </si>
  <si>
    <t>264 LEVANSY</t>
  </si>
  <si>
    <t>Lê Văn Sỹ 4</t>
  </si>
  <si>
    <t xml:space="preserve">SN 443/77-Lê Văn Sỹ </t>
  </si>
  <si>
    <t xml:space="preserve">SN 443/54-Lê Văn Sỹ </t>
  </si>
  <si>
    <t>972 TS, 359,413,443 LVS</t>
  </si>
  <si>
    <t>Trường Sa</t>
  </si>
  <si>
    <t>Lê Văn Sỹ 3</t>
  </si>
  <si>
    <t>972/1B-Trường Sa</t>
  </si>
  <si>
    <t>972/22-Trường Sa</t>
  </si>
  <si>
    <t xml:space="preserve">SN 359/65-Lê Văn Sỹ </t>
  </si>
  <si>
    <t xml:space="preserve">443/19-Lê Văn Sỹ </t>
  </si>
  <si>
    <t xml:space="preserve">SN 413/43-Lê Văn Sỹ </t>
  </si>
  <si>
    <t xml:space="preserve">SN 413/64-Lê Văn Sỹ </t>
  </si>
  <si>
    <t xml:space="preserve">Huỳnh Văn Bánh </t>
  </si>
  <si>
    <t xml:space="preserve">Phú Nhuận </t>
  </si>
  <si>
    <t>Nguyễn Đình Chính-8-PN-11</t>
  </si>
  <si>
    <t xml:space="preserve">Kế bên SN 320A- Huỳnh Văn Bánh </t>
  </si>
  <si>
    <t xml:space="preserve">320/9- Huỳnh Văn Bánh </t>
  </si>
  <si>
    <t xml:space="preserve">Nguyễn Đình Chính-8-PN-11 </t>
  </si>
  <si>
    <t>SN 391-Huỳnh Văn Bánh</t>
  </si>
  <si>
    <t>SN 387/3-Huỳnh Văn Bánh</t>
  </si>
  <si>
    <t xml:space="preserve">Thích Quảng Đức </t>
  </si>
  <si>
    <t>Thích Quảng Đức-1-PN-5</t>
  </si>
  <si>
    <t xml:space="preserve">SN 98-Thích Quảng Đức </t>
  </si>
  <si>
    <t xml:space="preserve">SN 98/7- Thích Quảng Đức </t>
  </si>
  <si>
    <t xml:space="preserve">Đối diện SN 100/3C1-Thích Quảng Đức </t>
  </si>
  <si>
    <t xml:space="preserve">SN 100/21-Thích Quảng Đức </t>
  </si>
  <si>
    <t xml:space="preserve">Hoàng Hoa Thám </t>
  </si>
  <si>
    <t xml:space="preserve">Bình Thạnh </t>
  </si>
  <si>
    <t>Hoàng Hoa Thám-2-BT-6</t>
  </si>
  <si>
    <t xml:space="preserve">SN 69A-Hoàng Hoa Thám </t>
  </si>
  <si>
    <t>SN 67/27-Hoàng Hoa Thám</t>
  </si>
  <si>
    <t>42 và 12</t>
  </si>
  <si>
    <t>Lê Trực-2-BT-7</t>
  </si>
  <si>
    <t xml:space="preserve">SN 42/6-Hoàng Hoa Thám </t>
  </si>
  <si>
    <t xml:space="preserve">SN 12/4-Hoàng Hoa Thám </t>
  </si>
  <si>
    <t xml:space="preserve">Nguyễn Trọng Tuyển </t>
  </si>
  <si>
    <t>KNO 284 Nguyễn Trọng Tuyển-1-PN-10</t>
  </si>
  <si>
    <t xml:space="preserve">SN 313/1-Nguyễn Trọng Tuyển </t>
  </si>
  <si>
    <t xml:space="preserve">SN 313/12A4-Nguyễn Trọng Tuyển </t>
  </si>
  <si>
    <t>KNO 284-Nguyễn Trọng Tuyển-1-PN-10</t>
  </si>
  <si>
    <t xml:space="preserve">SN 331-Nguyễn Trọng Tuyển </t>
  </si>
  <si>
    <t xml:space="preserve">SN 329/17-Nguyễn Trọng Tuyển </t>
  </si>
  <si>
    <t>Lê Trực</t>
  </si>
  <si>
    <t xml:space="preserve">Lê Trực-2-BT-7 </t>
  </si>
  <si>
    <t>3,2</t>
  </si>
  <si>
    <t>Đối diện SN 27/4-Lê Trực</t>
  </si>
  <si>
    <t>SN 27/6E-Lê Trực</t>
  </si>
  <si>
    <t xml:space="preserve">Lê Trực-1-BT-7 </t>
  </si>
  <si>
    <t>Đối diện SN 37/6-Lê Trực</t>
  </si>
  <si>
    <t>Đối diện SN 37/3-Lê Trực</t>
  </si>
  <si>
    <t>Lê Trực-1-BT-7</t>
  </si>
  <si>
    <t>SN 39/13A-Lê Trực</t>
  </si>
  <si>
    <t>SN 39/13C-Lê Trực</t>
  </si>
  <si>
    <t>Huỳnh Văn Bánh-8-PN-11</t>
  </si>
  <si>
    <t>SN 282-Huỳnh Văn Bánh</t>
  </si>
  <si>
    <t>SN 280/15-Huỳnh Văn Bánh</t>
  </si>
  <si>
    <t>SN 349-Huỳnh Văn Bánh</t>
  </si>
  <si>
    <t>SN 347/18-Huỳnh Văn Bánh</t>
  </si>
  <si>
    <t xml:space="preserve">SN 536-Lê Văn Sỹ </t>
  </si>
  <si>
    <t xml:space="preserve">Sn 536/17-Lê Văn Sỹ </t>
  </si>
  <si>
    <t>CMT8</t>
  </si>
  <si>
    <t>Vòng xoay Dân Chủ 1</t>
  </si>
  <si>
    <t>SN 130-CMT8</t>
  </si>
  <si>
    <t>SN 130/18-CMT8</t>
  </si>
  <si>
    <t>130 CMT8</t>
  </si>
  <si>
    <t>Kỳ Đồng</t>
  </si>
  <si>
    <t>Kỳ Đồng 1</t>
  </si>
  <si>
    <t>SN 14-Kỳ Đồng</t>
  </si>
  <si>
    <t>SN 14/40K-Kỳ Đồng</t>
  </si>
  <si>
    <t>14 KỲ ĐỒNG</t>
  </si>
  <si>
    <t>Cách Mạng Tháng 8 -16</t>
  </si>
  <si>
    <t>SN 358/1-CMT8</t>
  </si>
  <si>
    <t>SN 358/15-CMT8</t>
  </si>
  <si>
    <t>358 CMT8</t>
  </si>
  <si>
    <t>359/1</t>
  </si>
  <si>
    <t xml:space="preserve">Lê Văn Sỹ 3 </t>
  </si>
  <si>
    <t xml:space="preserve">Ngã 3 đường Trường Sa và hẻm 359 Lê Văn Sỹ </t>
  </si>
  <si>
    <t xml:space="preserve">SN 359/1/17-Lê Văn Sỹ </t>
  </si>
  <si>
    <t>359-1 LÊ VĂN SỸ</t>
  </si>
  <si>
    <t xml:space="preserve">Vườn Chuối </t>
  </si>
  <si>
    <t xml:space="preserve">Đường số 4-cư xá Đô Thành </t>
  </si>
  <si>
    <t>SN 34-Vườn Chuối</t>
  </si>
  <si>
    <t>SN 46/2/11-Vườn Chuối</t>
  </si>
  <si>
    <t>34-39 VƯỜN CHUỐI</t>
  </si>
  <si>
    <t xml:space="preserve">SN 39-Vườn Chuối </t>
  </si>
  <si>
    <t xml:space="preserve">SN 31/2-Vườn Chuối </t>
  </si>
  <si>
    <t xml:space="preserve">Trần Quang Diệu </t>
  </si>
  <si>
    <t>Trần Quang Diệu 2</t>
  </si>
  <si>
    <t xml:space="preserve">SN 18-Trần Quang Diệu </t>
  </si>
  <si>
    <t xml:space="preserve">SN 18/73-Trần Quang Diệu </t>
  </si>
  <si>
    <t>18 TRAN QUANG DIEU</t>
  </si>
  <si>
    <t xml:space="preserve">Vòng xoay Dân Chủ 1 </t>
  </si>
  <si>
    <t>SN 134-CMT8</t>
  </si>
  <si>
    <t>SN 134/5-CMT8</t>
  </si>
  <si>
    <t>134,134-1 CMT8</t>
  </si>
  <si>
    <t>134/1</t>
  </si>
  <si>
    <t xml:space="preserve">CMT8 </t>
  </si>
  <si>
    <t>SN 134/1-CMT8</t>
  </si>
  <si>
    <t>SN 134/1/32A-CMT8</t>
  </si>
  <si>
    <t>SN 206A-CMT8</t>
  </si>
  <si>
    <t>SN 210/19A-CMT8</t>
  </si>
  <si>
    <t>210,210-18 CMT8</t>
  </si>
  <si>
    <t>210/18</t>
  </si>
  <si>
    <t xml:space="preserve">SN 210/18-CMT8 </t>
  </si>
  <si>
    <t>SN 210/18/7-CMT8</t>
  </si>
  <si>
    <t>SN 292-CMT8</t>
  </si>
  <si>
    <t>SN 280/33A-CMT8</t>
  </si>
  <si>
    <t>292 CMT8</t>
  </si>
  <si>
    <t>SN 262-CMT8</t>
  </si>
  <si>
    <t>Sn262/10-CMT8</t>
  </si>
  <si>
    <t>262 CMT8</t>
  </si>
  <si>
    <t>Cách Mạng Tháng 8-16</t>
  </si>
  <si>
    <t>SN 348/3-CMT8</t>
  </si>
  <si>
    <t>SN 322/16/14-CMT8</t>
  </si>
  <si>
    <t>348 CMT8</t>
  </si>
  <si>
    <t xml:space="preserve">SN 46-Vườn Chuối </t>
  </si>
  <si>
    <t xml:space="preserve">SN 46/36-Vườn Chuối </t>
  </si>
  <si>
    <t>46 VƯỜN CHUỐI</t>
  </si>
  <si>
    <t xml:space="preserve">SN 18-Vườn Chuối </t>
  </si>
  <si>
    <t xml:space="preserve">Đối diện SN 18/47-Vườn Chuối </t>
  </si>
  <si>
    <t>18 VƯỜN CHUỐI</t>
  </si>
  <si>
    <t>Nguyễn Thông</t>
  </si>
  <si>
    <t>Nguyễn Thông 1</t>
  </si>
  <si>
    <t>3,4</t>
  </si>
  <si>
    <t>SN 153-Nguyễn Thông</t>
  </si>
  <si>
    <t>SN 153/12/27-Nguyễn Thông</t>
  </si>
  <si>
    <t>153 NGUYEN THONG</t>
  </si>
  <si>
    <t>108+136+80</t>
  </si>
  <si>
    <t xml:space="preserve">Trần Quang Diệu 2 </t>
  </si>
  <si>
    <t xml:space="preserve">SN 108/1-Trần Quang Diệu </t>
  </si>
  <si>
    <t xml:space="preserve">Đối diện SN 108/30-Trần Quang Diệu </t>
  </si>
  <si>
    <t>108-136-80 TranQuangDieu</t>
  </si>
  <si>
    <t xml:space="preserve">SN 349-Lê Văn Sỹ </t>
  </si>
  <si>
    <t xml:space="preserve">SN 351/67A-Lê Văn Sỹ </t>
  </si>
  <si>
    <t>351 LVS</t>
  </si>
  <si>
    <t>420 và 448</t>
  </si>
  <si>
    <t>SN 420-Lê Văn Sỹ</t>
  </si>
  <si>
    <t xml:space="preserve">SN 466/45-Lê Văn Sỹ </t>
  </si>
  <si>
    <t>420 LVS</t>
  </si>
  <si>
    <t xml:space="preserve">Ngã ba Lê Văn Sỹ và hẻm 339 Lê Văn Sỹ </t>
  </si>
  <si>
    <t xml:space="preserve">SN 339/79C-Lê Văn Sỹ </t>
  </si>
  <si>
    <t>339 LVS</t>
  </si>
  <si>
    <t>16/87</t>
  </si>
  <si>
    <t xml:space="preserve">Nguyễn Thiện Thuật </t>
  </si>
  <si>
    <t>Bàn Cờ 2</t>
  </si>
  <si>
    <t xml:space="preserve">Sn16/87/2-Nguyễn Thiện Thuật </t>
  </si>
  <si>
    <t xml:space="preserve">Sn16/87/46-Nguyễn Thiện Thuật </t>
  </si>
  <si>
    <t>16-87 NGUYEN THIEN THUAT</t>
  </si>
  <si>
    <t xml:space="preserve">SN 400/2A-Lê Văn Sỹ </t>
  </si>
  <si>
    <t xml:space="preserve">SN 400/2F-Lê Văn Sỹ </t>
  </si>
  <si>
    <t>386-400 LVS-đã gộp</t>
  </si>
  <si>
    <t xml:space="preserve">SN 386/2-Lê Văn Sỹ </t>
  </si>
  <si>
    <t xml:space="preserve">SN 386/67B-Lê Văn Sỹ </t>
  </si>
  <si>
    <t>Hẻm 384-NKKN</t>
  </si>
  <si>
    <t xml:space="preserve">Ngã 3 hẻm 290-NKKN và hẻm 82-Lý Chính Thắng </t>
  </si>
  <si>
    <t xml:space="preserve">Đối diện SN 82/34B-Lý Chính Thắng </t>
  </si>
  <si>
    <t xml:space="preserve">Lưu Hữu Phước </t>
  </si>
  <si>
    <t>Lưu Hữu Phước 6</t>
  </si>
  <si>
    <t xml:space="preserve">350/7A Lưu Hữu Phước </t>
  </si>
  <si>
    <t xml:space="preserve">Nguyễn Trần Hùng </t>
  </si>
  <si>
    <t>hẻm 342 LHP</t>
  </si>
  <si>
    <t xml:space="preserve">Nguyễn Chế Nghĩa </t>
  </si>
  <si>
    <t>Nguyễn Duy 10</t>
  </si>
  <si>
    <t xml:space="preserve">Nguyễn chế Nghĩa </t>
  </si>
  <si>
    <t xml:space="preserve">Mạc vân </t>
  </si>
  <si>
    <t>hẻm 89 +107 ncnghia</t>
  </si>
  <si>
    <t xml:space="preserve">Bùi Minh Trực </t>
  </si>
  <si>
    <t>Bùi Minh Trực 4</t>
  </si>
  <si>
    <t xml:space="preserve">1583/69 Phạm Thế Hiển </t>
  </si>
  <si>
    <t>290 BMT</t>
  </si>
  <si>
    <t xml:space="preserve">361A+363 </t>
  </si>
  <si>
    <t xml:space="preserve">Bình Đông </t>
  </si>
  <si>
    <t>Bình Đông 18</t>
  </si>
  <si>
    <t xml:space="preserve">sn 7F_ CX Bình Đông </t>
  </si>
  <si>
    <t>H361A+H363 Bình Đông</t>
  </si>
  <si>
    <t>Bình Đông 17</t>
  </si>
  <si>
    <t>sn 361/15A</t>
  </si>
  <si>
    <t>H 361 Bình Đông</t>
  </si>
  <si>
    <t xml:space="preserve">364/30 Bình Đông </t>
  </si>
  <si>
    <t>364 Bình Đông</t>
  </si>
  <si>
    <t xml:space="preserve">Bình Đức </t>
  </si>
  <si>
    <t>sn 11/22</t>
  </si>
  <si>
    <t>H 10 Bình Đức</t>
  </si>
  <si>
    <t>373/39</t>
  </si>
  <si>
    <t>373 BMT</t>
  </si>
  <si>
    <t>3L+6L</t>
  </si>
  <si>
    <t xml:space="preserve">Ngô Sỹ Liên </t>
  </si>
  <si>
    <t>3L/41 + 6L/13</t>
  </si>
  <si>
    <t>H 3L + H 6L Ngô Sỹ Liên</t>
  </si>
  <si>
    <t>1B</t>
  </si>
  <si>
    <t xml:space="preserve">Mễ Cốc </t>
  </si>
  <si>
    <t>Mễ Cốc 4</t>
  </si>
  <si>
    <t xml:space="preserve">1/70 Mễ Cốc </t>
  </si>
  <si>
    <t>1B Mễ Cốc</t>
  </si>
  <si>
    <t xml:space="preserve">129/5 Mễ Cốc </t>
  </si>
  <si>
    <t>127 Mễ Cốc</t>
  </si>
  <si>
    <t xml:space="preserve">10/65 Bình Đông </t>
  </si>
  <si>
    <t>H 10 + Hông chợ Bình Đông</t>
  </si>
  <si>
    <t xml:space="preserve">Hông chợ Bình Đông </t>
  </si>
  <si>
    <t xml:space="preserve">29/3A Bình Đông </t>
  </si>
  <si>
    <t>Quốc Lộ 50(TL5)</t>
  </si>
  <si>
    <t>Bến xe Q8</t>
  </si>
  <si>
    <t xml:space="preserve">Quốc Lộ 50 </t>
  </si>
  <si>
    <t>399/27 QL50</t>
  </si>
  <si>
    <t>399 Quốc Lộ 50</t>
  </si>
  <si>
    <t>Lưu Hữu Phước 3</t>
  </si>
  <si>
    <t>184/2/15</t>
  </si>
  <si>
    <t>184 LHP</t>
  </si>
  <si>
    <t xml:space="preserve">20/22/8 Mễ Cốc </t>
  </si>
  <si>
    <t xml:space="preserve">20/24/2A8 Mễ Cốc </t>
  </si>
  <si>
    <t>20 Mễ Cốc</t>
  </si>
  <si>
    <t xml:space="preserve">277/97K Bình Đông </t>
  </si>
  <si>
    <t xml:space="preserve">Lương Văn Can </t>
  </si>
  <si>
    <t xml:space="preserve">1/23 Lương Văn Can </t>
  </si>
  <si>
    <t>H 01 + 23 Lương Văn Can</t>
  </si>
  <si>
    <t xml:space="preserve">29/8 Bình Đông </t>
  </si>
  <si>
    <t xml:space="preserve">Nguyễn Xí </t>
  </si>
  <si>
    <t>Quốc lộ 13-2-BT-26</t>
  </si>
  <si>
    <t xml:space="preserve">SN 82-Nguyễn Xí </t>
  </si>
  <si>
    <t>SN 82/18-Nguyễn Xí</t>
  </si>
  <si>
    <t>Nguyễn Xí</t>
  </si>
  <si>
    <t xml:space="preserve">Quốc lộ 13-2-BT-26 </t>
  </si>
  <si>
    <t>3,6</t>
  </si>
  <si>
    <t xml:space="preserve">SN 78-Nguyễn Xí </t>
  </si>
  <si>
    <t>Đối diện SN 76/10-Nguyễn Xí</t>
  </si>
  <si>
    <t>Nguyễn Xí-1-BT-13</t>
  </si>
  <si>
    <t>Đối diện SN 213-Nguyễn Xí</t>
  </si>
  <si>
    <t>Đối diện SN 211 E- Nguyễn Xí</t>
  </si>
  <si>
    <t xml:space="preserve">Bình Quới </t>
  </si>
  <si>
    <t>Bình Quới 11-BT-28</t>
  </si>
  <si>
    <t xml:space="preserve">SN 574A-Bình Quới </t>
  </si>
  <si>
    <t xml:space="preserve">SN 574/2-Bình Quới </t>
  </si>
  <si>
    <t>558/15</t>
  </si>
  <si>
    <t>Bình Quới-11-BT-28</t>
  </si>
  <si>
    <t xml:space="preserve">SN 558/15/12A-Bình Quới </t>
  </si>
  <si>
    <t xml:space="preserve">Đối diện SN 558/15/14C-Bình Quới </t>
  </si>
  <si>
    <t>558/47 và 558/52</t>
  </si>
  <si>
    <t>Hẻm 558 Bình Quới-1-BT-28</t>
  </si>
  <si>
    <t xml:space="preserve">Đối diện SN 558/52/7-Bình Quới </t>
  </si>
  <si>
    <t xml:space="preserve">Đối diện SN 558/47/3-Bình Quới </t>
  </si>
  <si>
    <t>558/66</t>
  </si>
  <si>
    <t>Bình Quới-8-BT-28</t>
  </si>
  <si>
    <t xml:space="preserve">Đối diện SN 558/64/13-Bình Quới </t>
  </si>
  <si>
    <t xml:space="preserve">SN 558/66/1-Bình Quới </t>
  </si>
  <si>
    <t xml:space="preserve">Góc ngã 3 đường Bình Quới và hẻm 566-Bình Quới </t>
  </si>
  <si>
    <t xml:space="preserve">Đối diện SN 566B-Bình Quới </t>
  </si>
  <si>
    <t xml:space="preserve">SN 558/59-Bình Quới </t>
  </si>
  <si>
    <t>Cách ngã 3 hẻm 558 và 558/66-Bình Quới 8m</t>
  </si>
  <si>
    <t>558/51 và 558/54</t>
  </si>
  <si>
    <t xml:space="preserve">SN 558/51-Bình Quới </t>
  </si>
  <si>
    <t xml:space="preserve">Đối diện SN 558/54/8-Bình Quới </t>
  </si>
  <si>
    <t>Chu Văn An</t>
  </si>
  <si>
    <t>Hẻm 334 Chu Văn An-1-BT-12</t>
  </si>
  <si>
    <t>SN 346/25-Chu Văn An</t>
  </si>
  <si>
    <t>SN 346/49-Chu Văn An</t>
  </si>
  <si>
    <t>Hoài Thanh</t>
  </si>
  <si>
    <t>Hoài Thanh 3</t>
  </si>
  <si>
    <t>113H/53A</t>
  </si>
  <si>
    <t>ks2024</t>
  </si>
  <si>
    <t>113H/35</t>
  </si>
  <si>
    <t>132H</t>
  </si>
  <si>
    <t>Cây Sung</t>
  </si>
  <si>
    <t>161/51</t>
  </si>
  <si>
    <t>192E + 132</t>
  </si>
  <si>
    <t>Bình Đông 13</t>
  </si>
  <si>
    <t>cuối hẻm</t>
  </si>
  <si>
    <t>2024-07-31T08:57:22.1933470Z</t>
  </si>
  <si>
    <t>đ/d 360D</t>
  </si>
  <si>
    <t>2024-07-31T09:18:25.7839804Z</t>
  </si>
  <si>
    <t>28/44A</t>
  </si>
  <si>
    <t>2024-07-31T09:34:27.7175946Z</t>
  </si>
  <si>
    <t>Hẻm 129 Mễ Cốc</t>
  </si>
  <si>
    <t>129/9C/11</t>
  </si>
  <si>
    <t>2024-07-31T09:36:44.3581455Z</t>
  </si>
  <si>
    <t>Quốc Lộ 50( LT 5)</t>
  </si>
  <si>
    <t>Quốc Lộ 50 ( 227/19)</t>
  </si>
  <si>
    <t>227/26B</t>
  </si>
  <si>
    <t>2024-08-01T02:13:10.2027766Z</t>
  </si>
  <si>
    <t>Quốc Lộ 50 (263/11 Bis)</t>
  </si>
  <si>
    <t>263/29</t>
  </si>
  <si>
    <t>2024-08-01T02:14:56.4214109Z</t>
  </si>
  <si>
    <t xml:space="preserve">Phạm Hùng </t>
  </si>
  <si>
    <t>Phạm Hùng( 8/16B)</t>
  </si>
  <si>
    <t>10_11/20A</t>
  </si>
  <si>
    <t>2024-08-01T02:16:39.1993789Z</t>
  </si>
  <si>
    <t xml:space="preserve">Hoàng Đạo </t>
  </si>
  <si>
    <t>138 HDT</t>
  </si>
  <si>
    <t xml:space="preserve">cuối hẻm </t>
  </si>
  <si>
    <t>2024-08-02T08:06:47.4607263Z</t>
  </si>
  <si>
    <t xml:space="preserve">Rạch lồng Đèn </t>
  </si>
  <si>
    <t xml:space="preserve">đường H khu Bình Điền </t>
  </si>
  <si>
    <t>Bình Điền khu 17_3</t>
  </si>
  <si>
    <t xml:space="preserve">Đường H </t>
  </si>
  <si>
    <t xml:space="preserve">58 Rạch Lồng Đèn </t>
  </si>
  <si>
    <t>2024-08-02T08:11:30.9493039Z</t>
  </si>
  <si>
    <t xml:space="preserve">Cao Lỗ </t>
  </si>
  <si>
    <t xml:space="preserve">Tạ Quang Bửu </t>
  </si>
  <si>
    <t>2024-08-02T09:12:06.8021206Z</t>
  </si>
  <si>
    <t>Chiến thắng 2</t>
  </si>
  <si>
    <t xml:space="preserve">769/38A PT Hiển </t>
  </si>
  <si>
    <t>2024-08-02T09:14:16.1690392Z</t>
  </si>
  <si>
    <t xml:space="preserve">Ba Đình </t>
  </si>
  <si>
    <t>Hưng Phú 5</t>
  </si>
  <si>
    <t xml:space="preserve">Hưng Phú </t>
  </si>
  <si>
    <t>481/10A BD</t>
  </si>
  <si>
    <t>2024-08-02T09:37:27.5145579Z</t>
  </si>
  <si>
    <t>Mễ Cốc 1</t>
  </si>
  <si>
    <t>sn 5/7</t>
  </si>
  <si>
    <t>2024-08-03T02:29:46.5855891Z</t>
  </si>
  <si>
    <t>141 +20+24</t>
  </si>
  <si>
    <t>Lưu Hữu Phước + Nguyễn Nhược Thị</t>
  </si>
  <si>
    <t>Lưu Hữu Phước 1</t>
  </si>
  <si>
    <t>Lưu Hữu Phước</t>
  </si>
  <si>
    <t>10/27C</t>
  </si>
  <si>
    <t>2024-08-03T02:31:36.6514382Z</t>
  </si>
  <si>
    <t>904, 118, 175, 129</t>
  </si>
  <si>
    <t>Nguyễn Duy, Mạc Vân. Nguyễn Chế Nghĩa</t>
  </si>
  <si>
    <t>Nguyễn Duy</t>
  </si>
  <si>
    <t>cuối tuyến</t>
  </si>
  <si>
    <t>2024-08-03T02:33:15.1572253Z</t>
  </si>
  <si>
    <t>2024-08-03T02:34:47.6492561Z</t>
  </si>
  <si>
    <t>2024-08-03T02:35:48.3974470Z</t>
  </si>
  <si>
    <t>12, 46,156</t>
  </si>
  <si>
    <t>Nguyễn Chế Nghĩa, Tuy Lý Vương</t>
  </si>
  <si>
    <t>2024-08-03T02:37:36.5344320Z</t>
  </si>
  <si>
    <t>2024-08-05T00:37:09.9442239Z</t>
  </si>
  <si>
    <t>2024-08-05T00:40:31.5065664Z</t>
  </si>
  <si>
    <t xml:space="preserve">SN 339/4A-Lê Văn Sỹ </t>
  </si>
  <si>
    <t>2024-08-05T00:44:58.7921399Z</t>
  </si>
  <si>
    <t>2024-08-05T00:48:19.3523491Z</t>
  </si>
  <si>
    <t xml:space="preserve">SN 420-Lê Văn Sỹ </t>
  </si>
  <si>
    <t xml:space="preserve">Đối diện SN 448/19A1-Lê Văn Sỹ </t>
  </si>
  <si>
    <t>2024-08-05T00:54:29.9819978Z</t>
  </si>
  <si>
    <t xml:space="preserve">Trường Sơn </t>
  </si>
  <si>
    <t xml:space="preserve">hướng ra Hồ Bá Kiện </t>
  </si>
  <si>
    <t>2024-08-19T10:25:40.9922475Z</t>
  </si>
  <si>
    <t xml:space="preserve">Bà Hạt </t>
  </si>
  <si>
    <t>hướng ra LTT, SVH</t>
  </si>
  <si>
    <t>2024-08-19T10:27:17.1094831Z</t>
  </si>
  <si>
    <t xml:space="preserve">Lạc Long Quân </t>
  </si>
  <si>
    <t>LLQ</t>
  </si>
  <si>
    <t>2024-08-19T10:28:20.7008003Z</t>
  </si>
  <si>
    <t>2024-08-19T10:29:20.4785436Z</t>
  </si>
  <si>
    <t xml:space="preserve">Minh Phụng </t>
  </si>
  <si>
    <t>H 323 MP</t>
  </si>
  <si>
    <t>2024-08-19T10:30:22.8895198Z</t>
  </si>
  <si>
    <t xml:space="preserve">Thái Phiên </t>
  </si>
  <si>
    <t xml:space="preserve">hướng ra đường Đội Cung </t>
  </si>
  <si>
    <t>2024-08-20T08:01:59.6417754Z</t>
  </si>
  <si>
    <t xml:space="preserve">Tuệ Tĩnh </t>
  </si>
  <si>
    <t xml:space="preserve">Huyện Toại </t>
  </si>
  <si>
    <t>2024-08-20T08:05:02.3620621Z</t>
  </si>
  <si>
    <t>2024-08-20T08:06:09.6535589Z</t>
  </si>
  <si>
    <t xml:space="preserve">Hẻm 100 Bình Thới </t>
  </si>
  <si>
    <t xml:space="preserve">Hẻm 100 BT </t>
  </si>
  <si>
    <t>2024-08-20T08:08:24.5025368Z</t>
  </si>
  <si>
    <t xml:space="preserve">Đội Cumg </t>
  </si>
  <si>
    <t>Mình Phụng 11</t>
  </si>
  <si>
    <t xml:space="preserve">Đội Cung </t>
  </si>
  <si>
    <t>2024-08-20T08:12:01.5638475Z</t>
  </si>
  <si>
    <t>106H</t>
  </si>
  <si>
    <t>H161 LLQ</t>
  </si>
  <si>
    <t>2024-08-20T08:13:53.2041884Z</t>
  </si>
  <si>
    <t xml:space="preserve">Hòa Bình </t>
  </si>
  <si>
    <t xml:space="preserve">lắp đặt tủ </t>
  </si>
  <si>
    <t xml:space="preserve">Tân Hóa </t>
  </si>
  <si>
    <t>2024-08-20T08:15:46.5550971Z</t>
  </si>
  <si>
    <t>137 Nguyễn Chí Thanh ND</t>
  </si>
  <si>
    <t>Nguyễn Chí Thanh ND</t>
  </si>
  <si>
    <t xml:space="preserve">3,5m </t>
  </si>
  <si>
    <t>SN137 NCT -ND</t>
  </si>
  <si>
    <t xml:space="preserve">137/22 </t>
  </si>
  <si>
    <t>2024-09-10T03:17:09.3946867Z</t>
  </si>
  <si>
    <t xml:space="preserve">Bá Phước </t>
  </si>
  <si>
    <t xml:space="preserve">H-47 Phú Thọ </t>
  </si>
  <si>
    <t xml:space="preserve">Phú Thọ </t>
  </si>
  <si>
    <t xml:space="preserve">2,5 mét </t>
  </si>
  <si>
    <t xml:space="preserve">47 Phú Thọ </t>
  </si>
  <si>
    <t xml:space="preserve">47/18 Phú Thọ </t>
  </si>
  <si>
    <t>2024-09-10T03:26:46.5469313Z</t>
  </si>
  <si>
    <t xml:space="preserve">H- 39 B Phú Thọ </t>
  </si>
  <si>
    <t xml:space="preserve">39 B Phú Thọ </t>
  </si>
  <si>
    <t xml:space="preserve">39/47 Phú Thọ </t>
  </si>
  <si>
    <t>2024-09-10T03:29:16.3443051Z</t>
  </si>
  <si>
    <t>H- 64 Hồng Bàng ( 702)</t>
  </si>
  <si>
    <t xml:space="preserve">H 702 Hồng Bàng </t>
  </si>
  <si>
    <t xml:space="preserve">Hẻm 702 Hồng Bàng </t>
  </si>
  <si>
    <t xml:space="preserve">3 mét </t>
  </si>
  <si>
    <t xml:space="preserve">SN 65 HB </t>
  </si>
  <si>
    <t xml:space="preserve">39/7/58 Phú Thọ </t>
  </si>
  <si>
    <t>2024-09-10T03:34:07.0788533Z</t>
  </si>
  <si>
    <t>39/7/58</t>
  </si>
  <si>
    <t>H 64 Hồng Bàng ( 702)</t>
  </si>
  <si>
    <t xml:space="preserve">37/ 17 Phú Thọ </t>
  </si>
  <si>
    <t>2024-09-10T03:38:06.5523918Z</t>
  </si>
  <si>
    <t>39/25/46</t>
  </si>
  <si>
    <t>H-64 Hồng Bàng (702)</t>
  </si>
  <si>
    <t xml:space="preserve">39/25/16 Phú Thọ </t>
  </si>
  <si>
    <t xml:space="preserve">39/25/20 Phú Thọ </t>
  </si>
  <si>
    <t>2024-09-10T03:42:33.6442342Z</t>
  </si>
  <si>
    <t xml:space="preserve">163 Thành Thái </t>
  </si>
  <si>
    <t xml:space="preserve">Thành Thái </t>
  </si>
  <si>
    <t xml:space="preserve">Thành Thái 1 </t>
  </si>
  <si>
    <t xml:space="preserve">4 mét </t>
  </si>
  <si>
    <t xml:space="preserve">163/70 Thành Thái </t>
  </si>
  <si>
    <t>2024-09-10T03:48:35.1873632Z</t>
  </si>
  <si>
    <t>28A+28B+28C</t>
  </si>
  <si>
    <t xml:space="preserve">Dương Bá Trạc </t>
  </si>
  <si>
    <t>Cầu Y 2</t>
  </si>
  <si>
    <t>Hẻm 28 DBT</t>
  </si>
  <si>
    <t>2024-09-11T00:23:23.8462267Z</t>
  </si>
  <si>
    <t xml:space="preserve">Phạm Thế Hiển </t>
  </si>
  <si>
    <t>sn 1030 PTH</t>
  </si>
  <si>
    <t>2024-09-11T00:35:52.1951398Z</t>
  </si>
  <si>
    <t>cuối hẻm (sn 93/26)</t>
  </si>
  <si>
    <t>2024-09-11T00:38:08.3517509Z</t>
  </si>
  <si>
    <t>đường số 19</t>
  </si>
  <si>
    <t xml:space="preserve">Lê Bôi </t>
  </si>
  <si>
    <t>Pham Thế Hiển 32</t>
  </si>
  <si>
    <t>sn 1 đường số 19</t>
  </si>
  <si>
    <t>sn 34 đường số 19C</t>
  </si>
  <si>
    <t>2024-09-12T00:46:44.4938441Z</t>
  </si>
  <si>
    <t>sn3137/52</t>
  </si>
  <si>
    <t>2024-09-12T00:48:25.9939153Z</t>
  </si>
  <si>
    <t xml:space="preserve">Phạm Thế Hiển 32 </t>
  </si>
  <si>
    <t>sn 2347/25/15</t>
  </si>
  <si>
    <t>2024-09-12T00:52:02.6561095Z</t>
  </si>
  <si>
    <t xml:space="preserve">Hẻm 14 Hoàng Dư Khương </t>
  </si>
  <si>
    <t>Hẻm 285</t>
  </si>
  <si>
    <t>sn 285/85/29</t>
  </si>
  <si>
    <t>2024-10-11T10:04:48.5548408Z</t>
  </si>
  <si>
    <t xml:space="preserve">Nơ Trang Long </t>
  </si>
  <si>
    <t>Nơ Trang Long 1</t>
  </si>
  <si>
    <t>Số nhà 69/1A</t>
  </si>
  <si>
    <t>Số nhà 69/35</t>
  </si>
  <si>
    <t>2024-11-16T00:50:56.3606495Z</t>
  </si>
  <si>
    <t>20,22,31</t>
  </si>
  <si>
    <t xml:space="preserve">Ngô Đức Kế </t>
  </si>
  <si>
    <t>Ngô Đức Kế -2-BT-13</t>
  </si>
  <si>
    <t>SN22B</t>
  </si>
  <si>
    <t>SN31/18</t>
  </si>
  <si>
    <t>2024-11-18T01:29:10.9171751Z</t>
  </si>
  <si>
    <t>2025-01-10T01:19:50.9583599Z</t>
  </si>
  <si>
    <t xml:space="preserve">Dương Bá Trạc 1 </t>
  </si>
  <si>
    <t>290A/90/9A</t>
  </si>
  <si>
    <t>2025-01-10T01:28:53.5215173Z</t>
  </si>
  <si>
    <t xml:space="preserve">Nguyễn Văn Đậu </t>
  </si>
  <si>
    <t>Nguyễn Thượng Hiền 1</t>
  </si>
  <si>
    <t>3,5 m</t>
  </si>
  <si>
    <t xml:space="preserve">298 Nguyễn Thượng Hiền </t>
  </si>
  <si>
    <t xml:space="preserve">298/10A Nguyễn Thượng Hiền </t>
  </si>
  <si>
    <t>2025-02-05T02:52:47.2371436Z</t>
  </si>
  <si>
    <t xml:space="preserve">Đỗ Tiến Đạt </t>
  </si>
  <si>
    <t xml:space="preserve">Phan Đăng Lưu </t>
  </si>
  <si>
    <t xml:space="preserve">Chưa xác định </t>
  </si>
  <si>
    <t>3m</t>
  </si>
  <si>
    <t xml:space="preserve">74/5C Phan Đăng Lưu </t>
  </si>
  <si>
    <t xml:space="preserve">74/7 Phan Đăng Lưu </t>
  </si>
  <si>
    <t>2025-02-05T08:57:58.3079509Z</t>
  </si>
  <si>
    <t>Hẻm 120 Thích Quảng Đức - 1</t>
  </si>
  <si>
    <t xml:space="preserve">235 Hoàng Hoa Thám </t>
  </si>
  <si>
    <t xml:space="preserve">235/9 Hoàng Hoa Thám </t>
  </si>
  <si>
    <t>2025-02-05T09:02:05.9556406Z</t>
  </si>
  <si>
    <t>120/98</t>
  </si>
  <si>
    <t>Hẻm 120 Thích Quảng Đức -2</t>
  </si>
  <si>
    <t>Đầu hẻm 2m vô trong 2,8m</t>
  </si>
  <si>
    <t xml:space="preserve">120/98/12 Thích Quảng Đức </t>
  </si>
  <si>
    <t xml:space="preserve">120/98/63 Thích Quảng Đức </t>
  </si>
  <si>
    <t>2025-02-05T09:07:06.5494847Z</t>
  </si>
  <si>
    <t xml:space="preserve">Hẻm 217 Lãnh Binh Thăng </t>
  </si>
  <si>
    <t xml:space="preserve">Lãnh Binh Thăng </t>
  </si>
  <si>
    <t>Q11</t>
  </si>
  <si>
    <t xml:space="preserve">Huyện Toại lấy nguồn TS 2 Huyện Toại </t>
  </si>
  <si>
    <t>219 LBT</t>
  </si>
  <si>
    <t xml:space="preserve">35 Huyện Toại </t>
  </si>
  <si>
    <t>2025-02-05T09:11:17.5487508Z</t>
  </si>
  <si>
    <t xml:space="preserve">Nguyễn Bá Phước </t>
  </si>
  <si>
    <t>Làm Sơn</t>
  </si>
  <si>
    <t>Lam Sơn-1</t>
  </si>
  <si>
    <t xml:space="preserve">19/21 Lam Sơn </t>
  </si>
  <si>
    <t xml:space="preserve">19/39 Lam Sơn </t>
  </si>
  <si>
    <t>2025-02-05T09:12:20.6193755Z</t>
  </si>
  <si>
    <t>30A</t>
  </si>
  <si>
    <t>Thích Quảng Đức 1</t>
  </si>
  <si>
    <t xml:space="preserve">30A Thích Quảng Đức </t>
  </si>
  <si>
    <t xml:space="preserve">30C3 Thích Quảng Đức </t>
  </si>
  <si>
    <t>2025-02-05T09:15:11.4204318Z</t>
  </si>
  <si>
    <t xml:space="preserve">Hẻm 191 Lãnh Binh Thăng </t>
  </si>
  <si>
    <t>Huyện Toại Trụ Số 4</t>
  </si>
  <si>
    <t xml:space="preserve">191 Lãnh Binh Thăng </t>
  </si>
  <si>
    <t xml:space="preserve">19 Huyện Toại </t>
  </si>
  <si>
    <t>2025-02-05T09:16:02.1510426Z</t>
  </si>
  <si>
    <t xml:space="preserve">Hẻm 173 Lãnh Binh Thăng </t>
  </si>
  <si>
    <t>Huyện Toại Trụ Số 5</t>
  </si>
  <si>
    <t xml:space="preserve">173 Lãnh Binh Thăng </t>
  </si>
  <si>
    <t xml:space="preserve">158/7 Tuệ Tĩnh </t>
  </si>
  <si>
    <t>2025-02-05T09:19:29.8412113Z</t>
  </si>
  <si>
    <t xml:space="preserve">Hẻm 1150 Ba Tháng Hai </t>
  </si>
  <si>
    <t xml:space="preserve">Bà Tháng Hai </t>
  </si>
  <si>
    <t xml:space="preserve">Chưa biết lấy nguồn </t>
  </si>
  <si>
    <t xml:space="preserve">3,4 mét </t>
  </si>
  <si>
    <t xml:space="preserve">1150 Ba Tháng Hai </t>
  </si>
  <si>
    <t>1150/49 BTH</t>
  </si>
  <si>
    <t>2025-02-05T09:22:50.5619889Z</t>
  </si>
  <si>
    <t xml:space="preserve">195 Bình Thới </t>
  </si>
  <si>
    <t xml:space="preserve">Bình Thới </t>
  </si>
  <si>
    <t>Bình Thới 5 Trụ Số 1</t>
  </si>
  <si>
    <t xml:space="preserve">3,5 mét </t>
  </si>
  <si>
    <t xml:space="preserve">195 BT </t>
  </si>
  <si>
    <t>195/37/2 BT</t>
  </si>
  <si>
    <t>2025-02-05T09:37:28.7947036Z</t>
  </si>
  <si>
    <t xml:space="preserve">Hẻm 1170 Ba Tháng Hai </t>
  </si>
  <si>
    <t>1170/3 BTH</t>
  </si>
  <si>
    <t>1170 /22 BTH</t>
  </si>
  <si>
    <t>2025-02-05T09:40:53.6296016Z</t>
  </si>
  <si>
    <t xml:space="preserve">Hẻm 1136 Bà Tháng Hai </t>
  </si>
  <si>
    <t xml:space="preserve">Ba Tháng Hai </t>
  </si>
  <si>
    <t>1136/7</t>
  </si>
  <si>
    <t>1136/64</t>
  </si>
  <si>
    <t>2025-02-05T09:44:50.4267637Z</t>
  </si>
  <si>
    <t xml:space="preserve">Hẻm 492 Tân Phước </t>
  </si>
  <si>
    <t xml:space="preserve">Tân Phước </t>
  </si>
  <si>
    <t>Chợ Thiết 2</t>
  </si>
  <si>
    <t xml:space="preserve">492 TP </t>
  </si>
  <si>
    <t>492/49</t>
  </si>
  <si>
    <t>2025-02-05T09:51:15.5127810Z</t>
  </si>
  <si>
    <t xml:space="preserve"> Hẻm 2549</t>
  </si>
  <si>
    <t>2549/39 Phạm Thế Hiển</t>
  </si>
  <si>
    <t>2025-02-06T03:52:43.8204410Z</t>
  </si>
  <si>
    <t>Quang Thức</t>
  </si>
  <si>
    <t>290B</t>
  </si>
  <si>
    <t>Dương Bá Trạc</t>
  </si>
  <si>
    <t>290B Dương Bá Trạc</t>
  </si>
  <si>
    <t>2025-02-06T04:06:56.2870688Z</t>
  </si>
  <si>
    <t xml:space="preserve">80 Hoàng Ngân + 118 Phú Định </t>
  </si>
  <si>
    <t>Hoàng Ngân + Phú Định</t>
  </si>
  <si>
    <t>hẻm 80 Hoàng Ngân</t>
  </si>
  <si>
    <t>2025-02-06T06:23:17.3158883Z</t>
  </si>
  <si>
    <t>187 Mễ Cốc</t>
  </si>
  <si>
    <t>Mễ Cốc 5</t>
  </si>
  <si>
    <t>2025-02-06T06:24:41.3537615Z</t>
  </si>
  <si>
    <t>35 Cao Lỗ</t>
  </si>
  <si>
    <t>Cao Lỗ</t>
  </si>
  <si>
    <t>2025-02-06T06:26:39.2861894Z</t>
  </si>
  <si>
    <t>90 Thành Thái</t>
  </si>
  <si>
    <t>Thành Thái</t>
  </si>
  <si>
    <t>Thái Thái</t>
  </si>
  <si>
    <t>2025-02-06T06:37:40.6625422Z</t>
  </si>
  <si>
    <t>104 Thành Thái</t>
  </si>
  <si>
    <t>2025-02-06T06:39:27.6562788Z</t>
  </si>
  <si>
    <t>383 Bà Hạt</t>
  </si>
  <si>
    <t>Bà Hạt</t>
  </si>
  <si>
    <t>2025-02-06T06:40:35.0912087Z</t>
  </si>
  <si>
    <t xml:space="preserve">đầu hẻm 45 DBT </t>
  </si>
  <si>
    <t>sn 45/40 DBT</t>
  </si>
  <si>
    <t>2025-02-06T09:19:50.7341501Z</t>
  </si>
  <si>
    <t>86/23</t>
  </si>
  <si>
    <t>Hẻm 86 Thích Quảng Đức 1</t>
  </si>
  <si>
    <t>86/25A</t>
  </si>
  <si>
    <t>86/23G</t>
  </si>
  <si>
    <t>2025-02-06T09:20:44.0685492Z</t>
  </si>
  <si>
    <t xml:space="preserve">Dạ Nam </t>
  </si>
  <si>
    <t>Dạ Nam 1</t>
  </si>
  <si>
    <t>4 ; 3</t>
  </si>
  <si>
    <t xml:space="preserve">đầu hẻm 139 Dạ Nam </t>
  </si>
  <si>
    <t>sn 139/35</t>
  </si>
  <si>
    <t>2025-02-06T09:23:38.1971580Z</t>
  </si>
  <si>
    <t xml:space="preserve">Đào Duy Từ </t>
  </si>
  <si>
    <t>Đào Duy Từ 1</t>
  </si>
  <si>
    <t>5m</t>
  </si>
  <si>
    <t xml:space="preserve">2 Đào Duy Từ </t>
  </si>
  <si>
    <t xml:space="preserve">2/16 Đào Duy Từ </t>
  </si>
  <si>
    <t>2025-02-06T09:25:34.2255153Z</t>
  </si>
  <si>
    <t>12 B</t>
  </si>
  <si>
    <t>ts1 Nguyễn Thị Tần ( SN 12B/9)</t>
  </si>
  <si>
    <t xml:space="preserve">10B Phạm Thế Hiển </t>
  </si>
  <si>
    <t>2025-02-06T09:28:30.3393305Z</t>
  </si>
  <si>
    <t>Phan Đinh Phùng</t>
  </si>
  <si>
    <t>Đầu hẻm 4m vô trong 2,8m</t>
  </si>
  <si>
    <t xml:space="preserve">61/1 Phan Đinh Phùng </t>
  </si>
  <si>
    <t xml:space="preserve">61/3G Phan Đinh Phùng </t>
  </si>
  <si>
    <t>2025-02-06T09:29:59.8736166Z</t>
  </si>
  <si>
    <t xml:space="preserve">đường dẫn chân cầu Chữ y </t>
  </si>
  <si>
    <t xml:space="preserve">Nguyễn Thị Tần </t>
  </si>
  <si>
    <t xml:space="preserve">giao lộ Nguyễn Thị Tần+ Dạ Nam </t>
  </si>
  <si>
    <t xml:space="preserve">chân cầu chữ y </t>
  </si>
  <si>
    <t>2025-02-06T09:33:51.5951803Z</t>
  </si>
  <si>
    <t xml:space="preserve">Nguyễn Văn cừ </t>
  </si>
  <si>
    <t>Nguyễn Văn cừ 5</t>
  </si>
  <si>
    <t>đầu hẻm 55 NVC</t>
  </si>
  <si>
    <t xml:space="preserve">sn 84/2 Nguyễn Biểu </t>
  </si>
  <si>
    <t>2025-02-06T09:38:50.0101079Z</t>
  </si>
  <si>
    <t>Đoàn Thị Điểm 2</t>
  </si>
  <si>
    <t>Có chỗ 3m có chỗ 4m</t>
  </si>
  <si>
    <t xml:space="preserve">29/28 Đoàn Thị Điểm </t>
  </si>
  <si>
    <t xml:space="preserve">181/1 Phan Đăng Lưu </t>
  </si>
  <si>
    <t>2025-02-06T09:45:00.7488586Z</t>
  </si>
  <si>
    <t xml:space="preserve">Hẻm 174/65 Thái Phiên </t>
  </si>
  <si>
    <t xml:space="preserve">Hẻm 76 xóm Đất </t>
  </si>
  <si>
    <t xml:space="preserve">Hẻm 84 Dương Đình nghệ </t>
  </si>
  <si>
    <t xml:space="preserve">76/7/9 Thái Phiên </t>
  </si>
  <si>
    <t>2025-02-06T09:50:48.3227295Z</t>
  </si>
  <si>
    <t xml:space="preserve">Phan Xích Long </t>
  </si>
  <si>
    <t>Phan Xích Long 4</t>
  </si>
  <si>
    <t xml:space="preserve">452 Phan Xích Long </t>
  </si>
  <si>
    <t xml:space="preserve">81/23 Phùng Văn Cung </t>
  </si>
  <si>
    <t>2025-02-06T09:53:21.8983469Z</t>
  </si>
  <si>
    <t>Phan Đăng Lưu 1</t>
  </si>
  <si>
    <t>4m</t>
  </si>
  <si>
    <t xml:space="preserve">139/1 Phan Đăng Lưu </t>
  </si>
  <si>
    <t xml:space="preserve">139/24 Phan Đăng Lưu </t>
  </si>
  <si>
    <t>2025-02-06T09:56:04.9770893Z</t>
  </si>
  <si>
    <t xml:space="preserve">Hẻm 174/30 Thái Phiên </t>
  </si>
  <si>
    <t xml:space="preserve">Hẻm 140 HH nguyên </t>
  </si>
  <si>
    <t>174/30/22</t>
  </si>
  <si>
    <t>2025-02-06T09:57:20.6071802Z</t>
  </si>
  <si>
    <t>142D</t>
  </si>
  <si>
    <t>Cô Giang</t>
  </si>
  <si>
    <t>Cô Giang 2</t>
  </si>
  <si>
    <t xml:space="preserve">127 Cô Giang </t>
  </si>
  <si>
    <t xml:space="preserve">142D/50 Cô Giang </t>
  </si>
  <si>
    <t>2025-02-06T09:58:51.1309785Z</t>
  </si>
  <si>
    <t xml:space="preserve">Cao Đạt </t>
  </si>
  <si>
    <t>đầu hẻm 197 CD</t>
  </si>
  <si>
    <t xml:space="preserve">sn 676/79 Võ Văn Kiệt </t>
  </si>
  <si>
    <t>2025-02-06T10:02:36.1934000Z</t>
  </si>
  <si>
    <t xml:space="preserve">Đ , Thái Phiên </t>
  </si>
  <si>
    <t xml:space="preserve">Minh Phụng 10TC </t>
  </si>
  <si>
    <t xml:space="preserve">SN 312 Thái Phiên </t>
  </si>
  <si>
    <t xml:space="preserve">SN 366 Thái Phiên </t>
  </si>
  <si>
    <t>2025-02-06T10:02:46.4608991Z</t>
  </si>
  <si>
    <t xml:space="preserve">22+ cc Chợ Quán </t>
  </si>
  <si>
    <t xml:space="preserve">Trần Bình Trọng </t>
  </si>
  <si>
    <t xml:space="preserve">676/31 Võ Văn Kiệt </t>
  </si>
  <si>
    <t xml:space="preserve">113 lô B CC Chợ Quán </t>
  </si>
  <si>
    <t>2025-02-06T10:06:12.7846726Z</t>
  </si>
  <si>
    <t xml:space="preserve">Hẻm 255 Thái Phiên </t>
  </si>
  <si>
    <t xml:space="preserve">254 Thái Phiên </t>
  </si>
  <si>
    <t xml:space="preserve">265/11/26 Thái Phiên </t>
  </si>
  <si>
    <t>2025-02-06T10:08:04.7219890Z</t>
  </si>
  <si>
    <t xml:space="preserve">KNO 284 Nguyễn Trọng Tuyển </t>
  </si>
  <si>
    <t xml:space="preserve">315 Nguyễn Trọng Tuyển </t>
  </si>
  <si>
    <t xml:space="preserve">313/11 Nguyễn Trọng Tuyển </t>
  </si>
  <si>
    <t>2025-02-06T10:10:40.9003112Z</t>
  </si>
  <si>
    <t xml:space="preserve">333 Nguyễn Trọng Tuyển </t>
  </si>
  <si>
    <t xml:space="preserve">329/8 Nguyễn Trọng Tuyển </t>
  </si>
  <si>
    <t>2025-02-06T10:12:50.7077507Z</t>
  </si>
  <si>
    <t xml:space="preserve">Hẻm 200/15 Thái Phiên </t>
  </si>
  <si>
    <t xml:space="preserve">Hẻm 200 Thái Phiên </t>
  </si>
  <si>
    <t xml:space="preserve">200/15/14 Thái Phiên </t>
  </si>
  <si>
    <t>2025-02-06T10:15:16.7464064Z</t>
  </si>
  <si>
    <t xml:space="preserve">Hẻm 236 /14 Thái Phiên </t>
  </si>
  <si>
    <t xml:space="preserve">Hẻm 236Thai Phiên </t>
  </si>
  <si>
    <t xml:space="preserve">236 /12 Thái Phiên </t>
  </si>
  <si>
    <t xml:space="preserve">200/15 Thái Phiên </t>
  </si>
  <si>
    <t>2025-02-06T10:20:34.7505169Z</t>
  </si>
  <si>
    <t xml:space="preserve">Rạch cùng </t>
  </si>
  <si>
    <t>Trịnh Quang nghị 2</t>
  </si>
  <si>
    <t>Trịnh Quang nghị</t>
  </si>
  <si>
    <t>Đường 3158c Phạm thế hiển khu dân cư Phú lợi</t>
  </si>
  <si>
    <t>2025-02-10T05:12:52.7798195Z</t>
  </si>
  <si>
    <t>An Dương Vương</t>
  </si>
  <si>
    <t xml:space="preserve">Đầu hẻm 100 An Dương Vương </t>
  </si>
  <si>
    <t>132 Nguyễn Tri Phương</t>
  </si>
  <si>
    <t>2025-02-10T05:16:55.6406158Z</t>
  </si>
  <si>
    <t xml:space="preserve">Bà hạt </t>
  </si>
  <si>
    <t>Bà hạt 2</t>
  </si>
  <si>
    <t xml:space="preserve">Đầu hẻm </t>
  </si>
  <si>
    <t xml:space="preserve">222/17 </t>
  </si>
  <si>
    <t>2025-02-10T05:29:11.2707699Z</t>
  </si>
  <si>
    <t xml:space="preserve">Tiên </t>
  </si>
  <si>
    <t>365/5 lý thái tổ</t>
  </si>
  <si>
    <t>2025-02-10T05:31:28.5772200Z</t>
  </si>
  <si>
    <t>Bà hạt 1</t>
  </si>
  <si>
    <t>327/53 sư vạn hạnh</t>
  </si>
  <si>
    <t>2025-02-10T05:33:31.6877482Z</t>
  </si>
  <si>
    <t>Ngô gia tự</t>
  </si>
  <si>
    <t>Ngô gia tự 3</t>
  </si>
  <si>
    <t>112/20</t>
  </si>
  <si>
    <t>2025-02-10T05:35:11.5965103Z</t>
  </si>
  <si>
    <t>292/22</t>
  </si>
  <si>
    <t>2025-02-10T05:36:54.5065317Z</t>
  </si>
  <si>
    <t>Lý Thái tổ</t>
  </si>
  <si>
    <t>167/3</t>
  </si>
  <si>
    <t>2025-02-10T05:38:53.5165709Z</t>
  </si>
  <si>
    <t xml:space="preserve">Trần Quý </t>
  </si>
  <si>
    <t xml:space="preserve">Tân Khai </t>
  </si>
  <si>
    <t>2025-02-10T07:04:36.9179763Z</t>
  </si>
  <si>
    <t>162/61A TQ</t>
  </si>
  <si>
    <t>2025-02-10T07:06:14.0901452Z</t>
  </si>
  <si>
    <t xml:space="preserve">Hà Tôn Quyền </t>
  </si>
  <si>
    <t>4 ; 2,5</t>
  </si>
  <si>
    <t xml:space="preserve">170/5 HTQ </t>
  </si>
  <si>
    <t>2025-02-10T07:08:29.2714083Z</t>
  </si>
  <si>
    <t xml:space="preserve">Tân Khai 1 </t>
  </si>
  <si>
    <t>2025-02-10T07:10:42.1045315Z</t>
  </si>
  <si>
    <t xml:space="preserve">Dương Tử Giang </t>
  </si>
  <si>
    <t>hẻm 124 TK</t>
  </si>
  <si>
    <t>2025-02-10T07:12:01.1304387Z</t>
  </si>
  <si>
    <t xml:space="preserve">Hẻm 333 lý thái tổ </t>
  </si>
  <si>
    <t xml:space="preserve">Lý Thái tổ </t>
  </si>
  <si>
    <t xml:space="preserve">333/4 lý thái tổ </t>
  </si>
  <si>
    <t xml:space="preserve">333/25 lý thái tổ </t>
  </si>
  <si>
    <t>2025-02-10T09:44:12.7112503Z</t>
  </si>
  <si>
    <t>Thọ</t>
  </si>
  <si>
    <t xml:space="preserve">Hẻm 69 hồ Thị kỷ </t>
  </si>
  <si>
    <t xml:space="preserve">Hồ Thị kỷ </t>
  </si>
  <si>
    <t>Hẻm 500 lê hồng phong 3</t>
  </si>
  <si>
    <t xml:space="preserve">69/60 hồ Thị kỷ </t>
  </si>
  <si>
    <t xml:space="preserve">69/62 hồ Thị kỷ </t>
  </si>
  <si>
    <t>2025-02-10T10:06:15.4991794Z</t>
  </si>
  <si>
    <t xml:space="preserve">Thọ </t>
  </si>
  <si>
    <t xml:space="preserve">Hẻm 80 hồ Thị kỷ </t>
  </si>
  <si>
    <t>Hồ Thị kỷ 3</t>
  </si>
  <si>
    <t xml:space="preserve">80/12 hồ Thị kỷ </t>
  </si>
  <si>
    <t>2025-02-10T10:08:55.4226273Z</t>
  </si>
  <si>
    <t xml:space="preserve">Hẻm 87 hồ Thị kỷ </t>
  </si>
  <si>
    <t xml:space="preserve">87/11 Hồ Thị kỷ </t>
  </si>
  <si>
    <t xml:space="preserve">87/49 hồ Thị kỷ </t>
  </si>
  <si>
    <t>2025-02-10T10:12:02.3688921Z</t>
  </si>
  <si>
    <t>Tho</t>
  </si>
  <si>
    <t xml:space="preserve">Hẻm 398 Trần Bình Trọng </t>
  </si>
  <si>
    <t xml:space="preserve">68/17 hồ Thị kỷ </t>
  </si>
  <si>
    <t xml:space="preserve">01C Trần Bình Trọng </t>
  </si>
  <si>
    <t>2025-02-10T10:15:23.9120032Z</t>
  </si>
  <si>
    <t xml:space="preserve">Hẻm 377 Trần Bình Trọng </t>
  </si>
  <si>
    <t xml:space="preserve">58/9 hồ Thị kỷ </t>
  </si>
  <si>
    <t xml:space="preserve">122B Trần Bình Trọng </t>
  </si>
  <si>
    <t>2025-02-10T10:17:38.2655802Z</t>
  </si>
  <si>
    <t xml:space="preserve">Hẻm 483 Lạc Long Quân </t>
  </si>
  <si>
    <t>Lạc Long Quân 11( củ LLQ10)</t>
  </si>
  <si>
    <t xml:space="preserve">5 mét </t>
  </si>
  <si>
    <t>483 LLQ</t>
  </si>
  <si>
    <t>483/21 LLQ</t>
  </si>
  <si>
    <t>2025-02-11T09:13:47.8419732Z</t>
  </si>
  <si>
    <t xml:space="preserve">Hẻm 5 Trịnh đình Trọng </t>
  </si>
  <si>
    <t xml:space="preserve">Trịnh Đình TRỌNG </t>
  </si>
  <si>
    <t>Trịnh Đình TRỌNG 1</t>
  </si>
  <si>
    <t xml:space="preserve">5/42 Trịnh đình Trọng </t>
  </si>
  <si>
    <t>2025-02-11T09:17:49.1641952Z</t>
  </si>
  <si>
    <t xml:space="preserve">Hẻm 7 Trịnh đình Trọng </t>
  </si>
  <si>
    <t xml:space="preserve">Số 7 Trịnh Đình TRỌNG </t>
  </si>
  <si>
    <t xml:space="preserve">7/41 Trịnh Đình TRỌNG </t>
  </si>
  <si>
    <t>2025-02-11T09:21:54.9641119Z</t>
  </si>
  <si>
    <t xml:space="preserve">Hẻm 37 Trịnh Đình TRỌNG </t>
  </si>
  <si>
    <t xml:space="preserve">Hẻm 37 Trịnh đình Trọng </t>
  </si>
  <si>
    <t>Hẻm 37 TĐT ( củ CXÂucơ)</t>
  </si>
  <si>
    <t xml:space="preserve">37/11 Trịnh Đình TRỌNG </t>
  </si>
  <si>
    <t>37/11/2</t>
  </si>
  <si>
    <t>2025-02-11T09:27:26.0140292Z</t>
  </si>
  <si>
    <t xml:space="preserve">Phong Phú </t>
  </si>
  <si>
    <t>Nguyễn Duy 7</t>
  </si>
  <si>
    <t xml:space="preserve">đầu hẻm </t>
  </si>
  <si>
    <t xml:space="preserve">sn 690 Nguyễn Duy </t>
  </si>
  <si>
    <t>2025-02-11T09:32:35.8526671Z</t>
  </si>
  <si>
    <t xml:space="preserve">rạch ụ cây </t>
  </si>
  <si>
    <t>2025-02-11T09:34:24.5360517Z</t>
  </si>
  <si>
    <t xml:space="preserve">Hẻm 423/34 Lạc Long Quân </t>
  </si>
  <si>
    <t>Hẻm 423 LLQ-1( củ Phú Bình 3 )</t>
  </si>
  <si>
    <t xml:space="preserve">423/34 Lạc Long Quân </t>
  </si>
  <si>
    <t xml:space="preserve">423/34/47 Lạc Long Quân </t>
  </si>
  <si>
    <t>2025-02-11T09:35:52.1261893Z</t>
  </si>
  <si>
    <t xml:space="preserve">Cao Xuân Dục </t>
  </si>
  <si>
    <t>191/25</t>
  </si>
  <si>
    <t>2025-02-11T09:35:54.7287042Z</t>
  </si>
  <si>
    <t xml:space="preserve">Hẻm 275 Âu cơ </t>
  </si>
  <si>
    <t xml:space="preserve">Âu cơ </t>
  </si>
  <si>
    <t xml:space="preserve">275 Âu cơ </t>
  </si>
  <si>
    <t>275/13 B</t>
  </si>
  <si>
    <t>2025-02-11T09:38:41.1429879Z</t>
  </si>
  <si>
    <t xml:space="preserve">Hẻm 58 lê hồng phong </t>
  </si>
  <si>
    <t xml:space="preserve">Lê Hồng Phong </t>
  </si>
  <si>
    <t xml:space="preserve">Quận 5 </t>
  </si>
  <si>
    <t>Phường 2</t>
  </si>
  <si>
    <t>EMG4</t>
  </si>
  <si>
    <t xml:space="preserve">Đầu hẻm 58 </t>
  </si>
  <si>
    <t>Cuối hẻm số nhà 58/2/26</t>
  </si>
  <si>
    <t>7 bộ</t>
  </si>
  <si>
    <t>2025-02-11T09:49:19.2356129Z</t>
  </si>
  <si>
    <t xml:space="preserve">Lê Văn Hùng </t>
  </si>
  <si>
    <t xml:space="preserve">Hẻm 100 an dương vương </t>
  </si>
  <si>
    <t xml:space="preserve">An Dương Vương </t>
  </si>
  <si>
    <t>Phường 9</t>
  </si>
  <si>
    <t xml:space="preserve">6 mét </t>
  </si>
  <si>
    <t xml:space="preserve">Số nhà 100/8 an dương vương </t>
  </si>
  <si>
    <t xml:space="preserve">Số nhà 132 nguyễn tri phương </t>
  </si>
  <si>
    <t>6 bộ</t>
  </si>
  <si>
    <t>2025-02-11T09:54:20.4657016Z</t>
  </si>
  <si>
    <t xml:space="preserve">Hẻm 480 trần hưng đạo </t>
  </si>
  <si>
    <t xml:space="preserve">Trần Hưng Đạo </t>
  </si>
  <si>
    <t>Phường 14</t>
  </si>
  <si>
    <t>Trần Hưng Đạo 32</t>
  </si>
  <si>
    <t>Đầu hẻm 480</t>
  </si>
  <si>
    <t>Cuối hẻm 480/5</t>
  </si>
  <si>
    <t>3 bộ</t>
  </si>
  <si>
    <t>2025-02-11T10:02:42.9386771Z</t>
  </si>
  <si>
    <t>254 Thái Phiên</t>
  </si>
  <si>
    <t>thái Phiên</t>
  </si>
  <si>
    <t>Thái Phiên</t>
  </si>
  <si>
    <t>2025-02-12T00:54:18.1375407Z</t>
  </si>
  <si>
    <t>Khánh Hùng</t>
  </si>
  <si>
    <t xml:space="preserve">300 thái phiên </t>
  </si>
  <si>
    <t xml:space="preserve">Thái phiên </t>
  </si>
  <si>
    <t>Thái phiên 4</t>
  </si>
  <si>
    <t xml:space="preserve">437 Hàn Hải Nguyên </t>
  </si>
  <si>
    <t>2025-02-12T00:57:54.2962727Z</t>
  </si>
  <si>
    <t xml:space="preserve">Khánh Hùng </t>
  </si>
  <si>
    <t xml:space="preserve">47 Lạc Long Quân </t>
  </si>
  <si>
    <t>437 Hàn Hải Nguyên</t>
  </si>
  <si>
    <t>2025-02-12T01:02:33.3596572Z</t>
  </si>
  <si>
    <t>Cuối hẻm</t>
  </si>
  <si>
    <t>2025-02-12T01:31:41.6940094Z</t>
  </si>
  <si>
    <t>2025-02-12T01:36:09.6770855Z</t>
  </si>
  <si>
    <t xml:space="preserve">Hẻm 329 Minh Phụng </t>
  </si>
  <si>
    <t xml:space="preserve">323 Minh Phụng </t>
  </si>
  <si>
    <t>2025-02-12T01:37:21.0348522Z</t>
  </si>
  <si>
    <t>Công Chúa Ngọc Hân</t>
  </si>
  <si>
    <t>2025-02-12T01:38:38.2445208Z</t>
  </si>
  <si>
    <t xml:space="preserve">Công Chúa Ngọc Hân </t>
  </si>
  <si>
    <t>2025-02-12T01:39:44.8104579Z</t>
  </si>
  <si>
    <t xml:space="preserve">Hẻm 591 Bình Thới </t>
  </si>
  <si>
    <t>2025-02-12T01:40:52.0803108Z</t>
  </si>
  <si>
    <t>2025-02-12T01:41:54.5203519Z</t>
  </si>
  <si>
    <t xml:space="preserve">Xóm Đất </t>
  </si>
  <si>
    <t>2,5</t>
  </si>
  <si>
    <t>2025-02-12T01:43:51.1439112Z</t>
  </si>
  <si>
    <t>2025-02-12T01:43:52.2348422Z</t>
  </si>
  <si>
    <t>Hoà Bình</t>
  </si>
  <si>
    <t>Đề xuất lắp tủ</t>
  </si>
  <si>
    <t>Kênh Tân Hoá</t>
  </si>
  <si>
    <t>Cuối đường</t>
  </si>
  <si>
    <t>2025-02-12T04:14:05.2234643Z</t>
  </si>
  <si>
    <t>Trần Hùng</t>
  </si>
  <si>
    <t xml:space="preserve">Đường 16 kdc miếu nổi </t>
  </si>
  <si>
    <t xml:space="preserve">Bình thạnh </t>
  </si>
  <si>
    <t>Vạn kiếp 1</t>
  </si>
  <si>
    <t xml:space="preserve">252 vạn kiếp </t>
  </si>
  <si>
    <t xml:space="preserve">176 Nguyễn Lâm </t>
  </si>
  <si>
    <t>2025-02-12T09:14:37.0192150Z</t>
  </si>
  <si>
    <t xml:space="preserve">Trần Cao phước </t>
  </si>
  <si>
    <t>Phạm Viết Chánh</t>
  </si>
  <si>
    <t>NGUYỄN CƯ TRINH</t>
  </si>
  <si>
    <t>CỐNG QUỲNH 1</t>
  </si>
  <si>
    <t>Hẻm 59 Phạm Viết Chánh</t>
  </si>
  <si>
    <t>(59/23B--59/12Bis--59/13) Phạm Viết Chánh</t>
  </si>
  <si>
    <t>2025-02-12T09:17:05.7419780Z</t>
  </si>
  <si>
    <t>Tống Văn Khanh</t>
  </si>
  <si>
    <t>Hẻm 33 vạn kiếp</t>
  </si>
  <si>
    <t xml:space="preserve">Hẻm 33 vạn kiếp </t>
  </si>
  <si>
    <t>Vạn kiếp 2</t>
  </si>
  <si>
    <t xml:space="preserve">37/10 vạn kiếp </t>
  </si>
  <si>
    <t xml:space="preserve">33/23 vạn kiếp </t>
  </si>
  <si>
    <t>2025-02-12T09:17:40.9195352Z</t>
  </si>
  <si>
    <t>Nguyễn Trọng Tuyển 7</t>
  </si>
  <si>
    <t xml:space="preserve">Trụ số 4 số nhà 38 Nguyễn Trọng Tuyển </t>
  </si>
  <si>
    <t xml:space="preserve">39/3 Nguyễn Trọng Tuyển </t>
  </si>
  <si>
    <t>2025-02-12T09:30:24.5272669Z</t>
  </si>
  <si>
    <t>Lê Thị Riêng</t>
  </si>
  <si>
    <t>BẾN THÀNH</t>
  </si>
  <si>
    <t>Lê Thị Riêng 1</t>
  </si>
  <si>
    <t>Đầu hẻm 121 Lê Thị Riêng</t>
  </si>
  <si>
    <t>121/69B LÊ Thị Riêng</t>
  </si>
  <si>
    <t>2025-02-12T09:31:56.8794655Z</t>
  </si>
  <si>
    <t>Nguyễn Trọng Tuyển 5</t>
  </si>
  <si>
    <t xml:space="preserve">Trụ số 6 số nhà 174A Nguyễn Trọng Tuyển </t>
  </si>
  <si>
    <t xml:space="preserve">207/16 Nguyễn Trọng Tuyển </t>
  </si>
  <si>
    <t>2025-02-12T09:33:21.8800816Z</t>
  </si>
  <si>
    <t xml:space="preserve">Nguyễn Thị Huỳnh </t>
  </si>
  <si>
    <t>Nguyễn Thị Huỳnh 1</t>
  </si>
  <si>
    <t xml:space="preserve">8 Nguyễn Thị Huỳnh </t>
  </si>
  <si>
    <t xml:space="preserve">21/8 Nguyễn Thị Huỳnh </t>
  </si>
  <si>
    <t>2025-02-12T09:36:26.5393456Z</t>
  </si>
  <si>
    <t xml:space="preserve">Trần Huy Liệu </t>
  </si>
  <si>
    <t>Trần Huy Liệu 5</t>
  </si>
  <si>
    <t xml:space="preserve">147 Trần Huy Liệu </t>
  </si>
  <si>
    <t xml:space="preserve">149/5 Trần Huy Liệu </t>
  </si>
  <si>
    <t>2025-02-12T09:39:35.2740911Z</t>
  </si>
  <si>
    <t>Nguyễn Văn Trỗi</t>
  </si>
  <si>
    <t>Nguyễn Văn Trỗi 5</t>
  </si>
  <si>
    <t xml:space="preserve">Trụ số 27 ( 54 cũ ) Nguyễn Văn Trỗi </t>
  </si>
  <si>
    <t xml:space="preserve">251/5B Nguyễn Văn Trỗi </t>
  </si>
  <si>
    <t>2025-02-12T09:42:24.5329473Z</t>
  </si>
  <si>
    <t>Phan Đinh Phùng 2</t>
  </si>
  <si>
    <t xml:space="preserve">241 Phan Đinh Phùng </t>
  </si>
  <si>
    <t xml:space="preserve">243/16 Phan Đinh Phùng </t>
  </si>
  <si>
    <t>2025-02-12T09:46:00.7346077Z</t>
  </si>
  <si>
    <t xml:space="preserve">Hoàng Văn Thụ </t>
  </si>
  <si>
    <t>Hoàng Văn Thụ 3</t>
  </si>
  <si>
    <t xml:space="preserve">193 Hoàng Văn Thụ </t>
  </si>
  <si>
    <t xml:space="preserve">197/8 Hoàng Văn Thụ </t>
  </si>
  <si>
    <t>2025-02-12T09:48:08.9103729Z</t>
  </si>
  <si>
    <t xml:space="preserve">Thích Quảng Đức 1 </t>
  </si>
  <si>
    <t xml:space="preserve">Trụ số 15 số nhà 98 Thích Quảng Đức </t>
  </si>
  <si>
    <t xml:space="preserve">98/7 Thích Quảng Đức </t>
  </si>
  <si>
    <t>2025-02-12T09:51:07.5187171Z</t>
  </si>
  <si>
    <t>Phan Xích Long 5</t>
  </si>
  <si>
    <t xml:space="preserve">Trụ số 2 số nhà 546 Phan Xích Long </t>
  </si>
  <si>
    <t xml:space="preserve">64/9 Phan Xích Long </t>
  </si>
  <si>
    <t>2025-02-12T09:54:09.0642443Z</t>
  </si>
  <si>
    <t xml:space="preserve">Phan Xích Long 5 </t>
  </si>
  <si>
    <t xml:space="preserve">Trụ số 6 số nhà 524 Phan Xích Long </t>
  </si>
  <si>
    <t xml:space="preserve">429/4 Phan Xích Long </t>
  </si>
  <si>
    <t>2025-02-12T09:56:01.4621075Z</t>
  </si>
  <si>
    <t xml:space="preserve">Trụ số 5 số nhà 127E Cô Giang </t>
  </si>
  <si>
    <t>2025-02-12T09:58:17.1992878Z</t>
  </si>
  <si>
    <t>BÙI THỊ XUÂN</t>
  </si>
  <si>
    <t>PHẠM NGŨ LÃO</t>
  </si>
  <si>
    <t>Bùi Thị Xuân 1</t>
  </si>
  <si>
    <t>134 Bùi Thị Xuân</t>
  </si>
  <si>
    <t>153/6 Nguyễn Thị Minh Khai</t>
  </si>
  <si>
    <t>2025-02-12T10:02:08.6751550Z</t>
  </si>
  <si>
    <t>TÔN THẤT TÙNG</t>
  </si>
  <si>
    <t>Phạm Ngũ Lão</t>
  </si>
  <si>
    <t>BÙI THỊ XUÂN 1</t>
  </si>
  <si>
    <t>25 Tôn Thất Tùng</t>
  </si>
  <si>
    <t>25/41 Tôn Thất Tùng</t>
  </si>
  <si>
    <t>2025-02-12T10:03:55.5082171Z</t>
  </si>
  <si>
    <t>Tôn Thất Tùng</t>
  </si>
  <si>
    <t>Tôn Thất Tùng 1</t>
  </si>
  <si>
    <t>28/1 Tôn Thất Tùng</t>
  </si>
  <si>
    <t xml:space="preserve">28/14A Tôn Thất Tùng </t>
  </si>
  <si>
    <t>2025-02-12T10:16:44.9335507Z</t>
  </si>
  <si>
    <t>LÊ THỊ RIÊNG</t>
  </si>
  <si>
    <t>149/35 Lê Thị Riêng</t>
  </si>
  <si>
    <t>Đầu hẻm 149 Lê Thị Riêng</t>
  </si>
  <si>
    <t>2025-02-12T10:18:24.9090235Z</t>
  </si>
  <si>
    <t>TỐNG VĂN KHANH</t>
  </si>
  <si>
    <t>Nguyễn Văn Tráng</t>
  </si>
  <si>
    <t>Nguyễn Trãi 1</t>
  </si>
  <si>
    <t>41/1 Nguyễn Văn Tráng</t>
  </si>
  <si>
    <t>41/4 Nguyễn Văn Tráng</t>
  </si>
  <si>
    <t>2025-02-12T10:27:38.2131054Z</t>
  </si>
  <si>
    <t>Tống văn Khanh</t>
  </si>
  <si>
    <t>Phạm viết Chánh</t>
  </si>
  <si>
    <t>Mê Linh 1</t>
  </si>
  <si>
    <t>12E Phạm viết Chánh</t>
  </si>
  <si>
    <t>40/15 Phạm viết Chánh</t>
  </si>
  <si>
    <t>2025-02-12T10:30:21.6591341Z</t>
  </si>
  <si>
    <t>Nguyễn Bá Vinh</t>
  </si>
  <si>
    <t xml:space="preserve">Mê Linh </t>
  </si>
  <si>
    <t xml:space="preserve">Mê Linh 1 </t>
  </si>
  <si>
    <t>32 Mê Linh</t>
  </si>
  <si>
    <t>32/12 Mê Linh</t>
  </si>
  <si>
    <t>2025-02-12T10:32:49.1332113Z</t>
  </si>
  <si>
    <t>NGUYỄN Trãi</t>
  </si>
  <si>
    <t>Nguyễn Trãi 2</t>
  </si>
  <si>
    <t>7,5</t>
  </si>
  <si>
    <t>150/1 Nguyễn Trãi</t>
  </si>
  <si>
    <t>150/47 Nguyễn Trãi</t>
  </si>
  <si>
    <t>2025-02-12T10:34:54.4723293Z</t>
  </si>
  <si>
    <t xml:space="preserve">Hàn Hải Nguyên </t>
  </si>
  <si>
    <t>2025-02-13T01:01:18.8708145Z</t>
  </si>
  <si>
    <t xml:space="preserve">Hồng Bàng </t>
  </si>
  <si>
    <t xml:space="preserve">Hẻm 8 Tân Hóa </t>
  </si>
  <si>
    <t xml:space="preserve">762 Hồng Bàng </t>
  </si>
  <si>
    <t>2025-02-13T01:02:35.5858619Z</t>
  </si>
  <si>
    <t xml:space="preserve">Hẻm 76 Xóm Đất </t>
  </si>
  <si>
    <t xml:space="preserve">174 Thái Phiên </t>
  </si>
  <si>
    <t xml:space="preserve">Cuối hẻm </t>
  </si>
  <si>
    <t>2025-02-13T01:03:43.5224391Z</t>
  </si>
  <si>
    <t>174/53</t>
  </si>
  <si>
    <t xml:space="preserve">Hẻm 174 Thái Phiên </t>
  </si>
  <si>
    <t>2025-02-13T01:04:51.9197753Z</t>
  </si>
  <si>
    <t>174/42</t>
  </si>
  <si>
    <t>2025-02-13T01:06:52.7919952Z</t>
  </si>
  <si>
    <t>174/30</t>
  </si>
  <si>
    <t xml:space="preserve">140 Hàn Hải Nguyên </t>
  </si>
  <si>
    <t>2025-02-13T01:07:44.2015662Z</t>
  </si>
  <si>
    <t xml:space="preserve">Hẻm 196 Bình Thới </t>
  </si>
  <si>
    <t>2025-02-13T01:09:02.2232884Z</t>
  </si>
  <si>
    <t>Số 4</t>
  </si>
  <si>
    <t>Nguyễn Cảnh Chân</t>
  </si>
  <si>
    <t>Nguyễn Cư Trinh</t>
  </si>
  <si>
    <t>Nguyễn Cảnh Chân 1</t>
  </si>
  <si>
    <t>Số 4 Nguyễn Cảnh Chân</t>
  </si>
  <si>
    <t>115/48 Trần Đình Xu</t>
  </si>
  <si>
    <t>2025-02-13T03:49:17.8152597Z</t>
  </si>
  <si>
    <t xml:space="preserve">35 Mê Linh </t>
  </si>
  <si>
    <t>Mê Linh 1-BT-19</t>
  </si>
  <si>
    <t xml:space="preserve">42 Mê Linh </t>
  </si>
  <si>
    <t>Hẻm 35/4</t>
  </si>
  <si>
    <t>2025-02-13T07:10:57.1315914Z</t>
  </si>
  <si>
    <t>Hẻm 159 Phan Văn Trị</t>
  </si>
  <si>
    <t>Phan Văn Trị</t>
  </si>
  <si>
    <t>Phan Văn Trị 1</t>
  </si>
  <si>
    <t>159 Phan Văn Trị</t>
  </si>
  <si>
    <t>Hẻm 155/10 Phan Văn Trị</t>
  </si>
  <si>
    <t>2025-02-13T07:14:14.6709383Z</t>
  </si>
  <si>
    <t>Hẻm 235 Phan Văn Trị</t>
  </si>
  <si>
    <t>Phan Văn Trị 3</t>
  </si>
  <si>
    <t>Cuối hẻm 235 Phan Văn Trị</t>
  </si>
  <si>
    <t>274/14 Nguyễn Văn Đậu</t>
  </si>
  <si>
    <t>2025-02-13T07:17:35.9996439Z</t>
  </si>
  <si>
    <t>Hẻm 116 Phan Văn Trị</t>
  </si>
  <si>
    <t>116 Phan Văn Trị</t>
  </si>
  <si>
    <t>116/1 C Phan Văn Trị</t>
  </si>
  <si>
    <t>2025-02-13T07:20:06.1566954Z</t>
  </si>
  <si>
    <t>Hẻm 5 Ngô Tất Tố</t>
  </si>
  <si>
    <t>Ngô Tất Tố (nd)</t>
  </si>
  <si>
    <t>Phú Mỹ nối dài 1-BT-22</t>
  </si>
  <si>
    <t>1/5E Ngô Tất Tố</t>
  </si>
  <si>
    <t>6/5E Ngô Tất Tố</t>
  </si>
  <si>
    <t>2025-02-13T07:48:29.5515553Z</t>
  </si>
  <si>
    <t>Hẻm 202 Ngô Tất Tố</t>
  </si>
  <si>
    <t>Đầu hẻm 202 Ngô Tất Tố</t>
  </si>
  <si>
    <t>202/41 Ngô Tất Tố</t>
  </si>
  <si>
    <t>2025-02-13T07:50:31.1186506Z</t>
  </si>
  <si>
    <t>204 Ngô Tất Tố</t>
  </si>
  <si>
    <t>Đầu hẻm 204</t>
  </si>
  <si>
    <t>204/35</t>
  </si>
  <si>
    <t>2025-02-13T07:52:44.9917754Z</t>
  </si>
  <si>
    <t>Hẻm 212 Ngô Tất Tố</t>
  </si>
  <si>
    <t>Đầu hẻm 212</t>
  </si>
  <si>
    <t>212/34</t>
  </si>
  <si>
    <t>2025-02-13T07:54:05.0782010Z</t>
  </si>
  <si>
    <t>214 Ngô Tất Tố</t>
  </si>
  <si>
    <t>Đầu hẻm 24</t>
  </si>
  <si>
    <t>214/24</t>
  </si>
  <si>
    <t>2025-02-13T07:55:13.6296041Z</t>
  </si>
  <si>
    <t>71 Phú Mỹ (nd)</t>
  </si>
  <si>
    <t>Phú Mỹ (nd)</t>
  </si>
  <si>
    <t>71/50A Phú Mỹ</t>
  </si>
  <si>
    <t>2025-02-13T07:57:38.5981769Z</t>
  </si>
  <si>
    <t>Trần Hưng Đạo</t>
  </si>
  <si>
    <t>Cầu Kho</t>
  </si>
  <si>
    <t>Trần Hưng Đạo 5</t>
  </si>
  <si>
    <t>3,5m</t>
  </si>
  <si>
    <t>533 /2 Trần Hưng Đạo</t>
  </si>
  <si>
    <t xml:space="preserve">42/9 Nguyễn Văn Cừ </t>
  </si>
  <si>
    <t>2025-02-13T08:56:27.8122431Z</t>
  </si>
  <si>
    <t xml:space="preserve">Hẻm 60 vũ tùng </t>
  </si>
  <si>
    <t>Vũ Tùng 2</t>
  </si>
  <si>
    <t xml:space="preserve">SN 60 vũ tùng </t>
  </si>
  <si>
    <t xml:space="preserve">SN 84/1 vũ tùng </t>
  </si>
  <si>
    <t>2025-02-13T08:58:02.0216574Z</t>
  </si>
  <si>
    <t xml:space="preserve">14 Nguyễn Huy lượng </t>
  </si>
  <si>
    <t xml:space="preserve">Hẻm 14 Nguyễn Huy lượng </t>
  </si>
  <si>
    <t>Nguyễn huy lượng 1</t>
  </si>
  <si>
    <t>14/2</t>
  </si>
  <si>
    <t>14/6A</t>
  </si>
  <si>
    <t>2025-02-13T09:01:57.8773552Z</t>
  </si>
  <si>
    <t xml:space="preserve">194 lê quang định </t>
  </si>
  <si>
    <t xml:space="preserve">Hẻm 194 lê quang định </t>
  </si>
  <si>
    <t>Lê Quang Định 2</t>
  </si>
  <si>
    <t>194/2</t>
  </si>
  <si>
    <t>194/11</t>
  </si>
  <si>
    <t>2025-02-13T09:04:46.5167321Z</t>
  </si>
  <si>
    <t xml:space="preserve">366 lê quang định </t>
  </si>
  <si>
    <t xml:space="preserve">Lê Quang Định </t>
  </si>
  <si>
    <t>Lê Quang Định 4</t>
  </si>
  <si>
    <t>366/1A1</t>
  </si>
  <si>
    <t>366/1B</t>
  </si>
  <si>
    <t>2025-02-13T09:08:22.4715707Z</t>
  </si>
  <si>
    <t>Võ văn Kiệt</t>
  </si>
  <si>
    <t>Hẻm 518 Võ văn Kiệt</t>
  </si>
  <si>
    <t>518/22 Võ văn Kiệt</t>
  </si>
  <si>
    <t>518/36 Võ văn Kiệt</t>
  </si>
  <si>
    <t>2025-02-13T09:11:13.4945736Z</t>
  </si>
  <si>
    <t>76/47</t>
  </si>
  <si>
    <t xml:space="preserve">Phan Tây Hồ </t>
  </si>
  <si>
    <t>Nhiêu Tứ 1</t>
  </si>
  <si>
    <t xml:space="preserve">76/47/24 Phan Tây Hồ </t>
  </si>
  <si>
    <t xml:space="preserve">76/47/11 Phan Tây Hồ </t>
  </si>
  <si>
    <t>2025-02-13T09:28:59.4384224Z</t>
  </si>
  <si>
    <t>Hẻm 518 Võ Văn Kiệt</t>
  </si>
  <si>
    <t>391B Trần Hưng Đạo</t>
  </si>
  <si>
    <t>391 Trần Hưng Đạo</t>
  </si>
  <si>
    <t>2025-02-13T09:29:18.6849691Z</t>
  </si>
  <si>
    <t xml:space="preserve">Hẻm 51 Ông ích Khiêm </t>
  </si>
  <si>
    <t xml:space="preserve">Ông Ích Khiêm </t>
  </si>
  <si>
    <t xml:space="preserve">Hẻm 51 ông Ích Khiêm </t>
  </si>
  <si>
    <t xml:space="preserve">51/23 ông Ích Khiêm </t>
  </si>
  <si>
    <t>2025-02-13T09:30:18.5447148Z</t>
  </si>
  <si>
    <t xml:space="preserve">Cầm Bá Thước </t>
  </si>
  <si>
    <t>Cầm Bá Thước 1</t>
  </si>
  <si>
    <t xml:space="preserve">21 Cầm Bá Thước </t>
  </si>
  <si>
    <t xml:space="preserve">19/11 Cầm Bá Thước </t>
  </si>
  <si>
    <t>2025-02-13T09:31:34.9020356Z</t>
  </si>
  <si>
    <t>Hẻm 32 Đường số 3 CXBT</t>
  </si>
  <si>
    <t>Đường số 3 CXBT</t>
  </si>
  <si>
    <t>Đường số 6 CXBT-2</t>
  </si>
  <si>
    <t xml:space="preserve">32 đường số 3 CXBT </t>
  </si>
  <si>
    <t xml:space="preserve">Số nhà 29 đường số 3A </t>
  </si>
  <si>
    <t>2025-02-13T09:35:30.0006097Z</t>
  </si>
  <si>
    <t xml:space="preserve">Hẻm 416 lạc Long Quân </t>
  </si>
  <si>
    <t xml:space="preserve">Hẻm 416 Lạc Long Quân </t>
  </si>
  <si>
    <t xml:space="preserve">Hẻm 86 ông Ích Khiêm </t>
  </si>
  <si>
    <t xml:space="preserve">Số nhà 416/1 lạc Long Quân </t>
  </si>
  <si>
    <t xml:space="preserve">SN 86/108 ông Ích Khiêm </t>
  </si>
  <si>
    <t>2025-02-13T09:38:51.5935207Z</t>
  </si>
  <si>
    <t xml:space="preserve">Hẻm 480 lạc Long Quân </t>
  </si>
  <si>
    <t>CXPTHoa 2</t>
  </si>
  <si>
    <t>SN 480/3A1 LLQ</t>
  </si>
  <si>
    <t>506/46/15A LLQ</t>
  </si>
  <si>
    <t>2025-02-13T09:41:53.7829717Z</t>
  </si>
  <si>
    <t xml:space="preserve">Hẻm 190 sư vạn hạnh </t>
  </si>
  <si>
    <t xml:space="preserve">Sư vạn Hạnh </t>
  </si>
  <si>
    <t xml:space="preserve">Phường 9 </t>
  </si>
  <si>
    <t>Sư vạn Hạnh 4</t>
  </si>
  <si>
    <t>Số nhà 190</t>
  </si>
  <si>
    <t>Số nhà 190/37</t>
  </si>
  <si>
    <t>4 bộ</t>
  </si>
  <si>
    <t>2025-02-13T09:44:34.9975212Z</t>
  </si>
  <si>
    <t>Hẻm 197 cao đạt</t>
  </si>
  <si>
    <t>Cao đạt</t>
  </si>
  <si>
    <t>Phường 1</t>
  </si>
  <si>
    <t>Kim khí 1</t>
  </si>
  <si>
    <t xml:space="preserve">Số 197 cao đạt </t>
  </si>
  <si>
    <t xml:space="preserve">Số 676/1 võ văn kiệt </t>
  </si>
  <si>
    <t>10 bộ</t>
  </si>
  <si>
    <t>2025-02-13T09:47:34.9856205Z</t>
  </si>
  <si>
    <t xml:space="preserve">Hẻm A Cư Xá Phú Thọ Hòa </t>
  </si>
  <si>
    <t xml:space="preserve">CXPT Hòa </t>
  </si>
  <si>
    <t>CXPT Hòa -1</t>
  </si>
  <si>
    <t xml:space="preserve">SN 2A CX PTH </t>
  </si>
  <si>
    <t>38A CXPTH</t>
  </si>
  <si>
    <t>2025-02-13T09:47:47.4872023Z</t>
  </si>
  <si>
    <t>TK29</t>
  </si>
  <si>
    <t>TK43/3 Võ Văn Kiệt</t>
  </si>
  <si>
    <t>TK29/36 Nguyễn Cảnh Chân</t>
  </si>
  <si>
    <t>2025-02-13T09:48:16.9829618Z</t>
  </si>
  <si>
    <t xml:space="preserve">Hẻm 341/6A2 lạc Long Quân </t>
  </si>
  <si>
    <t>Hẻm 341 LLQ</t>
  </si>
  <si>
    <t>Hẻm 341 LLQ - 2</t>
  </si>
  <si>
    <t>Hẻm 341/6A2 LLQ</t>
  </si>
  <si>
    <t>11A 4 CXTDTT</t>
  </si>
  <si>
    <t>2025-02-13T09:51:48.7974308Z</t>
  </si>
  <si>
    <t xml:space="preserve">Hẻm 57 trần nhân tôn </t>
  </si>
  <si>
    <t xml:space="preserve">Trần Nhân tôn </t>
  </si>
  <si>
    <t xml:space="preserve">Trần Phú </t>
  </si>
  <si>
    <t>6m , 3, 5m , 2,5m</t>
  </si>
  <si>
    <t>Đầu hẻm 57</t>
  </si>
  <si>
    <t>Cuối hẻm 57/54</t>
  </si>
  <si>
    <t xml:space="preserve">7 bộ </t>
  </si>
  <si>
    <t>2025-02-13T09:52:34.9015314Z</t>
  </si>
  <si>
    <t xml:space="preserve">124 trần văn kỷ p14 bình thạnh </t>
  </si>
  <si>
    <t xml:space="preserve">Trần Văn Kỷ </t>
  </si>
  <si>
    <t>Trần Văn Kỷ 1</t>
  </si>
  <si>
    <t>124/1</t>
  </si>
  <si>
    <t>124/37</t>
  </si>
  <si>
    <t>2025-02-13T09:54:02.0584211Z</t>
  </si>
  <si>
    <t>Hẻm 149</t>
  </si>
  <si>
    <t xml:space="preserve">Nguyễn Tri Phương </t>
  </si>
  <si>
    <t>Phường 8</t>
  </si>
  <si>
    <t>Đầu hẻm 149</t>
  </si>
  <si>
    <t>Cuối hẻm 149/21</t>
  </si>
  <si>
    <t xml:space="preserve">3 bộ </t>
  </si>
  <si>
    <t>2025-02-13T09:55:00.3413690Z</t>
  </si>
  <si>
    <t>TK28</t>
  </si>
  <si>
    <t>Tk39/24Ng Cảnh Chân</t>
  </si>
  <si>
    <t>Tk 28/30 Ng cảnh Chân</t>
  </si>
  <si>
    <t>2025-02-13T09:55:53.6582124Z</t>
  </si>
  <si>
    <t>Tống văn khanh</t>
  </si>
  <si>
    <t>Hẻm 129</t>
  </si>
  <si>
    <t xml:space="preserve">Nguyễn Trãi </t>
  </si>
  <si>
    <t>Phường 5</t>
  </si>
  <si>
    <t>Đầu hẻm 129</t>
  </si>
  <si>
    <t>Cuối hẻm 129/34</t>
  </si>
  <si>
    <t xml:space="preserve">10 bộ </t>
  </si>
  <si>
    <t>2025-02-13T10:00:45.1959901Z</t>
  </si>
  <si>
    <t xml:space="preserve">Tk 26 </t>
  </si>
  <si>
    <t>391/7 Trần Hưng Đạo</t>
  </si>
  <si>
    <t>Tk 26/49 Nguyễn Cảnh Chân</t>
  </si>
  <si>
    <t>2025-02-13T10:04:02.9076857Z</t>
  </si>
  <si>
    <t xml:space="preserve">Hẻm 204 cao đạt </t>
  </si>
  <si>
    <t xml:space="preserve">Cao đạt </t>
  </si>
  <si>
    <t>Cao đạt 3</t>
  </si>
  <si>
    <t xml:space="preserve">Đầu hẻm 204 cao đạt </t>
  </si>
  <si>
    <t xml:space="preserve">Cuối hẻm 86/10 trần bình trọng </t>
  </si>
  <si>
    <t>5 bộ</t>
  </si>
  <si>
    <t>2025-02-13T10:04:20.0024397Z</t>
  </si>
  <si>
    <t xml:space="preserve">Hẻm 188 cao đạt </t>
  </si>
  <si>
    <t xml:space="preserve">Cao đạt 3 </t>
  </si>
  <si>
    <t xml:space="preserve">Số nhà 188 cao đạt </t>
  </si>
  <si>
    <t>Số nhà 188/22</t>
  </si>
  <si>
    <t>2025-02-13T10:07:14.3267687Z</t>
  </si>
  <si>
    <t xml:space="preserve">Mai Văn Ngọc </t>
  </si>
  <si>
    <t>Mai Văn Ngọc</t>
  </si>
  <si>
    <t>Nguyễn Đình Chính 7</t>
  </si>
  <si>
    <t xml:space="preserve">60 Trần Hữu Trang </t>
  </si>
  <si>
    <t xml:space="preserve">324 Huỳnh Văn Bánh </t>
  </si>
  <si>
    <t>2025-02-13T10:59:21.5297294Z</t>
  </si>
  <si>
    <t>Nguyễn Kiệm</t>
  </si>
  <si>
    <t>Nguyễn Kiệm 2</t>
  </si>
  <si>
    <t>698 Nguyễn Kiệm</t>
  </si>
  <si>
    <t xml:space="preserve">694/33/20 Nguyễn Kiệm </t>
  </si>
  <si>
    <t>2025-02-13T11:01:37.4243501Z</t>
  </si>
  <si>
    <t xml:space="preserve">Trụ số 17 số nhà 100A2 Thích Quảng Đức </t>
  </si>
  <si>
    <t xml:space="preserve">102/8A Thích Quảng Đức </t>
  </si>
  <si>
    <t>2025-02-13T11:04:43.8612524Z</t>
  </si>
  <si>
    <t>Đỗ Tiến Đạt</t>
  </si>
  <si>
    <t>750/9</t>
  </si>
  <si>
    <t xml:space="preserve">Nguyễn Kiệm </t>
  </si>
  <si>
    <t>Hẻm 750 Nguyễn Kiệm 1</t>
  </si>
  <si>
    <t xml:space="preserve">750/6 Nguyễn Kiệm </t>
  </si>
  <si>
    <t xml:space="preserve">750/9/7A Nguyễn Kiệm </t>
  </si>
  <si>
    <t>2025-02-13T11:06:35.6928497Z</t>
  </si>
  <si>
    <t>Hẻm 41 ung Văn Khiêm</t>
  </si>
  <si>
    <t>Ung Văn Khiêm</t>
  </si>
  <si>
    <t>Ung Văn Khiêm 1</t>
  </si>
  <si>
    <t>41 ung Văn Khiêm</t>
  </si>
  <si>
    <t>31/2 ung Văn Khiêm</t>
  </si>
  <si>
    <t>2025-02-13T11:06:47.7095159Z</t>
  </si>
  <si>
    <t>Hẻm 356 Xô viết nghệ Tĩnh</t>
  </si>
  <si>
    <t>Hẻm 354 Xô viết nghệ Tĩnh</t>
  </si>
  <si>
    <t>378 Xô viết nghệ Tĩnh-1-bt-25</t>
  </si>
  <si>
    <t>356 Xô viết nghệ Tĩnh</t>
  </si>
  <si>
    <t>356/72 Xô viết nghệ Tĩnh</t>
  </si>
  <si>
    <t>2025-02-13T11:18:07.4907577Z</t>
  </si>
  <si>
    <t>Hẻm 160 Xô viết nghệ Tĩnh</t>
  </si>
  <si>
    <t>Hẻm 180 Xô viết nghệ Tĩnh-1-21</t>
  </si>
  <si>
    <t>Đối diện 160/1 Xô viết nghệ Tĩnh</t>
  </si>
  <si>
    <t>160/1/9 Xô viết nghệ Tĩnh</t>
  </si>
  <si>
    <t>2025-02-13T11:20:00.4282652Z</t>
  </si>
  <si>
    <t>Hẻm 124 Xô viết nghệ Tĩnh</t>
  </si>
  <si>
    <t>Xô viết nghệ Tĩnh 2</t>
  </si>
  <si>
    <t>124 Xô viết nghệ Tĩnh</t>
  </si>
  <si>
    <t>124/81 Xô viết nghệ Tĩnh</t>
  </si>
  <si>
    <t>2025-02-13T11:26:10.6502241Z</t>
  </si>
  <si>
    <t>Hẻm 99 Nguyễn Thượng Hiền</t>
  </si>
  <si>
    <t>Nguyễn Thượng Hiền</t>
  </si>
  <si>
    <t>Nguyễn Thượng Hiền 3</t>
  </si>
  <si>
    <t>99/2M</t>
  </si>
  <si>
    <t>2025-02-13T12:27:25.1262324Z</t>
  </si>
  <si>
    <t>Đào Thế Hiển</t>
  </si>
  <si>
    <t>228 Nguyễn Thượng Hiền</t>
  </si>
  <si>
    <t>228/20</t>
  </si>
  <si>
    <t>2025-02-13T12:40:43.7234039Z</t>
  </si>
  <si>
    <t>Hiển</t>
  </si>
  <si>
    <t>228/1 Nguyễn Thượng Hiền</t>
  </si>
  <si>
    <t>2,5 - 1,5</t>
  </si>
  <si>
    <t>228/1/1</t>
  </si>
  <si>
    <t>228/1/21</t>
  </si>
  <si>
    <t>2025-02-13T12:42:12.4188055Z</t>
  </si>
  <si>
    <t>298 Nguyễn Thượng Hiền</t>
  </si>
  <si>
    <t>298/10A</t>
  </si>
  <si>
    <t>2025-02-13T12:43:23.0237429Z</t>
  </si>
  <si>
    <t>139 Nguyễn Thượng Hiền</t>
  </si>
  <si>
    <t>Nguyễn Thượng Hiền 2</t>
  </si>
  <si>
    <t>139/6</t>
  </si>
  <si>
    <t>2025-02-13T12:44:40.5308652Z</t>
  </si>
  <si>
    <t>45 Nguyễn Thượng Hiền</t>
  </si>
  <si>
    <t>45/2A</t>
  </si>
  <si>
    <t>2025-02-13T12:46:39.3527184Z</t>
  </si>
  <si>
    <t>109 Nguyễn Thượng Hiền</t>
  </si>
  <si>
    <t>109/1B</t>
  </si>
  <si>
    <t>2025-02-13T12:48:14.5276156Z</t>
  </si>
  <si>
    <t>206 Nguyễn Thượng Hiền</t>
  </si>
  <si>
    <t>206/31/1</t>
  </si>
  <si>
    <t>2025-02-13T12:50:05.0827239Z</t>
  </si>
  <si>
    <t>136 Nguyễn Thượng Hiền</t>
  </si>
  <si>
    <t>52/30</t>
  </si>
  <si>
    <t>2025-02-13T12:51:24.1449182Z</t>
  </si>
  <si>
    <t>72/31 Phan Đăng Lưu</t>
  </si>
  <si>
    <t>Phan Đăng Lưu</t>
  </si>
  <si>
    <t>72/31</t>
  </si>
  <si>
    <t>72/31G</t>
  </si>
  <si>
    <t>2025-02-13T12:53:04.7503986Z</t>
  </si>
  <si>
    <t>08 Nguyễn Trung Trực</t>
  </si>
  <si>
    <t>Nguyễn Trung Trực</t>
  </si>
  <si>
    <t>2025-02-13T12:55:19.7660711Z</t>
  </si>
  <si>
    <t>19 Nguyễn Trung Trực</t>
  </si>
  <si>
    <t>5,5</t>
  </si>
  <si>
    <t>19/1B</t>
  </si>
  <si>
    <t>2025-02-13T12:56:42.4229539Z</t>
  </si>
  <si>
    <t xml:space="preserve">Hẻm 87 trần phú </t>
  </si>
  <si>
    <t>Phường 4</t>
  </si>
  <si>
    <t>Đầu hẻm 87</t>
  </si>
  <si>
    <t>Số nhà 87/23</t>
  </si>
  <si>
    <t xml:space="preserve">4 bộ </t>
  </si>
  <si>
    <t>2025-02-14T09:45:30.4419149Z</t>
  </si>
  <si>
    <t xml:space="preserve">Hẻm 338 an dương vương </t>
  </si>
  <si>
    <t>Đầu hẻm 338</t>
  </si>
  <si>
    <t>Cuối hẻm số nhà 338/40B</t>
  </si>
  <si>
    <t xml:space="preserve">5 bộ </t>
  </si>
  <si>
    <t>2025-02-14T09:53:38.0702013Z</t>
  </si>
  <si>
    <t>Hẻm 214</t>
  </si>
  <si>
    <t xml:space="preserve">Đầu hẻm 214 </t>
  </si>
  <si>
    <t>Cuối hẻm số nhà 158/38 huỳnh mẫn đạt</t>
  </si>
  <si>
    <t xml:space="preserve">11 bộ </t>
  </si>
  <si>
    <t>2025-02-14T10:00:34.4119449Z</t>
  </si>
  <si>
    <t xml:space="preserve">16 bình lợi </t>
  </si>
  <si>
    <t xml:space="preserve">Bình lợi </t>
  </si>
  <si>
    <t>Bình lợi 2</t>
  </si>
  <si>
    <t>16/21/24</t>
  </si>
  <si>
    <t>2025-02-14T10:39:26.0469614Z</t>
  </si>
  <si>
    <t xml:space="preserve">Hẻm 69 nơ Trang Long </t>
  </si>
  <si>
    <t>Nơ Trang Long 4</t>
  </si>
  <si>
    <t>69/1A</t>
  </si>
  <si>
    <t>69/43</t>
  </si>
  <si>
    <t>2025-02-14T10:41:25.2983095Z</t>
  </si>
  <si>
    <t xml:space="preserve">Hẻm 66 bình lợi </t>
  </si>
  <si>
    <t xml:space="preserve">Xin tăng cường tủ </t>
  </si>
  <si>
    <t>64/2B</t>
  </si>
  <si>
    <t>66/10</t>
  </si>
  <si>
    <t>2025-02-14T10:43:48.6224032Z</t>
  </si>
  <si>
    <t>Hẻm 48 ung Văn Khiêm</t>
  </si>
  <si>
    <t xml:space="preserve">Ung Văn Khiêm 1 </t>
  </si>
  <si>
    <t>Hẻm 48</t>
  </si>
  <si>
    <t>48/12</t>
  </si>
  <si>
    <t>2025-02-15T01:02:32.3890259Z</t>
  </si>
  <si>
    <t xml:space="preserve">Hẻm 336 ung Văn Khiêm </t>
  </si>
  <si>
    <t xml:space="preserve">Ung Văn Khiêm </t>
  </si>
  <si>
    <t>Ung Văn Khiêm 3</t>
  </si>
  <si>
    <t xml:space="preserve">326 Ung Văn Khiêm </t>
  </si>
  <si>
    <t xml:space="preserve">336/22E Ung Văn Khiêm </t>
  </si>
  <si>
    <t>2025-02-15T01:04:43.8317023Z</t>
  </si>
  <si>
    <t>860/58 XVNT</t>
  </si>
  <si>
    <t>XVNT</t>
  </si>
  <si>
    <t>Hẻm 860 XVNT-1-BT</t>
  </si>
  <si>
    <t>860/58/43 XVNT</t>
  </si>
  <si>
    <t>2025-02-15T01:07:13.7596844Z</t>
  </si>
  <si>
    <t xml:space="preserve">Nguyễn Bá Vinh </t>
  </si>
  <si>
    <t xml:space="preserve">Hẻm 114 Ung Văn Khiêm </t>
  </si>
  <si>
    <t>Ung Văn Khiêm 2</t>
  </si>
  <si>
    <t xml:space="preserve">114 Ung Văn Khiêm </t>
  </si>
  <si>
    <t>114/5A.B</t>
  </si>
  <si>
    <t>2025-02-15T01:09:12.0231279Z</t>
  </si>
  <si>
    <t xml:space="preserve">97 Ung Văn Khiêm </t>
  </si>
  <si>
    <t xml:space="preserve">97/23 Ung Văn Khiêm </t>
  </si>
  <si>
    <t>2025-02-15T01:10:52.3509147Z</t>
  </si>
  <si>
    <t xml:space="preserve">Hẻm 527 Điện Biên Phủ </t>
  </si>
  <si>
    <t xml:space="preserve">Điện Biên Phủ </t>
  </si>
  <si>
    <t>Điện Biên Phủ 19</t>
  </si>
  <si>
    <t xml:space="preserve">Hẻm 527 Điện Biên phủ </t>
  </si>
  <si>
    <t xml:space="preserve">527/21 Điện Biên phủ </t>
  </si>
  <si>
    <t>2025-02-15T01:13:45.3168676Z</t>
  </si>
  <si>
    <t>101/88 BMT</t>
  </si>
  <si>
    <t>2025-02-17T02:13:53.0700395Z</t>
  </si>
  <si>
    <t xml:space="preserve">Bùi Minh Trực 8 </t>
  </si>
  <si>
    <t>112/39/2A</t>
  </si>
  <si>
    <t>2025-02-17T02:15:11.0068157Z</t>
  </si>
  <si>
    <t>1,5 ; 4</t>
  </si>
  <si>
    <t>Hẻm 1225 PTH</t>
  </si>
  <si>
    <t>2025-02-17T02:17:19.0707804Z</t>
  </si>
  <si>
    <t>sn 127/79</t>
  </si>
  <si>
    <t>2025-02-17T02:18:45.1518450Z</t>
  </si>
  <si>
    <t xml:space="preserve">Bùi Minh Trực 7 </t>
  </si>
  <si>
    <t>sn 158/39</t>
  </si>
  <si>
    <t>2025-02-17T02:20:15.3893192Z</t>
  </si>
  <si>
    <t>sn 177/49</t>
  </si>
  <si>
    <t>2025-02-17T02:21:24.1941783Z</t>
  </si>
  <si>
    <t xml:space="preserve">Bông Sao </t>
  </si>
  <si>
    <t>Bông Sao 2</t>
  </si>
  <si>
    <t>123/26</t>
  </si>
  <si>
    <t>2025-02-17T02:23:51.1850572Z</t>
  </si>
  <si>
    <t>sn 45/14</t>
  </si>
  <si>
    <t>2025-02-17T02:25:34.5401710Z</t>
  </si>
  <si>
    <t xml:space="preserve">Bông Sao 2 </t>
  </si>
  <si>
    <t>sn 283/39A</t>
  </si>
  <si>
    <t>2025-02-17T02:27:27.9869826Z</t>
  </si>
  <si>
    <t>215/32/2A</t>
  </si>
  <si>
    <t>2025-02-17T02:29:12.3728467Z</t>
  </si>
  <si>
    <t>Phạm Thế Hiển 17</t>
  </si>
  <si>
    <t>sn 1323/12</t>
  </si>
  <si>
    <t>2025-02-17T02:30:42.2759169Z</t>
  </si>
  <si>
    <t xml:space="preserve">Phạm Thế Hiển 17+ Hoàng Minh Đạo </t>
  </si>
  <si>
    <t>2,5; 3; 5m</t>
  </si>
  <si>
    <t xml:space="preserve">Hoàng Minh Đạo </t>
  </si>
  <si>
    <t>2025-02-17T02:33:12.8997339Z</t>
  </si>
  <si>
    <t>Quốc Lộ 50(LT5)</t>
  </si>
  <si>
    <t>2,5; 3m</t>
  </si>
  <si>
    <t>sn 399/47A</t>
  </si>
  <si>
    <t>2025-02-17T02:36:43.7640498Z</t>
  </si>
  <si>
    <t>Quốc Lộ 50 (LT5)</t>
  </si>
  <si>
    <t>Quốc Lộ 50 -2</t>
  </si>
  <si>
    <t>sn 311/5/14</t>
  </si>
  <si>
    <t>2025-02-17T02:38:23.1531738Z</t>
  </si>
  <si>
    <t>Bùi Minh Trực 6</t>
  </si>
  <si>
    <t>101/6A LT5</t>
  </si>
  <si>
    <t>2025-02-17T02:39:53.0116338Z</t>
  </si>
  <si>
    <t>Minh Phụng 2</t>
  </si>
  <si>
    <t xml:space="preserve">Hẻm 180 Lạc Long Quân </t>
  </si>
  <si>
    <t xml:space="preserve">172A/48 Lạc Long Quân </t>
  </si>
  <si>
    <t>2025-02-17T03:49:34.8435577Z</t>
  </si>
  <si>
    <t>2025-02-17T03:50:41.5656210Z</t>
  </si>
  <si>
    <t>2025-02-17T03:51:37.8963541Z</t>
  </si>
  <si>
    <t>407/2</t>
  </si>
  <si>
    <t xml:space="preserve">180 Lạc Long Quân </t>
  </si>
  <si>
    <t>2025-02-17T03:52:32.1693752Z</t>
  </si>
  <si>
    <t>H323</t>
  </si>
  <si>
    <t>2025-02-17T03:53:23.4817345Z</t>
  </si>
  <si>
    <t>2025-02-17T03:54:23.5025619Z</t>
  </si>
  <si>
    <t>260/1</t>
  </si>
  <si>
    <t>2025-02-17T03:55:06.9041932Z</t>
  </si>
  <si>
    <t>2025-02-17T03:55:07.1075250Z</t>
  </si>
  <si>
    <t xml:space="preserve">106/4 Lạc Long Quân </t>
  </si>
  <si>
    <t>2025-02-17T04:08:35.6083510Z</t>
  </si>
  <si>
    <t>2025-02-17T04:08:36.2954591Z</t>
  </si>
  <si>
    <t>161D</t>
  </si>
  <si>
    <t xml:space="preserve">161 Lạc Long Quân </t>
  </si>
  <si>
    <t xml:space="preserve">161D Lạc Long Quân </t>
  </si>
  <si>
    <t>2025-02-17T04:09:55.7986004Z</t>
  </si>
  <si>
    <t>Hồng Bàng 14</t>
  </si>
  <si>
    <t>2025-02-17T04:10:50.6696141Z</t>
  </si>
  <si>
    <t>Hồng Bàng 13</t>
  </si>
  <si>
    <t>2025-02-17T04:12:03.0015059Z</t>
  </si>
  <si>
    <t>Minh Phụng 3</t>
  </si>
  <si>
    <t xml:space="preserve">200 Thái Phiên </t>
  </si>
  <si>
    <t>2025-02-17T04:12:48.6665584Z</t>
  </si>
  <si>
    <t>Hẻm 137 nguyển Chí Thanh ND</t>
  </si>
  <si>
    <t>Nguyển Chí Thanh ND</t>
  </si>
  <si>
    <t>Điên ngệ1</t>
  </si>
  <si>
    <t xml:space="preserve">Nguyển Chí Thanh </t>
  </si>
  <si>
    <t xml:space="preserve">Cục </t>
  </si>
  <si>
    <t>2025-02-17T06:09:19.8993645Z</t>
  </si>
  <si>
    <t>Hẻm 246 Ngô quyền</t>
  </si>
  <si>
    <t>Ngô quyền</t>
  </si>
  <si>
    <t>Giếng triệu đà</t>
  </si>
  <si>
    <t>246 Ngô quyền</t>
  </si>
  <si>
    <t>246/28 Ngô quyền</t>
  </si>
  <si>
    <t>2025-02-17T08:28:50.8215414Z</t>
  </si>
  <si>
    <t>Ân</t>
  </si>
  <si>
    <t>Hẻm 163 tô hiến Thành</t>
  </si>
  <si>
    <t>Tô hiến Thành</t>
  </si>
  <si>
    <t>163/15 tô hiến Thành</t>
  </si>
  <si>
    <t>163/15/7k tô hiến Thành</t>
  </si>
  <si>
    <t>2025-02-17T08:36:06.4081942Z</t>
  </si>
  <si>
    <t xml:space="preserve">Võ Trứ </t>
  </si>
  <si>
    <t>2,5; 3; 5</t>
  </si>
  <si>
    <t xml:space="preserve">441/5 Hưng Phú </t>
  </si>
  <si>
    <t>2025-02-17T08:42:06.2015689Z</t>
  </si>
  <si>
    <t>163/21 tô hiến Thành</t>
  </si>
  <si>
    <t>163/21/23M tô hiến Thành</t>
  </si>
  <si>
    <t>2025-02-17T08:43:35.3232544Z</t>
  </si>
  <si>
    <t>Hẻm 285 cách mạng tháng 8</t>
  </si>
  <si>
    <t>Hẻm 285/36 cách mạng tháng 8</t>
  </si>
  <si>
    <t>285/45 cách mạng tháng tám</t>
  </si>
  <si>
    <t>285/36/17G cách mạng tháng tám</t>
  </si>
  <si>
    <t>/5</t>
  </si>
  <si>
    <t>2025-02-17T08:50:41.5629482Z</t>
  </si>
  <si>
    <t>Hẻm 285/83 cách mạng tháng 8</t>
  </si>
  <si>
    <t>Hẻm 285/63 cách mạng tháng 8</t>
  </si>
  <si>
    <t>Hẻm 283 cách mạng tháng 8</t>
  </si>
  <si>
    <t>285/81 cách mạng tháng 8</t>
  </si>
  <si>
    <t>285/85/16</t>
  </si>
  <si>
    <t>2025-02-17T08:58:23.6400668Z</t>
  </si>
  <si>
    <t>3395/22</t>
  </si>
  <si>
    <t>2025-02-17T09:01:08.9400672Z</t>
  </si>
  <si>
    <t>Hẻm 127 Âu cơ</t>
  </si>
  <si>
    <t>Hẻm 127 âu cơ</t>
  </si>
  <si>
    <t>Hẻm 127 âu cơ 2</t>
  </si>
  <si>
    <t xml:space="preserve">127/75 Âu cơ </t>
  </si>
  <si>
    <t>127/99/25 Âu cơ</t>
  </si>
  <si>
    <t>2025-02-17T09:05:52.9599394Z</t>
  </si>
  <si>
    <t>Đường 100 Bình Thới hẻm 67</t>
  </si>
  <si>
    <t>Hẻm 102 c Bình Thới 2</t>
  </si>
  <si>
    <t>Đầu hẻm 67 đường 100 Bình Thới</t>
  </si>
  <si>
    <t>86H/17A</t>
  </si>
  <si>
    <t>2025-02-17T09:14:01.6012680Z</t>
  </si>
  <si>
    <t xml:space="preserve">Hẻm 159 Phó Cơ Điều </t>
  </si>
  <si>
    <t xml:space="preserve">Phó Cơ Điều </t>
  </si>
  <si>
    <t xml:space="preserve">Chợ Thiết 2 </t>
  </si>
  <si>
    <t xml:space="preserve">Hẻm 159 phó Cơ Điều </t>
  </si>
  <si>
    <t>159/311</t>
  </si>
  <si>
    <t>2025-02-17T09:14:57.2674406Z</t>
  </si>
  <si>
    <t>Đường 100 Bình Thới hẻm 79</t>
  </si>
  <si>
    <t>79 đường 100 Bình Thới</t>
  </si>
  <si>
    <t>17/6c đường 100 Bình Thới</t>
  </si>
  <si>
    <t>2025-02-17T09:19:33.9444697Z</t>
  </si>
  <si>
    <t xml:space="preserve">Ân </t>
  </si>
  <si>
    <t>Đường 100 Bình Thới hẻm 88</t>
  </si>
  <si>
    <t>Đầu hẻm 88 đường 100 Bình Thới</t>
  </si>
  <si>
    <t>86/15 đường 100 Bình Thới</t>
  </si>
  <si>
    <t>2025-02-17T09:23:45.3654807Z</t>
  </si>
  <si>
    <t>Hẻm 123 đường 100 Bình Thới</t>
  </si>
  <si>
    <t>Bình Thới hẻm 100/5</t>
  </si>
  <si>
    <t>126 đường 100 Bình Thới</t>
  </si>
  <si>
    <t>123/6 đường 100 Bình Thới</t>
  </si>
  <si>
    <t>2025-02-17T09:29:53.2591964Z</t>
  </si>
  <si>
    <t xml:space="preserve">Hẻm 126  đường 100 Bình Thới </t>
  </si>
  <si>
    <t>Hẻm 126 đường 100 Bình Thới</t>
  </si>
  <si>
    <t>126/34 A đường 100 Bình Thới</t>
  </si>
  <si>
    <t>2025-02-17T09:51:37.1176278Z</t>
  </si>
  <si>
    <t xml:space="preserve"> 112 + 122</t>
  </si>
  <si>
    <t>2025-02-18T02:35:38.8990781Z</t>
  </si>
  <si>
    <t>ks 2024</t>
  </si>
  <si>
    <t>Hẻm 129/1M8</t>
  </si>
  <si>
    <t>2M</t>
  </si>
  <si>
    <t xml:space="preserve">129 Lạc Long Quân </t>
  </si>
  <si>
    <t xml:space="preserve">Hẻm 151 Lạc Long Quân </t>
  </si>
  <si>
    <t>2025-02-18T06:49:09.6621531Z</t>
  </si>
  <si>
    <t>Hẻm 22/19/1</t>
  </si>
  <si>
    <t xml:space="preserve">22 Tân Hóa </t>
  </si>
  <si>
    <t>Hẻm cục</t>
  </si>
  <si>
    <t>2025-02-18T06:53:24.6024950Z</t>
  </si>
  <si>
    <t>Hẻm 140</t>
  </si>
  <si>
    <t>2,5m</t>
  </si>
  <si>
    <t>2025-02-18T08:42:12.3156616Z</t>
  </si>
  <si>
    <t xml:space="preserve">Hẻm 106 i Lạc Long Quân </t>
  </si>
  <si>
    <t xml:space="preserve">Hẻm 106 Lạc Long Quân </t>
  </si>
  <si>
    <t xml:space="preserve">Hẻm 161 Lạc Long Quân </t>
  </si>
  <si>
    <t xml:space="preserve">Hẻm 106i /46 LLQ </t>
  </si>
  <si>
    <t xml:space="preserve">SN 161 D /104/1A lạc Long Quân </t>
  </si>
  <si>
    <t>2025-02-18T08:44:51.6781245Z</t>
  </si>
  <si>
    <t xml:space="preserve">Lò siêu </t>
  </si>
  <si>
    <t>Lò siêu 45</t>
  </si>
  <si>
    <t xml:space="preserve">137 Lò siêu </t>
  </si>
  <si>
    <t>2025-02-18T08:44:53.7917578Z</t>
  </si>
  <si>
    <t>374 Bình Đông</t>
  </si>
  <si>
    <t>Hẻm 374 Bình Đông</t>
  </si>
  <si>
    <t>370/4A1 Bình Đông</t>
  </si>
  <si>
    <t>2025-02-18T08:46:48.5685151Z</t>
  </si>
  <si>
    <t>2,5M</t>
  </si>
  <si>
    <t xml:space="preserve">Hẻm 151 Hàn Hải Nguyên </t>
  </si>
  <si>
    <t>2025-02-18T08:47:56.7983506Z</t>
  </si>
  <si>
    <t>Hẻm 3</t>
  </si>
  <si>
    <t>Hồng Bàng 12</t>
  </si>
  <si>
    <t xml:space="preserve">Hẻm cục </t>
  </si>
  <si>
    <t>2025-02-18T08:50:22.9330294Z</t>
  </si>
  <si>
    <t xml:space="preserve">Hẻm 106E Lạc Long Quân </t>
  </si>
  <si>
    <t xml:space="preserve">Hẻm 56 D Lạc Long Quân </t>
  </si>
  <si>
    <t xml:space="preserve">Hẻm 56 D lạc Long Quân </t>
  </si>
  <si>
    <t xml:space="preserve">Lạc Long Quân 3 </t>
  </si>
  <si>
    <t xml:space="preserve">SN 106E /1 LLQ </t>
  </si>
  <si>
    <t xml:space="preserve">SN 106 E / 53 LLQ </t>
  </si>
  <si>
    <t>2025-02-18T08:53:58.0410373Z</t>
  </si>
  <si>
    <t>Hẻm 79 bến Phú Định</t>
  </si>
  <si>
    <t>79/51/80 bến Phú Định</t>
  </si>
  <si>
    <t>122/149/10 bến Phú Định</t>
  </si>
  <si>
    <t>2025-02-18T08:55:41.4926877Z</t>
  </si>
  <si>
    <t xml:space="preserve">Hẻm 106G Lạc Long Quân </t>
  </si>
  <si>
    <t>Trụ số 6 hẻm 56 D LLQ</t>
  </si>
  <si>
    <t>SN 106 G/28 LLQ</t>
  </si>
  <si>
    <t>2025-02-18T08:58:35.3015575Z</t>
  </si>
  <si>
    <t xml:space="preserve">Hẻm 80 Hoàng Ngân </t>
  </si>
  <si>
    <t>Hẻm 80 Hoàn Ngân</t>
  </si>
  <si>
    <t>Hoàn ngân 1</t>
  </si>
  <si>
    <t>80/79 Hoàn Ngân</t>
  </si>
  <si>
    <t xml:space="preserve">80/133/23/32 hoàn ngân </t>
  </si>
  <si>
    <t>2025-02-18T09:03:20.9351045Z</t>
  </si>
  <si>
    <t>Hẻm 150 bến Phú Định</t>
  </si>
  <si>
    <t>Hẻm 150/39 bến Phú Định</t>
  </si>
  <si>
    <t>Hoàn Ngân 1</t>
  </si>
  <si>
    <t>150/39/24/9/41 phủ định</t>
  </si>
  <si>
    <t>79/16/5 Phú Định</t>
  </si>
  <si>
    <t>2025-02-18T09:12:03.1307836Z</t>
  </si>
  <si>
    <t xml:space="preserve">Hẻm 1525 Ba Tháng Hai </t>
  </si>
  <si>
    <t>SN 1525 BTH</t>
  </si>
  <si>
    <t>SN 1525/29/18 BTH</t>
  </si>
  <si>
    <t>2025-02-18T09:23:01.2876337Z</t>
  </si>
  <si>
    <t xml:space="preserve">Hẻm 17 Lê Duẩn </t>
  </si>
  <si>
    <t xml:space="preserve">Kéo cáp nối 83 m số Trụ 1 Đường Nguyễn Du </t>
  </si>
  <si>
    <t xml:space="preserve">Bến Nghé </t>
  </si>
  <si>
    <t xml:space="preserve">Mạc Đĩnh Chỉ </t>
  </si>
  <si>
    <t xml:space="preserve">Lê Duẩn </t>
  </si>
  <si>
    <t>Nguyễn Du</t>
  </si>
  <si>
    <t xml:space="preserve">3 đèn </t>
  </si>
  <si>
    <t>2025-02-19T13:41:12.5693481Z</t>
  </si>
  <si>
    <t xml:space="preserve">Nhân </t>
  </si>
  <si>
    <t xml:space="preserve">Hẻm 18B Nguyễn Thị Minh Khai </t>
  </si>
  <si>
    <t xml:space="preserve">Kéo 51 cáp nối trụ đỡ số nhà 8 Nguyễn Thị Minh Khai </t>
  </si>
  <si>
    <t xml:space="preserve">ĐaKao </t>
  </si>
  <si>
    <t>Nguyễn Thị Minh Khai 9</t>
  </si>
  <si>
    <t xml:space="preserve">18/4 Nguyễn Thị Minh Khai </t>
  </si>
  <si>
    <t xml:space="preserve">18/24 Nguyễn Thị Minh Khai </t>
  </si>
  <si>
    <t xml:space="preserve">3 bộ đèn </t>
  </si>
  <si>
    <t>2025-02-19T13:48:50.5635846Z</t>
  </si>
  <si>
    <t xml:space="preserve">8 Lê Thánh Tôn </t>
  </si>
  <si>
    <t xml:space="preserve">Cáp nối 116m + 25 câp ngầm số Trụ 2 Đường Lê Thánh Tôn </t>
  </si>
  <si>
    <t>Lê Thánh Tôn 4</t>
  </si>
  <si>
    <t xml:space="preserve">Hẻm 8 Lê Thánh Tôn </t>
  </si>
  <si>
    <t xml:space="preserve">8/1 Lê Thánh Tôn </t>
  </si>
  <si>
    <t xml:space="preserve">6 bộ đèn </t>
  </si>
  <si>
    <t>2025-02-19T13:57:41.4307048Z</t>
  </si>
  <si>
    <t xml:space="preserve">8 Thái Văn Lung </t>
  </si>
  <si>
    <t xml:space="preserve">Kéo cáp 274m số Trụ 7 Đường Thái Văn Lung </t>
  </si>
  <si>
    <t>Thái Văn Lung 1</t>
  </si>
  <si>
    <t>4,5 m</t>
  </si>
  <si>
    <t xml:space="preserve">Hẻm 8 Thái Văn Lung </t>
  </si>
  <si>
    <t xml:space="preserve">17/29 Lê Thánh Tôn </t>
  </si>
  <si>
    <t xml:space="preserve">10 bộ đèn </t>
  </si>
  <si>
    <t>2025-02-19T14:50:18.7294107Z</t>
  </si>
  <si>
    <t xml:space="preserve">31 Hải Triều </t>
  </si>
  <si>
    <t xml:space="preserve">Kéo cáp 84m số Trụ 3 Đường Hải Triều </t>
  </si>
  <si>
    <t>Hải Triều 1</t>
  </si>
  <si>
    <t>6m</t>
  </si>
  <si>
    <t xml:space="preserve">Hẻm 31 Hải Triều </t>
  </si>
  <si>
    <t xml:space="preserve">Hẻm 2 Hàm Nghi </t>
  </si>
  <si>
    <t xml:space="preserve">4 bộ đèn </t>
  </si>
  <si>
    <t>2025-02-19T14:56:50.2157847Z</t>
  </si>
  <si>
    <t>Hẻm 24/22 Đông Du</t>
  </si>
  <si>
    <t xml:space="preserve">Kéo 23 cáp nối số Trụ 6 Đường Đông Du </t>
  </si>
  <si>
    <t>Đông Du 2</t>
  </si>
  <si>
    <t xml:space="preserve">24/22 Đông Du </t>
  </si>
  <si>
    <t xml:space="preserve">2 bộ đèn </t>
  </si>
  <si>
    <t>2025-02-19T15:04:27.1266180Z</t>
  </si>
  <si>
    <t xml:space="preserve">Hẻm 35 Nguyễn Trung Trực </t>
  </si>
  <si>
    <t xml:space="preserve">Kéo cáp 54m cáp nối số Trụ 2 Hẻm 35 Nguyễn Trung Trực </t>
  </si>
  <si>
    <t xml:space="preserve">Bến Thành </t>
  </si>
  <si>
    <t>Nguyễn Trung Trực 2</t>
  </si>
  <si>
    <t xml:space="preserve">35 Nguyễn Trung Trực </t>
  </si>
  <si>
    <t xml:space="preserve">35C Nguyễn Trung Trực </t>
  </si>
  <si>
    <t>2 bộ đèn HPS 250W + 2 cần 2TN 3,8</t>
  </si>
  <si>
    <t>2025-02-19T15:11:00.1662691Z</t>
  </si>
  <si>
    <t>Lạc Long 65</t>
  </si>
  <si>
    <t xml:space="preserve">395 Minh Phụng </t>
  </si>
  <si>
    <t>2025-02-20T06:10:32.5954733Z</t>
  </si>
  <si>
    <t>100A2</t>
  </si>
  <si>
    <t xml:space="preserve">702 hồng Bàng </t>
  </si>
  <si>
    <t xml:space="preserve">Hém cục </t>
  </si>
  <si>
    <t>2025-02-20T06:13:46.5233464Z</t>
  </si>
  <si>
    <t xml:space="preserve">Hẻm 85 Bùi Minh trực </t>
  </si>
  <si>
    <t xml:space="preserve">Bùi Minh trực </t>
  </si>
  <si>
    <t>1 TĐK KNO Bông Sao 1- ( TĐK BMT 10) 2 tủ</t>
  </si>
  <si>
    <t xml:space="preserve">5  mét và 3 mét 2 đoạn </t>
  </si>
  <si>
    <t xml:space="preserve">85 Bùi Minh trực </t>
  </si>
  <si>
    <t>85/112</t>
  </si>
  <si>
    <t>2025-02-21T09:50:54.8137955Z</t>
  </si>
  <si>
    <t xml:space="preserve">Hẻm 157 Bùi Minh trực </t>
  </si>
  <si>
    <t>Bùi Minh trực 7</t>
  </si>
  <si>
    <t xml:space="preserve">157 Bùi Minh trực </t>
  </si>
  <si>
    <t xml:space="preserve">157/66 Bùi Minh trực </t>
  </si>
  <si>
    <t>2025-02-21T09:53:30.2050227Z</t>
  </si>
  <si>
    <t xml:space="preserve">138 hoàng đạo thúy </t>
  </si>
  <si>
    <t xml:space="preserve">Hoàng đạo thúy </t>
  </si>
  <si>
    <t>Hoàng đạo thúy 1</t>
  </si>
  <si>
    <t>2025-02-21T21:46:54.3591282Z</t>
  </si>
  <si>
    <t xml:space="preserve">Võ Minh Tài </t>
  </si>
  <si>
    <t xml:space="preserve">Đs 9,8,2,A2 khu tái định cư bến lức </t>
  </si>
  <si>
    <t xml:space="preserve">Khu tái Định cư bến lức </t>
  </si>
  <si>
    <t>Đường A</t>
  </si>
  <si>
    <t>Đường A2</t>
  </si>
  <si>
    <t>2025-02-21T21:58:29.4366606Z</t>
  </si>
  <si>
    <t>2,5 ; 3</t>
  </si>
  <si>
    <t>trụ số 16 Hẻm 2385 PTH</t>
  </si>
  <si>
    <t>sn 2385/81</t>
  </si>
  <si>
    <t>2025-02-24T07:24:58.6711236Z</t>
  </si>
  <si>
    <t>79/68</t>
  </si>
  <si>
    <t xml:space="preserve">Phú Định </t>
  </si>
  <si>
    <t xml:space="preserve">Hẻm 38 Nguyễn Ngọc Cung </t>
  </si>
  <si>
    <t xml:space="preserve">Hẻm 79 Phú Định </t>
  </si>
  <si>
    <t>2025-02-24T07:28:01.7858247Z</t>
  </si>
  <si>
    <t>3;4</t>
  </si>
  <si>
    <t>cuối hẻm 79PD( trụ số 26)</t>
  </si>
  <si>
    <t>122/84</t>
  </si>
  <si>
    <t>2025-02-24T07:30:26.8036096Z</t>
  </si>
  <si>
    <t xml:space="preserve">KDC Thanh Nhựt </t>
  </si>
  <si>
    <t>3; 5</t>
  </si>
  <si>
    <t>sn 242/101/2</t>
  </si>
  <si>
    <t>2025-02-24T07:35:39.2087564Z</t>
  </si>
  <si>
    <t xml:space="preserve">Cao Đạt 3 </t>
  </si>
  <si>
    <t xml:space="preserve">sn 86 Trần Bình Trọng </t>
  </si>
  <si>
    <t>2025-02-28T09:34:54.1207651Z</t>
  </si>
  <si>
    <t>sn 188/22</t>
  </si>
  <si>
    <t>2025-02-28T09:36:05.4864801Z</t>
  </si>
  <si>
    <t>119+119/19</t>
  </si>
  <si>
    <t>Nguyễn Văn Cừ 4</t>
  </si>
  <si>
    <t>119/19/19</t>
  </si>
  <si>
    <t>2025-02-28T09:39:37.1011753Z</t>
  </si>
  <si>
    <t xml:space="preserve">Nguyễn Biểu </t>
  </si>
  <si>
    <t>175/26</t>
  </si>
  <si>
    <t>2025-02-28T09:43:26.6487893Z</t>
  </si>
  <si>
    <t>Trần Bình Trọng 4</t>
  </si>
  <si>
    <t>3;5</t>
  </si>
  <si>
    <t>120/29</t>
  </si>
  <si>
    <t>2025-02-28T09:48:15.9297823Z</t>
  </si>
  <si>
    <t xml:space="preserve">Hẻm 277 Nguyễn Chí Thanh </t>
  </si>
  <si>
    <t xml:space="preserve">Nguyễn Chí Thanh </t>
  </si>
  <si>
    <t xml:space="preserve">277 NCT </t>
  </si>
  <si>
    <t>277/20 NCT</t>
  </si>
  <si>
    <t>2025-02-28T10:07:03.2092957Z</t>
  </si>
  <si>
    <t xml:space="preserve">Hẻm 42 Phó Cơ Điều+ hẻm 59 Thuận Kiều </t>
  </si>
  <si>
    <t xml:space="preserve">Phó cơ Điều </t>
  </si>
  <si>
    <t xml:space="preserve">42 Phó Cơ Điều </t>
  </si>
  <si>
    <t xml:space="preserve">59/2 Thuận Kiều </t>
  </si>
  <si>
    <t>2025-02-28T10:10:02.3870878Z</t>
  </si>
  <si>
    <t xml:space="preserve">Hẻm 33 Hà Tôn Quyền </t>
  </si>
  <si>
    <t>33 HTQ</t>
  </si>
  <si>
    <t xml:space="preserve">33/20 Hà Tôn Quyền </t>
  </si>
  <si>
    <t>2025-02-28T10:19:20.1948688Z</t>
  </si>
  <si>
    <t xml:space="preserve">Hẻm 117 Đổ Ngọc Thạch </t>
  </si>
  <si>
    <t xml:space="preserve">Đổ Ngọc Thạch </t>
  </si>
  <si>
    <t xml:space="preserve">Tân Thành </t>
  </si>
  <si>
    <t xml:space="preserve">3,2 mét </t>
  </si>
  <si>
    <t xml:space="preserve">117 Đổ Ngọc Thạch </t>
  </si>
  <si>
    <t xml:space="preserve">117/28 Đổ Ngọc Thạch </t>
  </si>
  <si>
    <t>2025-02-28T10:25:28.3538445Z</t>
  </si>
  <si>
    <t xml:space="preserve">Hẻm 168 Tân Thành </t>
  </si>
  <si>
    <t xml:space="preserve">168 Tân Thành </t>
  </si>
  <si>
    <t>Đ/d 168/9</t>
  </si>
  <si>
    <t>2025-02-28T10:30:38.6517094Z</t>
  </si>
  <si>
    <t xml:space="preserve">Hẻm 79 Đổ Ngọc Thạnh </t>
  </si>
  <si>
    <t xml:space="preserve">Đổ Ngọc Thạnh </t>
  </si>
  <si>
    <t xml:space="preserve">Tân Hưng 2 </t>
  </si>
  <si>
    <t xml:space="preserve">79F Đổ Ngọc Thạnh </t>
  </si>
  <si>
    <t>79/11 ĐNT</t>
  </si>
  <si>
    <t>2025-02-28T10:38:04.7073412Z</t>
  </si>
  <si>
    <t xml:space="preserve">Hẻm 79 F Đổ Ngọc Thạch </t>
  </si>
  <si>
    <t xml:space="preserve">79F/4 Đổ Ngọc Thạnh </t>
  </si>
  <si>
    <t xml:space="preserve">79F/12 Đổ Ngọc Thạnh </t>
  </si>
  <si>
    <t>2025-02-28T10:42:21.0542981Z</t>
  </si>
  <si>
    <t xml:space="preserve">Đường Võ Trường Toản </t>
  </si>
  <si>
    <t xml:space="preserve">Võ Trường Toản </t>
  </si>
  <si>
    <t>Nguyễn Thị Thỏ</t>
  </si>
  <si>
    <t xml:space="preserve">8 mét </t>
  </si>
  <si>
    <t xml:space="preserve">Đường Tân Thành </t>
  </si>
  <si>
    <t xml:space="preserve">Đầu hẻm 45 Võ Trường toản </t>
  </si>
  <si>
    <t>2025-03-03T01:04:13.3786223Z</t>
  </si>
  <si>
    <t xml:space="preserve">Hẻm 45 Võ Trường Toản </t>
  </si>
  <si>
    <t xml:space="preserve">Nguyễn Thị Thỏ </t>
  </si>
  <si>
    <t xml:space="preserve">3,2. Mét </t>
  </si>
  <si>
    <t xml:space="preserve">45 Võ Trường toản </t>
  </si>
  <si>
    <t xml:space="preserve">45/15A  võ Trường Toản </t>
  </si>
  <si>
    <t>2025-03-03T01:08:34.5890089Z</t>
  </si>
  <si>
    <t xml:space="preserve">Hẻm 65 Hà Tôn Quyền </t>
  </si>
  <si>
    <t xml:space="preserve">65 Hà Tôn Quyền </t>
  </si>
  <si>
    <t xml:space="preserve">65/16 Hà Tôn Quyền </t>
  </si>
  <si>
    <t>2025-03-03T01:12:18.3017042Z</t>
  </si>
  <si>
    <t xml:space="preserve">Hẻm 52 Võ Trường toản </t>
  </si>
  <si>
    <t xml:space="preserve">52 Võ Trường Toản </t>
  </si>
  <si>
    <t xml:space="preserve">52 Võ Trường toản </t>
  </si>
  <si>
    <t>2025-03-03T01:15:04.7617289Z</t>
  </si>
  <si>
    <t xml:space="preserve">57 Võ Trường Toản </t>
  </si>
  <si>
    <t xml:space="preserve">Nguyễn Thị nhỏ </t>
  </si>
  <si>
    <t xml:space="preserve">Đ/D 263/24 Tân Thành </t>
  </si>
  <si>
    <t>2025-03-03T01:18:57.2249618Z</t>
  </si>
  <si>
    <t xml:space="preserve">Hẻm 77 Hà Tôn Quyền </t>
  </si>
  <si>
    <t xml:space="preserve">60 Võ Trường Toản </t>
  </si>
  <si>
    <t xml:space="preserve">77/15 Hà Tôn Quyền </t>
  </si>
  <si>
    <t>2025-03-03T01:23:00.1413395Z</t>
  </si>
  <si>
    <t>280A+304</t>
  </si>
  <si>
    <t>Phạm Thế Hiển 5</t>
  </si>
  <si>
    <t>2;3;4</t>
  </si>
  <si>
    <t>sn 304/158</t>
  </si>
  <si>
    <t>2025-03-03T08:34:55.6955927Z</t>
  </si>
  <si>
    <t>285;303;315</t>
  </si>
  <si>
    <t>Trần Bình Trọng 3</t>
  </si>
  <si>
    <t>303/10</t>
  </si>
  <si>
    <t>2025-03-03T08:40:30.1754135Z</t>
  </si>
  <si>
    <t>Hẻm 129 Nguyễn Tri Phương</t>
  </si>
  <si>
    <t>129/4</t>
  </si>
  <si>
    <t>2025-03-04T09:59:56.7809731Z</t>
  </si>
  <si>
    <t>Hẻm 149 Nguyễn Tri Phương</t>
  </si>
  <si>
    <t>155 Nguyễn Tri Phương</t>
  </si>
  <si>
    <t>149/21 Nguyễn Tri Phương</t>
  </si>
  <si>
    <t>2025-03-04T10:02:51.7747528Z</t>
  </si>
  <si>
    <t>Hẻm 161 Bùi Hữu Nghĩa</t>
  </si>
  <si>
    <t>161 Bùi Hữu Nghĩa</t>
  </si>
  <si>
    <t>409/17 Nguyễn Trãi</t>
  </si>
  <si>
    <t>2025-03-04T10:08:06.2466219Z</t>
  </si>
  <si>
    <t>Phạm thế hiển nối dài</t>
  </si>
  <si>
    <t>KDC phú lợi 5</t>
  </si>
  <si>
    <t>3 5 2 9 Phạm thế hiển</t>
  </si>
  <si>
    <t>3539 Phạm thế hiển</t>
  </si>
  <si>
    <t>2025-03-04T10:15:37.0570744Z</t>
  </si>
  <si>
    <t>Phạm thế hiển nói dài</t>
  </si>
  <si>
    <t>Phú lợi 3/2</t>
  </si>
  <si>
    <t>3162 Phạm thế hiển</t>
  </si>
  <si>
    <t>3306 Phạm thế hiển</t>
  </si>
  <si>
    <t>2025-03-04T10:19:14.2573587Z</t>
  </si>
  <si>
    <t xml:space="preserve">Hẻm 57 Trần Nhân Tôn </t>
  </si>
  <si>
    <t xml:space="preserve">Trần Nhân Tôn </t>
  </si>
  <si>
    <t xml:space="preserve">57 Trần Nhân Tôn </t>
  </si>
  <si>
    <t xml:space="preserve">57/41 Trần Nhân Tôn </t>
  </si>
  <si>
    <t>2025-03-11T08:47:10.8835574Z</t>
  </si>
  <si>
    <t>Hẻm 521 Cách Mạng Tháng 8</t>
  </si>
  <si>
    <t>Cách Mạng Tháng 8</t>
  </si>
  <si>
    <t>Hẻm 463 CMT8 -1</t>
  </si>
  <si>
    <t>SN 524 Cách Mạng Tháng 8</t>
  </si>
  <si>
    <t xml:space="preserve">521/108 Cách Mạng Tháng 8 </t>
  </si>
  <si>
    <t>2025-03-11T08:58:23.8060238Z</t>
  </si>
  <si>
    <t xml:space="preserve">Hẻm 195 Bình Thới </t>
  </si>
  <si>
    <t xml:space="preserve">Hẻm 195 bình thới </t>
  </si>
  <si>
    <t xml:space="preserve">Bình thới </t>
  </si>
  <si>
    <t>Bình thới 6</t>
  </si>
  <si>
    <t xml:space="preserve">Đường Bình thới </t>
  </si>
  <si>
    <t>Số nhà 195/37/8</t>
  </si>
  <si>
    <t>2026-04-21T04:34:58.1226982Z</t>
  </si>
  <si>
    <t xml:space="preserve">Phương </t>
  </si>
  <si>
    <t>Hẻm 175 Huỳnh Văn bánh</t>
  </si>
  <si>
    <t>Huỳnh văn  bánh</t>
  </si>
  <si>
    <t>Phú nhuận</t>
  </si>
  <si>
    <t>HUỲNH VĂN BÁNH 4</t>
  </si>
  <si>
    <t>Hẻm 175 huỳnh văn bánh</t>
  </si>
  <si>
    <t>2026-04-21T06:29:53.7691752Z</t>
  </si>
  <si>
    <t>Hậu</t>
  </si>
  <si>
    <t>Hẻm 163  huỳnh văn bánh</t>
  </si>
  <si>
    <t>Huỳnh văn bánh</t>
  </si>
  <si>
    <t>Huỳnh văn bánh 4</t>
  </si>
  <si>
    <t>Hẻm 163 huỳnh văn bánh</t>
  </si>
  <si>
    <t>2026-04-21T06:32:33.1171869Z</t>
  </si>
  <si>
    <t>Hẻm 238</t>
  </si>
  <si>
    <t>Đội cung</t>
  </si>
  <si>
    <t xml:space="preserve">Đường đội cũng </t>
  </si>
  <si>
    <t>SN 195/41</t>
  </si>
  <si>
    <t>2026-04-21T07:31:13.1816440Z</t>
  </si>
  <si>
    <t>3cần 2,5m, cáp nguồn 80m, cáp lên đèn 10,5m, kẹp nguồn 6, kẹp đèn 9, BL 16x300( 5), treo cáp 4, kẹp dừng 2</t>
  </si>
  <si>
    <t>Hẻm 160</t>
  </si>
  <si>
    <t>Hẻm 181bình thới</t>
  </si>
  <si>
    <t>Hẻm 160/7</t>
  </si>
  <si>
    <t>2026-04-21T07:55:13.3364978Z</t>
  </si>
  <si>
    <t xml:space="preserve">3cần 2,5m, cáp nguồn 46m, cáp lên đèn 13m, kẹp đèn 9, kẹp nguồn 6, BL16x300(3), kẹp dừng 2 , treo cáp11 </t>
  </si>
  <si>
    <t>Hẻm 177/6</t>
  </si>
  <si>
    <t>Bình thới</t>
  </si>
  <si>
    <t>4,5m</t>
  </si>
  <si>
    <t>2026-04-21T08:04:49.5647552Z</t>
  </si>
  <si>
    <t>3cần 2,5, cáp nguồn 55m, cáp lên đèn 10,5m , kẹp đèn 9, kẹp nguồn 12, BL16x300(4), kẹp dừng 4, treo cáp 2</t>
  </si>
  <si>
    <t xml:space="preserve">Hẻm 181J </t>
  </si>
  <si>
    <t>Hẻm 181 bình thới</t>
  </si>
  <si>
    <t>2026-04-21T08:11:54.9467847Z</t>
  </si>
  <si>
    <t>2cần 3,8, cáp nguồn 9m, cáp lên đèn 10m , kẹp nguồn 6, BL 16x300(2), dừng cáp 2</t>
  </si>
  <si>
    <t>Hẻm 273</t>
  </si>
  <si>
    <t>Tô Hiến Thành</t>
  </si>
  <si>
    <t xml:space="preserve">Hoà hưng </t>
  </si>
  <si>
    <t>7m</t>
  </si>
  <si>
    <t xml:space="preserve">Tô Hiến Thành </t>
  </si>
  <si>
    <t xml:space="preserve">Hẻm 273/45 </t>
  </si>
  <si>
    <t>2026-04-21T08:22:33.6230898Z</t>
  </si>
  <si>
    <t>12cần 3,8, cáp nguồn nổi 193m , cáp lên đèn 60m, kẹp đèn 36 , kẹp nguồn 16, BL16x300(12), treo cáp 8, dừng cáp 6, ống cắm 65/50( 34m) đại inox 3bộ, cáp ngầm 36,5 m , đào bê tông xì măng 27m</t>
  </si>
  <si>
    <t xml:space="preserve">hẻm 180  </t>
  </si>
  <si>
    <t>Nguyễn Hữu Cảnh</t>
  </si>
  <si>
    <t>Hẻm 180 Nguyễn Hữu Cảnh</t>
  </si>
  <si>
    <t>180/30</t>
  </si>
  <si>
    <t>180/28/29</t>
  </si>
  <si>
    <t>2026-04-23T11:20:31.0918053Z</t>
  </si>
  <si>
    <t>nhựa</t>
  </si>
  <si>
    <t>Hẻm 180</t>
  </si>
  <si>
    <t>Hẽm 180 Nguyễn Hữu Cảnh</t>
  </si>
  <si>
    <t>180/77/2</t>
  </si>
  <si>
    <t>182/125</t>
  </si>
  <si>
    <t>2026-04-23T11:24:32.2599175Z</t>
  </si>
  <si>
    <t>Thạnh mỹ Tây</t>
  </si>
  <si>
    <t>180/45/7</t>
  </si>
  <si>
    <t>2026-04-23T11:28:10.2522592Z</t>
  </si>
  <si>
    <t xml:space="preserve">Hẻm 658- CMT8 </t>
  </si>
  <si>
    <t xml:space="preserve">Đường CMT8 </t>
  </si>
  <si>
    <t xml:space="preserve">Q3(cũ </t>
  </si>
  <si>
    <t xml:space="preserve">Phường nhiêu lộc </t>
  </si>
  <si>
    <t>Tủ CMT8 -19</t>
  </si>
  <si>
    <t>658/7</t>
  </si>
  <si>
    <t xml:space="preserve">7-đèn </t>
  </si>
  <si>
    <t>2026-04-24T04:11:52.6036289Z</t>
  </si>
  <si>
    <t xml:space="preserve">Đức </t>
  </si>
  <si>
    <t xml:space="preserve">Tân cường đèn hẻm </t>
  </si>
  <si>
    <t>Hẻm 495/4</t>
  </si>
  <si>
    <t>10cũ</t>
  </si>
  <si>
    <t xml:space="preserve">Diên Hồng </t>
  </si>
  <si>
    <t xml:space="preserve">Hẻm 495Tô hiến thành </t>
  </si>
  <si>
    <t>4đèn</t>
  </si>
  <si>
    <t>2026-04-24T04:34:02.7207154Z</t>
  </si>
  <si>
    <t>Cần đèn HTLTL 4 , cáp nguồn 83m, cáp đèn 14m, kẹp đèn 12cái, kẹp nguồn 12cái, BL 16x300( 5bộ), treo cáp 2cái , kẹp dừng 4cái</t>
  </si>
  <si>
    <t>Hẻm 382</t>
  </si>
  <si>
    <t xml:space="preserve">Điện Biên phủ </t>
  </si>
  <si>
    <t xml:space="preserve">10 cũ </t>
  </si>
  <si>
    <t>Vườn lài</t>
  </si>
  <si>
    <t>ĐBP 3</t>
  </si>
  <si>
    <t xml:space="preserve">Ba tháng Hai </t>
  </si>
  <si>
    <t>2026-04-24T05:06:50.1051695Z</t>
  </si>
  <si>
    <t>Cần đèn HTLTL3, B2(1), TTLTN 2, cáp nguồn 117m, cáp lên đèn 21m, dừng cáp 4, treo cáp 4, BL 16x300( 7bộ), kẹp nguồn 10, kẹp đèn 18, cáp ngầm 37m, ống cam65/50 ( 36m ), BTXM 29m</t>
  </si>
  <si>
    <t>Hẻm 451</t>
  </si>
  <si>
    <t>Hẻm 451THT2</t>
  </si>
  <si>
    <t>Hẻm 451THT</t>
  </si>
  <si>
    <t>451/36/32</t>
  </si>
  <si>
    <t>2026-04-24T06:24:46.7011755Z</t>
  </si>
  <si>
    <t>Cần đen HTLTL2, HTLBL1HTLLLĐN 1, cáp nguồn 91m, cáp lên đèn14m, kẹp đèn 12, kẹp nguồn 6, BL 16x300(5), treo cáp 4, kẹp dừng 2</t>
  </si>
  <si>
    <t xml:space="preserve">220 trần hưng đạo </t>
  </si>
  <si>
    <t xml:space="preserve">5 cũ </t>
  </si>
  <si>
    <t xml:space="preserve">Chợ lớn </t>
  </si>
  <si>
    <t>Phan phú Tiên 1</t>
  </si>
  <si>
    <t>Hẻm 220</t>
  </si>
  <si>
    <t>2026-05-09T01:24:27.9472536Z</t>
  </si>
  <si>
    <t>Đường nhựa</t>
  </si>
  <si>
    <t>Vỉa hè các loại</t>
  </si>
  <si>
    <t>Vỉa hè bê tông</t>
  </si>
  <si>
    <t>Vỉa hè đá</t>
  </si>
  <si>
    <t>Số đèn thu hồi</t>
  </si>
  <si>
    <t>CD cáp thu hồi</t>
  </si>
  <si>
    <t>1, 2</t>
  </si>
  <si>
    <t>Cao Su 3,4,5</t>
  </si>
  <si>
    <t>Không</t>
  </si>
  <si>
    <t>Nguyễn Trãi</t>
  </si>
  <si>
    <t>Tính</t>
  </si>
  <si>
    <t>ngầm hóa NGUYỄN BIỂU ( cầu chữ Y - Nguyễn Trãi ) P1+P2, Q5</t>
  </si>
  <si>
    <t>Ba Tháng Hai</t>
  </si>
  <si>
    <t>Điện Biên Phủ</t>
  </si>
  <si>
    <t>Nguyễn Duy Dương</t>
  </si>
  <si>
    <t>Vĩnh Viễn</t>
  </si>
  <si>
    <t>Ngô Quyền</t>
  </si>
  <si>
    <t>Nguyễn Chí Thanh</t>
  </si>
  <si>
    <t>Phạm Đức Sơn 1 + 2+ An Dương Vương 4</t>
  </si>
  <si>
    <t>Hoàng Ngân</t>
  </si>
  <si>
    <t>Trương Đình Hội</t>
  </si>
  <si>
    <t>Dương Quang Đông, 817 Tạ Quang Bửu, 817A Tạ Quang Bửu, 394 Phạm Hùng</t>
  </si>
  <si>
    <t>Tạ Quang Bửu 1, Tạ Quang Bửu 1/2A</t>
  </si>
  <si>
    <t>Tạ Quang Bửu</t>
  </si>
  <si>
    <t>394 Phạm Hùng</t>
  </si>
  <si>
    <t>Trần Thị Nơi</t>
  </si>
  <si>
    <t>Võ Liêm Sơn</t>
  </si>
  <si>
    <t>Phạm Thị Tánh</t>
  </si>
  <si>
    <t>Hẻm 42 Đường 643 Phạm Nhữ Tăng</t>
  </si>
  <si>
    <t>Nguyễn Thị Mười</t>
  </si>
  <si>
    <t>218 Cao Lỗ</t>
  </si>
  <si>
    <t>KDC Cao Lỗ 1</t>
  </si>
  <si>
    <t>Có</t>
  </si>
  <si>
    <t>232 Cao Lỗ</t>
  </si>
  <si>
    <t>270 Cao Lỗ</t>
  </si>
  <si>
    <t>Him Lam 2, Him Lam 3, Phồn Vinh 1</t>
  </si>
  <si>
    <t>Huỳnh Văn Bánh</t>
  </si>
  <si>
    <t>10, 11, 12, 13, 14 và 15</t>
  </si>
  <si>
    <t xml:space="preserve">   </t>
  </si>
  <si>
    <t>Đặng Văn Ngữ</t>
  </si>
  <si>
    <t>Phan Đình Phùng</t>
  </si>
  <si>
    <t>Lê Hồng Phúc</t>
  </si>
  <si>
    <t>Chưa đo thu hồi.</t>
  </si>
  <si>
    <t>Trần Huy Liệu</t>
  </si>
  <si>
    <t>8, 12</t>
  </si>
  <si>
    <t>Trần Huy Liệu 1, Trần Huy Liệu 2, Trần Huy Liệu 3</t>
  </si>
  <si>
    <t>Hoàng Văn Thụ</t>
  </si>
  <si>
    <t xml:space="preserve">Tạ Uyên </t>
  </si>
  <si>
    <t xml:space="preserve">Thọ Tường </t>
  </si>
  <si>
    <t xml:space="preserve">Tạ Quyên </t>
  </si>
  <si>
    <t>12 (  12 trụ BT 8m)</t>
  </si>
  <si>
    <t>Ông Tích 2+Trần Quý 1</t>
  </si>
  <si>
    <t>3 Tháng 2</t>
  </si>
  <si>
    <t xml:space="preserve">Tạ uyên </t>
  </si>
  <si>
    <t>12 ( 12 trụ BT 8m)</t>
  </si>
  <si>
    <t xml:space="preserve">Triệu Quang phục </t>
  </si>
  <si>
    <t>10,13,11,12</t>
  </si>
  <si>
    <t xml:space="preserve">HTLO1, Trần Hưng Đạo 8, Ký Hòa, Hữu Chí </t>
  </si>
  <si>
    <t xml:space="preserve">Võ Văn Kiệt </t>
  </si>
  <si>
    <t xml:space="preserve">Bà Triệu </t>
  </si>
  <si>
    <t xml:space="preserve">Phạm Hữu Chí </t>
  </si>
  <si>
    <t xml:space="preserve">Thuận Kiều </t>
  </si>
  <si>
    <t>Trần Chánh chiếu</t>
  </si>
  <si>
    <t xml:space="preserve">Nguyễn Thị Nhỏ </t>
  </si>
  <si>
    <t xml:space="preserve">Phú Hữu </t>
  </si>
  <si>
    <t xml:space="preserve">Hồng Bàng 6; Phú Hữu </t>
  </si>
  <si>
    <t>15 ;11</t>
  </si>
  <si>
    <t xml:space="preserve">Trang Tử </t>
  </si>
  <si>
    <t xml:space="preserve">Học Lạc </t>
  </si>
  <si>
    <t xml:space="preserve">Bùi Hữu Nghĩa </t>
  </si>
  <si>
    <t>7 + 5</t>
  </si>
  <si>
    <t xml:space="preserve">    </t>
  </si>
  <si>
    <t>8; 14</t>
  </si>
  <si>
    <t xml:space="preserve"> Đào Tấn </t>
  </si>
  <si>
    <t xml:space="preserve">Kim Biên </t>
  </si>
  <si>
    <t xml:space="preserve">Bãi Sậy </t>
  </si>
  <si>
    <t xml:space="preserve">Phan Văn Trị </t>
  </si>
  <si>
    <t xml:space="preserve">Mẫn Đạt, Phước Thiện 3 </t>
  </si>
  <si>
    <t>7,8</t>
  </si>
  <si>
    <t>589 PVT( cuối đường)</t>
  </si>
  <si>
    <t>ADV 2,3,4,5,6,7,8</t>
  </si>
  <si>
    <t xml:space="preserve">Nguyễn Văn Cừ </t>
  </si>
  <si>
    <t>lắp đặt ( di dời tủ dưới 5 đèn)</t>
  </si>
  <si>
    <t xml:space="preserve">Hồ Nước 2; Thọ Tường </t>
  </si>
  <si>
    <t>Trần Quý 1; Ông Tích 2</t>
  </si>
  <si>
    <t>3 tháng 2</t>
  </si>
  <si>
    <t xml:space="preserve">Chiêu Anh Các </t>
  </si>
  <si>
    <t xml:space="preserve">Nhiêu Tâm </t>
  </si>
  <si>
    <t xml:space="preserve">Nhiêu Tâm 24 </t>
  </si>
  <si>
    <t xml:space="preserve">Bạch Vân </t>
  </si>
  <si>
    <t xml:space="preserve">Nghĩa Thục </t>
  </si>
  <si>
    <t xml:space="preserve">Trần Tuần Khải </t>
  </si>
  <si>
    <t xml:space="preserve">Huỳnh Mẫn Đạt </t>
  </si>
  <si>
    <t xml:space="preserve">TP8,ADV 7, ADV8, Phước Thiện 3, Chợ Quán </t>
  </si>
  <si>
    <t xml:space="preserve">Hùng Vương </t>
  </si>
  <si>
    <t>Hùng Vương 1;2; Nguyễn Chí Thanh 1</t>
  </si>
  <si>
    <t xml:space="preserve">Lý Thái Tổ </t>
  </si>
  <si>
    <t>300( chèn)+180( Tezero)+ 20( cỏ)</t>
  </si>
  <si>
    <t>Trần Nhân Tôn</t>
  </si>
  <si>
    <t>Nhân Tôn, Nhân Tôn 2</t>
  </si>
  <si>
    <t xml:space="preserve">Ngô Gia Tự </t>
  </si>
  <si>
    <t xml:space="preserve">14+2đ( nhánh rẽ Lô cc )+ di dời 4 đ </t>
  </si>
  <si>
    <t>Trường Sơn, Hồng Lĩnh 1, Cửu Long 1, Thành Thái nd1</t>
  </si>
  <si>
    <t>8, 10</t>
  </si>
  <si>
    <t>Thành Thái nd</t>
  </si>
  <si>
    <t>200 gạch các loại; 147 ( chèn sâu)</t>
  </si>
  <si>
    <t>32( Trường Sơn 31+ Đồng Nai 1)</t>
  </si>
  <si>
    <t>đường số 5( hẻm 18 Lê Bôi)</t>
  </si>
  <si>
    <t xml:space="preserve">đd sn 18/41 </t>
  </si>
  <si>
    <t xml:space="preserve">3 gạch chèn </t>
  </si>
  <si>
    <t>5,14</t>
  </si>
  <si>
    <t>Âu Cơ 1,2,3,4( thu hồi 2 tủ)</t>
  </si>
  <si>
    <t xml:space="preserve">VX Âu Cơ </t>
  </si>
  <si>
    <t>4,6</t>
  </si>
  <si>
    <t>Công Trừng 3, Trần Quý 1TC, Trần Quý 1, Tân Khai 3, Chợ Thiếc 1</t>
  </si>
  <si>
    <t>6, 4</t>
  </si>
  <si>
    <t>Chợ Thiếc 1, Chợ Thiết 1 TC</t>
  </si>
  <si>
    <t>Ba Tháng Hai - Lê Đại Hành</t>
  </si>
  <si>
    <t>Phạm Hữu Chí</t>
  </si>
  <si>
    <t>Phước</t>
  </si>
  <si>
    <t xml:space="preserve">Nguyễn Thị Minh Khai </t>
  </si>
  <si>
    <t xml:space="preserve">Bến nghé </t>
  </si>
  <si>
    <t>Nguyễn Thị Minh khai 7</t>
  </si>
  <si>
    <t xml:space="preserve">Đinh Tiên Hoàng </t>
  </si>
  <si>
    <t xml:space="preserve">15 bộ </t>
  </si>
  <si>
    <t>436 m</t>
  </si>
  <si>
    <t xml:space="preserve">Không có </t>
  </si>
  <si>
    <t>14 bộ HPS 250W</t>
  </si>
  <si>
    <t>480 m</t>
  </si>
  <si>
    <t>18 m cỏ</t>
  </si>
  <si>
    <t>Nguyễn Thị Minh khai 11 ( tên cũ tâm lý 2 )</t>
  </si>
  <si>
    <t xml:space="preserve">4 làn </t>
  </si>
  <si>
    <t xml:space="preserve">Cầu Thị Nghè </t>
  </si>
  <si>
    <t xml:space="preserve">17 bộ </t>
  </si>
  <si>
    <t>360 m</t>
  </si>
  <si>
    <t xml:space="preserve">Không </t>
  </si>
  <si>
    <t>17 bộ HPS 250W</t>
  </si>
  <si>
    <t>525 m</t>
  </si>
  <si>
    <t>40 m cỏ ( thứ hồi 1 tủ Nguyễn Thị Minh Khai 10 )</t>
  </si>
  <si>
    <t>Nguyễn Thị Minh Khai</t>
  </si>
  <si>
    <t xml:space="preserve">Đa kao </t>
  </si>
  <si>
    <t>Đinh Tiên Hoàng</t>
  </si>
  <si>
    <t>Hai Bà Trưng</t>
  </si>
  <si>
    <t xml:space="preserve">16 trụ,20 đèn </t>
  </si>
  <si>
    <t>Gạch sâu 53m, gạch 30*30 453m</t>
  </si>
  <si>
    <t>13,5</t>
  </si>
  <si>
    <t>Đa kao</t>
  </si>
  <si>
    <t>Nguyễn Thị Minh Khai 10</t>
  </si>
  <si>
    <t>Hoàng Sa</t>
  </si>
  <si>
    <t xml:space="preserve">17 trụ,19 đèn </t>
  </si>
  <si>
    <t>Gạch sâu 91m,cỏ 8m, gạch 30*30 506m</t>
  </si>
  <si>
    <t xml:space="preserve">Nguyễn Du </t>
  </si>
  <si>
    <t>Nguyễn Du 1. ( Bưu Điện 2)</t>
  </si>
  <si>
    <t>8m</t>
  </si>
  <si>
    <t xml:space="preserve">2 Làn </t>
  </si>
  <si>
    <t xml:space="preserve">Góc Hai Bà Trưng/Nguyễn Du </t>
  </si>
  <si>
    <t xml:space="preserve">Góc Đồng Khởi/Nguyễn Du </t>
  </si>
  <si>
    <t>174m</t>
  </si>
  <si>
    <t xml:space="preserve">6 bộ </t>
  </si>
  <si>
    <t>154m</t>
  </si>
  <si>
    <t xml:space="preserve">Hồ Phú Trường </t>
  </si>
  <si>
    <t>Công xã Paris 1 (An Ninh 2)</t>
  </si>
  <si>
    <t xml:space="preserve">84 Nguyễn Du </t>
  </si>
  <si>
    <t xml:space="preserve">109 Nguyễn Du </t>
  </si>
  <si>
    <t xml:space="preserve">287m gạch tago </t>
  </si>
  <si>
    <t>258m</t>
  </si>
  <si>
    <t>Hai Bà Trưng 2(Đồn Đất)</t>
  </si>
  <si>
    <t xml:space="preserve">33 Nguyễn Du </t>
  </si>
  <si>
    <t xml:space="preserve">146m gạch tago </t>
  </si>
  <si>
    <t>129m</t>
  </si>
  <si>
    <t>Mạc Đỉnh Chi 1 (SEDARIC)</t>
  </si>
  <si>
    <t xml:space="preserve">37 Tôn Đức Thắng </t>
  </si>
  <si>
    <t xml:space="preserve">370m gạch tago </t>
  </si>
  <si>
    <t>Hưng Phú 11( di dời tủ)</t>
  </si>
  <si>
    <t>đường xóm củi ( rạch ụ cây)</t>
  </si>
  <si>
    <t xml:space="preserve">Dã Tượng </t>
  </si>
  <si>
    <t>470 AL+ 470 2c/s</t>
  </si>
  <si>
    <t xml:space="preserve"> lắp đặt lại 1 đèn Ba Đình+Hưng Phú( di dời 20m cáp)+ lắp TC 1 tdk đường Dã Tượng </t>
  </si>
  <si>
    <t xml:space="preserve">chân cầu Chánh Hưng </t>
  </si>
  <si>
    <t>cáp AL 430m+ cáp 2cs 430m</t>
  </si>
  <si>
    <t xml:space="preserve">Trần Quang Khải </t>
  </si>
  <si>
    <t xml:space="preserve">Tân Định </t>
  </si>
  <si>
    <t>Trần Quang Khải 1</t>
  </si>
  <si>
    <t>8,5</t>
  </si>
  <si>
    <t>2bis</t>
  </si>
  <si>
    <t>Trần Quang Khải 3</t>
  </si>
  <si>
    <t>Trần Quang Khải 4</t>
  </si>
  <si>
    <t>146bis</t>
  </si>
  <si>
    <t>Bà huyện Thanh Quan</t>
  </si>
  <si>
    <t>Bà huyện Thanh Quan 2</t>
  </si>
  <si>
    <t>127 Bà huyện Thanh Quan</t>
  </si>
  <si>
    <t>115 Bà huyện Thanh Quan</t>
  </si>
  <si>
    <t>Gạch 40*40</t>
  </si>
  <si>
    <t xml:space="preserve">Tống Văn Khanh </t>
  </si>
  <si>
    <t>Tú xương 1</t>
  </si>
  <si>
    <t>Võ Thị sáu</t>
  </si>
  <si>
    <t xml:space="preserve">8 trụ,11 đèn </t>
  </si>
  <si>
    <t>198,5 gạch 40*40,cỏ 6m</t>
  </si>
  <si>
    <t xml:space="preserve">6 cần, 6 trụ bê tông </t>
  </si>
  <si>
    <t>Thu hồi 1 trụ stk ts 11 đường Tú xương</t>
  </si>
  <si>
    <t>Bà huyện Thanh Quan 3</t>
  </si>
  <si>
    <t>Nguyễn Đình Chiểu</t>
  </si>
  <si>
    <t>Gạch 348+2 cỏ</t>
  </si>
  <si>
    <t xml:space="preserve">10 cần+10 trụ </t>
  </si>
  <si>
    <t>Thu hồi tủ Bà huyện Thanh Quan 3</t>
  </si>
  <si>
    <t>Nguyễn Thị diệu 1</t>
  </si>
  <si>
    <t>Cỏ 4m</t>
  </si>
  <si>
    <t xml:space="preserve">9 cần+ 9 trụ </t>
  </si>
  <si>
    <t>Thu hồi tủ Bà huyện</t>
  </si>
  <si>
    <t>Trần Quốc Thảo</t>
  </si>
  <si>
    <t>Điện Biên Phủ 5</t>
  </si>
  <si>
    <t>215,5</t>
  </si>
  <si>
    <t>Hạ ngầm tủ điện biên phủ 5</t>
  </si>
  <si>
    <t xml:space="preserve">Cầu Chánh Hưng </t>
  </si>
  <si>
    <t xml:space="preserve">370+8m gạch tự chèn </t>
  </si>
  <si>
    <t>Cáp AL 380m+cáp 2cs 380m</t>
  </si>
  <si>
    <t xml:space="preserve">thu hồi 2 tdk </t>
  </si>
  <si>
    <t xml:space="preserve">Lê Quang Kim </t>
  </si>
  <si>
    <t xml:space="preserve">di dời 1cần đèn+ 1 tủ điều khiển vào đường Lê Quang Kim </t>
  </si>
  <si>
    <t xml:space="preserve">Phạm Ngọc Thạch </t>
  </si>
  <si>
    <t>Phạm Ngọc Thạch 1</t>
  </si>
  <si>
    <t xml:space="preserve">93 Võ Thị sáu </t>
  </si>
  <si>
    <t xml:space="preserve">Công trường quốc tế </t>
  </si>
  <si>
    <t xml:space="preserve">Phùng Khắc Khoan </t>
  </si>
  <si>
    <t>ĐaKao</t>
  </si>
  <si>
    <t>Phùng Khắc Khoan 1</t>
  </si>
  <si>
    <t>8,5m</t>
  </si>
  <si>
    <t xml:space="preserve">01 Phùng Khắc Khoan </t>
  </si>
  <si>
    <t xml:space="preserve">29 Phùng Khắc Khoan </t>
  </si>
  <si>
    <t xml:space="preserve">4 m gạch tago </t>
  </si>
  <si>
    <t>333,5m</t>
  </si>
  <si>
    <t>14m</t>
  </si>
  <si>
    <t>Phùng Khắc Khoan 2</t>
  </si>
  <si>
    <t xml:space="preserve">116 Nguyễn Đình Chiểu </t>
  </si>
  <si>
    <t xml:space="preserve">65 Phùng Khắc Khoan </t>
  </si>
  <si>
    <t xml:space="preserve">13m gạch tago </t>
  </si>
  <si>
    <t>Võ Thị Sáu</t>
  </si>
  <si>
    <t>Trần Quốc Thảo 3</t>
  </si>
  <si>
    <t>ĐIỆN BIÊN PHỦ</t>
  </si>
  <si>
    <t>NGÔ THỜI NHIỆM</t>
  </si>
  <si>
    <t>157,5</t>
  </si>
  <si>
    <t>Trần Quốc Thảo 4</t>
  </si>
  <si>
    <t>Ngô Thời Nhiệm</t>
  </si>
  <si>
    <t>Võ Văn Tần</t>
  </si>
  <si>
    <t>Nguyễn Du 4</t>
  </si>
  <si>
    <t>Đoạn đầu 15m đoạn kế 8 m</t>
  </si>
  <si>
    <t xml:space="preserve">116 Nguyễn Du </t>
  </si>
  <si>
    <t xml:space="preserve">139 Nguyễn Du </t>
  </si>
  <si>
    <t xml:space="preserve">10 đèn </t>
  </si>
  <si>
    <t>150m</t>
  </si>
  <si>
    <t>9m</t>
  </si>
  <si>
    <t>151m</t>
  </si>
  <si>
    <t xml:space="preserve">Thu hồi tủ Nguyễn Du 3 chuyển 3 trụ 5 đèn qua tủ Nguyễn Du 4 </t>
  </si>
  <si>
    <t>Cách mạng tháng tám 1</t>
  </si>
  <si>
    <t xml:space="preserve">141 Nguyễn Du </t>
  </si>
  <si>
    <t xml:space="preserve">161 Nguyễn Du </t>
  </si>
  <si>
    <t xml:space="preserve">9 đèn </t>
  </si>
  <si>
    <t xml:space="preserve">239 m gạch tago </t>
  </si>
  <si>
    <t>16m</t>
  </si>
  <si>
    <t xml:space="preserve">Đặng Trần Côn </t>
  </si>
  <si>
    <t>Cách mạng tháng 8 _1</t>
  </si>
  <si>
    <t>5 m</t>
  </si>
  <si>
    <t xml:space="preserve">2 Đặng Trần Côn </t>
  </si>
  <si>
    <t xml:space="preserve">4 đèn </t>
  </si>
  <si>
    <t xml:space="preserve">27 m gạch tago </t>
  </si>
  <si>
    <t>24m</t>
  </si>
  <si>
    <t>Nguyễn Trung Trực 3</t>
  </si>
  <si>
    <t>8 m</t>
  </si>
  <si>
    <t xml:space="preserve">Góc NKKN/ Nguyễn Du </t>
  </si>
  <si>
    <t xml:space="preserve">Góc Trương Định/ Nguyễn Du </t>
  </si>
  <si>
    <t xml:space="preserve">16 Đèn </t>
  </si>
  <si>
    <t xml:space="preserve">461m gạch tago </t>
  </si>
  <si>
    <t>6 m</t>
  </si>
  <si>
    <t xml:space="preserve">Trụ số 5 gần với trụ số 14 nguyễn trung Trực nên thay cần đơn TS 14  Nguyễn Trung Trực thành cần đôi góc 40° </t>
  </si>
  <si>
    <t xml:space="preserve">KDC An Dương Vương </t>
  </si>
  <si>
    <t>KDC An Dương Vương 1</t>
  </si>
  <si>
    <t>5; 8</t>
  </si>
  <si>
    <t xml:space="preserve">đường nội bộ </t>
  </si>
  <si>
    <t xml:space="preserve">375 + 10m cỏ </t>
  </si>
  <si>
    <t xml:space="preserve">chưa tính thu hồi 1 trụ bê tông+ 2 bộ+ 2 cần thuộc Công Viên </t>
  </si>
  <si>
    <t>KDC An Dương Vương 2</t>
  </si>
  <si>
    <t>5;10;15</t>
  </si>
  <si>
    <t xml:space="preserve">nội bộ </t>
  </si>
  <si>
    <t xml:space="preserve">245 + 30m đất </t>
  </si>
  <si>
    <t>Nguyễn Thiện Thuật 1</t>
  </si>
  <si>
    <t xml:space="preserve">Điện biên phủ </t>
  </si>
  <si>
    <t xml:space="preserve">Cường </t>
  </si>
  <si>
    <t xml:space="preserve">Nguyễn Thượng Hiền </t>
  </si>
  <si>
    <t>St 11 _ 12</t>
  </si>
  <si>
    <t>Cách mạng T8</t>
  </si>
  <si>
    <t>Cách mạng T8 _ 5</t>
  </si>
  <si>
    <t xml:space="preserve">Nguyễn Đình Chiểu </t>
  </si>
  <si>
    <t>St 4_5</t>
  </si>
  <si>
    <t xml:space="preserve">An điềm </t>
  </si>
  <si>
    <t>An điềm 1 + an điềm 2</t>
  </si>
  <si>
    <t xml:space="preserve">Ngô quyền </t>
  </si>
  <si>
    <t xml:space="preserve">Tản đà </t>
  </si>
  <si>
    <t xml:space="preserve">Gạch terrazzo </t>
  </si>
  <si>
    <t xml:space="preserve">Bê tông </t>
  </si>
  <si>
    <t xml:space="preserve">Phan phú Tiên </t>
  </si>
  <si>
    <t xml:space="preserve">Phan phú Tiên 1+ phan phú Tiên 2 </t>
  </si>
  <si>
    <t xml:space="preserve">Võ văn Kiệt </t>
  </si>
  <si>
    <t xml:space="preserve">Xóm chỉ </t>
  </si>
  <si>
    <t>6,5</t>
  </si>
  <si>
    <t xml:space="preserve">Ngô gia tự </t>
  </si>
  <si>
    <t xml:space="preserve">An Đông </t>
  </si>
  <si>
    <t xml:space="preserve">Ngô gia tự 4 </t>
  </si>
  <si>
    <t xml:space="preserve">Vòng xoay ngã sáu </t>
  </si>
  <si>
    <t xml:space="preserve">Nguyễn Duy Dương </t>
  </si>
  <si>
    <t>Nguyễn Duy Dương 1</t>
  </si>
  <si>
    <t xml:space="preserve">Tân hàng </t>
  </si>
  <si>
    <t>Tản đà 1</t>
  </si>
  <si>
    <t xml:space="preserve">Phạm đôn </t>
  </si>
  <si>
    <t xml:space="preserve">Hải thượng lãn ông </t>
  </si>
  <si>
    <t xml:space="preserve">Phù đổng Thiên Vương </t>
  </si>
  <si>
    <t>Trần Hưng Đạo 29</t>
  </si>
  <si>
    <t xml:space="preserve">An Bình </t>
  </si>
  <si>
    <t>An Bình 4</t>
  </si>
  <si>
    <t>Cột1</t>
  </si>
  <si>
    <t xml:space="preserve">         </t>
  </si>
  <si>
    <t>Số đèn hiện hữu</t>
  </si>
  <si>
    <t>Công suất đèn hiện hữu</t>
  </si>
  <si>
    <t>Dây lên đèn</t>
  </si>
  <si>
    <t>Năm lắp đặt</t>
  </si>
  <si>
    <t>link</t>
  </si>
  <si>
    <t>bvcb</t>
  </si>
  <si>
    <t>bvc</t>
  </si>
  <si>
    <t>bcvbv</t>
  </si>
  <si>
    <t>bvcbvc</t>
  </si>
  <si>
    <t>vbcb</t>
  </si>
  <si>
    <t>Tầm Vu</t>
  </si>
  <si>
    <t>Tầm Vu-1-BT-25</t>
  </si>
  <si>
    <t>Đường Tầm Vu chân Cầu Bình Triệu</t>
  </si>
  <si>
    <t xml:space="preserve">Đường Tầm Vu chân Cầu Kinh Thanh Đa </t>
  </si>
  <si>
    <t>150/100W và 150W</t>
  </si>
  <si>
    <t>9,5</t>
  </si>
  <si>
    <t xml:space="preserve">Cầu Kinh Thanh Đa </t>
  </si>
  <si>
    <t>Cầu Kinh Thanh Đa -1-BT-25</t>
  </si>
  <si>
    <t>Cầu Kinh Thanh Đa ( XVNT đến Bình Quới)</t>
  </si>
  <si>
    <t>Cầu Kinh Thanh Đa ( Bình Quới đến XVNT)</t>
  </si>
  <si>
    <t>250/150W và 70W</t>
  </si>
  <si>
    <t>Chung Cư Nguyễn Văn Đậu</t>
  </si>
  <si>
    <t>CC Nguyễn Văn Đậu-1-BT-5</t>
  </si>
  <si>
    <t xml:space="preserve">Chung cư Nguyễn Văn Đậu </t>
  </si>
  <si>
    <t>100/70W</t>
  </si>
  <si>
    <t xml:space="preserve">Lô G Cư Xá Thanh Đa </t>
  </si>
  <si>
    <t>Lô G Cư Xá Thanh Đa -1-BT-27</t>
  </si>
  <si>
    <t>Xung quanh CV Thanh Đa-2</t>
  </si>
  <si>
    <t>Xung Quanh CV Thanh Đa-2</t>
  </si>
  <si>
    <t>150/100W</t>
  </si>
  <si>
    <t>Lê Lai</t>
  </si>
  <si>
    <t>Lê Lai 1</t>
  </si>
  <si>
    <t>Ts1</t>
  </si>
  <si>
    <t>Ts13</t>
  </si>
  <si>
    <t>10m</t>
  </si>
  <si>
    <t>Nguyễn Thị Nghĩa</t>
  </si>
  <si>
    <t>Ts7</t>
  </si>
  <si>
    <t>250w</t>
  </si>
  <si>
    <t>12m</t>
  </si>
  <si>
    <t>Lê lai</t>
  </si>
  <si>
    <t>Bến thành</t>
  </si>
  <si>
    <t>Nguyễn Văn Tráng 1</t>
  </si>
  <si>
    <t>Ts18</t>
  </si>
  <si>
    <t>Phạm Hồng Thái</t>
  </si>
  <si>
    <t>Trương Định 1</t>
  </si>
  <si>
    <t>Ts3</t>
  </si>
  <si>
    <t>Nguyễn An Ninh</t>
  </si>
  <si>
    <t>Ts4</t>
  </si>
  <si>
    <t>150w</t>
  </si>
  <si>
    <t>Lê Anh Xuân</t>
  </si>
  <si>
    <t>Ts2</t>
  </si>
  <si>
    <t xml:space="preserve">Phạm Hồng Thái </t>
  </si>
  <si>
    <t>Lê thánh Tôn 1</t>
  </si>
  <si>
    <t>Ts6</t>
  </si>
  <si>
    <t xml:space="preserve">Đỗ Quang Đẩu </t>
  </si>
  <si>
    <t>Phạm Ngũ lão 1</t>
  </si>
  <si>
    <t>Ts5</t>
  </si>
  <si>
    <t>Đổ Quang Đẩu nd</t>
  </si>
  <si>
    <t>Đổ Quang Đẩu 1</t>
  </si>
  <si>
    <t xml:space="preserve">Nguyễn đình chiểu </t>
  </si>
  <si>
    <t xml:space="preserve">Nguyễn đình chiểu 1 </t>
  </si>
  <si>
    <t xml:space="preserve">Hoàng Sa đến Nguyễn đình chiểu _ từ Nguyễn đình chiểu đến Hoàng Sa </t>
  </si>
  <si>
    <t xml:space="preserve">Hoàng Sa </t>
  </si>
  <si>
    <t>Trụ 1 đến trụ 18</t>
  </si>
  <si>
    <t>11.5m</t>
  </si>
  <si>
    <t xml:space="preserve">Dương Văn Bình </t>
  </si>
  <si>
    <t xml:space="preserve">Điện Biên phủ 9 </t>
  </si>
  <si>
    <t>Trụ số 1</t>
  </si>
  <si>
    <t>Nguyễn Huy Tự-1</t>
  </si>
  <si>
    <t>Đinh Tiên Hoàng 4</t>
  </si>
  <si>
    <t>Trần Nguyên Đán (cầu Hoàng Hoa thám)</t>
  </si>
  <si>
    <t>Trần Quang Khải 2</t>
  </si>
  <si>
    <t xml:space="preserve">Cuối cầu Hoàng Hoa thám </t>
  </si>
  <si>
    <t>Trụ số 1-2-3-4-12-19-20-21-22-23</t>
  </si>
  <si>
    <t xml:space="preserve">Nguyễn Hữu Cầu </t>
  </si>
  <si>
    <t>Nguyễn Hữu Cầu 1</t>
  </si>
  <si>
    <t xml:space="preserve">Hai bà Trưng </t>
  </si>
  <si>
    <t>Trụ số 1 đến trụ số 12</t>
  </si>
  <si>
    <t xml:space="preserve">Hải Triều </t>
  </si>
  <si>
    <t>Q1</t>
  </si>
  <si>
    <t xml:space="preserve">Sài Gòn </t>
  </si>
  <si>
    <t>Hàm Nghi</t>
  </si>
  <si>
    <t>Nguyễn Huệ</t>
  </si>
  <si>
    <t xml:space="preserve">HPS </t>
  </si>
  <si>
    <t xml:space="preserve">250W </t>
  </si>
  <si>
    <t>Tôn Thất Thiệp</t>
  </si>
  <si>
    <t>Tôn Thất Thiệp 1</t>
  </si>
  <si>
    <t xml:space="preserve">Pasteur </t>
  </si>
  <si>
    <t>Lê Duẩn 2</t>
  </si>
  <si>
    <t xml:space="preserve">Nguyễn Bỉnh Khiêm </t>
  </si>
  <si>
    <t>Lê Duẩn 1</t>
  </si>
  <si>
    <t xml:space="preserve">Công Trường Công Xã Paris </t>
  </si>
  <si>
    <t xml:space="preserve">Tôn Đức Thắng </t>
  </si>
  <si>
    <t xml:space="preserve">12m </t>
  </si>
  <si>
    <t xml:space="preserve">Công Trường Công Trường Xã Paris </t>
  </si>
  <si>
    <t>Công Xã Paris 2</t>
  </si>
  <si>
    <t xml:space="preserve">20 đèn </t>
  </si>
  <si>
    <t xml:space="preserve">Nam Kỳ KHỞI NGHĨA </t>
  </si>
  <si>
    <t xml:space="preserve">Công Trường CÔNG Xã Paris </t>
  </si>
  <si>
    <t xml:space="preserve">8 đèn </t>
  </si>
  <si>
    <t xml:space="preserve">Nguyễn Trung Ngạn </t>
  </si>
  <si>
    <t>Nguyễn Trung Ngạn 1</t>
  </si>
  <si>
    <t>Chứ Mạnh Trinh</t>
  </si>
  <si>
    <t xml:space="preserve">Chu Mạnh Trinh </t>
  </si>
  <si>
    <t>Chu Mạnh Trinh 1</t>
  </si>
  <si>
    <t>Lý Tự Trọng</t>
  </si>
  <si>
    <t xml:space="preserve">Ly Tự Trọng </t>
  </si>
  <si>
    <t xml:space="preserve">Lê Thánh Tôn </t>
  </si>
  <si>
    <t xml:space="preserve">Ngô Văn Năm </t>
  </si>
  <si>
    <t xml:space="preserve">1 đèn </t>
  </si>
  <si>
    <t>11m</t>
  </si>
  <si>
    <t>Ngô Văn Năm 1</t>
  </si>
  <si>
    <t xml:space="preserve">13 đèn </t>
  </si>
  <si>
    <t xml:space="preserve">Phan Chu Trinh </t>
  </si>
  <si>
    <t>Phan Bội Châu 1</t>
  </si>
  <si>
    <t xml:space="preserve">Lê Lai </t>
  </si>
  <si>
    <t xml:space="preserve">150W </t>
  </si>
  <si>
    <t>Phan Chu Trinh</t>
  </si>
  <si>
    <t>Phan Chu Trinh 1</t>
  </si>
  <si>
    <t xml:space="preserve">Phan Bội Châu </t>
  </si>
  <si>
    <t xml:space="preserve">Lê Lợi </t>
  </si>
  <si>
    <t xml:space="preserve">Trước Chợ Bến Thành </t>
  </si>
  <si>
    <t xml:space="preserve">Lưu Văn Lang </t>
  </si>
  <si>
    <t xml:space="preserve">Nguyễn Trung Trực </t>
  </si>
  <si>
    <t xml:space="preserve">Thi Sách </t>
  </si>
  <si>
    <t>Thi Sách 1</t>
  </si>
  <si>
    <t xml:space="preserve">Nguyễn Siêu </t>
  </si>
  <si>
    <t xml:space="preserve">Đông Du </t>
  </si>
  <si>
    <t>Cao Bá Quát</t>
  </si>
  <si>
    <t>Cao Bá Quát 1</t>
  </si>
  <si>
    <t xml:space="preserve">Thái Văn Lung </t>
  </si>
  <si>
    <t>Hai Bà Trưng 1</t>
  </si>
  <si>
    <t xml:space="preserve">Cao Bá Quát </t>
  </si>
  <si>
    <t>Công Trường Lam Sơn</t>
  </si>
  <si>
    <t xml:space="preserve">2 đèn </t>
  </si>
  <si>
    <t xml:space="preserve">Công Trường Lam Sơn </t>
  </si>
  <si>
    <t xml:space="preserve">6 đèn </t>
  </si>
  <si>
    <t xml:space="preserve">Hẻm 82 Mạc Đĩnh Chi </t>
  </si>
  <si>
    <t>Nguyễn Thị Minh Khai 8</t>
  </si>
  <si>
    <t>Mạc Đĩnh Chi</t>
  </si>
  <si>
    <t xml:space="preserve">Công Trường Mê Linh </t>
  </si>
  <si>
    <t>Công Trường Mê Linh 1</t>
  </si>
  <si>
    <t xml:space="preserve">Nguyễn Siêu Nối Dài </t>
  </si>
  <si>
    <t>Nguyễn Siêu 1</t>
  </si>
  <si>
    <t xml:space="preserve">14 đèn </t>
  </si>
  <si>
    <t>150W/ 100W</t>
  </si>
  <si>
    <t xml:space="preserve">Lê Văn Hưu </t>
  </si>
  <si>
    <t>Nguyễn Du 1</t>
  </si>
  <si>
    <t xml:space="preserve">5 đèn </t>
  </si>
  <si>
    <t>Trần Quang Long</t>
  </si>
  <si>
    <t>Ngô Tất Tố-2</t>
  </si>
  <si>
    <t>Ngô Tất Tố</t>
  </si>
  <si>
    <t>nguyễn Bá vinh</t>
  </si>
  <si>
    <t>Khu Thanh Niên Văn Thánh</t>
  </si>
  <si>
    <t>Khu Thanh Niên Văn Thánh-1</t>
  </si>
  <si>
    <t>trụ 1</t>
  </si>
  <si>
    <t>trụ 25</t>
  </si>
  <si>
    <t>150/100</t>
  </si>
  <si>
    <t>Nguyễn Hữu Cảnh-5</t>
  </si>
  <si>
    <t>ts 1</t>
  </si>
  <si>
    <t>ts 5</t>
  </si>
  <si>
    <t>250/150w</t>
  </si>
  <si>
    <t>Nguyễn bá vinh</t>
  </si>
  <si>
    <t>Nguyễn Hữu Cảnh - 4</t>
  </si>
  <si>
    <t>ts1</t>
  </si>
  <si>
    <t>ts 16</t>
  </si>
  <si>
    <t>250/150</t>
  </si>
  <si>
    <t>cầu Thủ Thiêm -1</t>
  </si>
  <si>
    <t>ts 6</t>
  </si>
  <si>
    <t>trụ tháp cầu Thủ Thiêm</t>
  </si>
  <si>
    <t>ts 8</t>
  </si>
  <si>
    <t xml:space="preserve">Xuân Hòa </t>
  </si>
  <si>
    <t>Cách mạng T8 _ 9</t>
  </si>
  <si>
    <t>5 _ 6 _ 7</t>
  </si>
  <si>
    <t xml:space="preserve">Lý Văn phức </t>
  </si>
  <si>
    <t>Lý Văn phức 1</t>
  </si>
  <si>
    <t xml:space="preserve">Võ Thị sáu </t>
  </si>
  <si>
    <t xml:space="preserve">Nguyễn phi Khanh </t>
  </si>
  <si>
    <t>Từ 1 đến 6</t>
  </si>
  <si>
    <t xml:space="preserve">9M 3*1.5 </t>
  </si>
  <si>
    <t xml:space="preserve">Chung cư phan liêm </t>
  </si>
  <si>
    <t>Phan Liêm 1</t>
  </si>
  <si>
    <t xml:space="preserve">CC phan liêm </t>
  </si>
  <si>
    <t xml:space="preserve">Cc phan liêm </t>
  </si>
  <si>
    <t xml:space="preserve">Trụ số 1 đến trụ số 5 </t>
  </si>
  <si>
    <t>12m 3*1.5</t>
  </si>
  <si>
    <t xml:space="preserve">Đường số 1 Phạm Thế hiển </t>
  </si>
  <si>
    <t>Phạm Thế hiển</t>
  </si>
  <si>
    <t xml:space="preserve">Cuối đường số 1 Phạm Thế hiển </t>
  </si>
  <si>
    <t>100/70</t>
  </si>
  <si>
    <t xml:space="preserve">Tai </t>
  </si>
  <si>
    <t xml:space="preserve">Đường hòa hảo </t>
  </si>
  <si>
    <t xml:space="preserve">Phường vườn lài </t>
  </si>
  <si>
    <t>Sư vạn Hạnh,</t>
  </si>
  <si>
    <t xml:space="preserve">Hòa hảo </t>
  </si>
  <si>
    <t>Số củ 33,34,35 số mới 1,2,3</t>
  </si>
  <si>
    <t>250W</t>
  </si>
  <si>
    <t xml:space="preserve">Hiếu </t>
  </si>
  <si>
    <t xml:space="preserve">Thay thế choá đèn và dây lên đèn </t>
  </si>
  <si>
    <t xml:space="preserve">Hẻm 161B Lạc Long Quân </t>
  </si>
  <si>
    <t xml:space="preserve">Quận 11 </t>
  </si>
  <si>
    <t xml:space="preserve">Hẻm 152 Lạc Long Quân </t>
  </si>
  <si>
    <t xml:space="preserve">16 choá đèn </t>
  </si>
  <si>
    <t>đèn 100w</t>
  </si>
  <si>
    <t xml:space="preserve">Trương Khánh Hùng </t>
  </si>
  <si>
    <t>Trụ số 1-4</t>
  </si>
  <si>
    <t xml:space="preserve">Thiên Phước </t>
  </si>
  <si>
    <t xml:space="preserve">Hẻm 299 Lý Thường Kiệt </t>
  </si>
  <si>
    <t>250/150W</t>
  </si>
  <si>
    <t>44m cáp 3x1.5</t>
  </si>
  <si>
    <t xml:space="preserve">Trần Hưng Đạo 29 </t>
  </si>
  <si>
    <t>Hps 150w</t>
  </si>
  <si>
    <t xml:space="preserve">13 mét </t>
  </si>
  <si>
    <t xml:space="preserve">Phạm Văn Đồng </t>
  </si>
  <si>
    <t>Phạm Văn Đồng - 2</t>
  </si>
  <si>
    <t xml:space="preserve">Cầu Rạch Lăng </t>
  </si>
  <si>
    <t xml:space="preserve">505 Nơ Trang Long </t>
  </si>
  <si>
    <t>13,5m</t>
  </si>
  <si>
    <t xml:space="preserve">Đoàn Tuấn Kiệt </t>
  </si>
  <si>
    <t xml:space="preserve">Phạm Văn Đồng 1 </t>
  </si>
  <si>
    <t>541 Nơ Trang Long</t>
  </si>
  <si>
    <t>Số lượng</t>
  </si>
  <si>
    <t>Loại hộp (6A, 10A)</t>
  </si>
  <si>
    <t>Ngày khảo sát</t>
  </si>
  <si>
    <t>Số đầu cáp</t>
  </si>
  <si>
    <t xml:space="preserve">Hồng bàng </t>
  </si>
  <si>
    <t>Hồng bàng 3</t>
  </si>
  <si>
    <t>6A</t>
  </si>
  <si>
    <t>2 đầu cáp</t>
  </si>
  <si>
    <t xml:space="preserve">Chung cư ngô quyền </t>
  </si>
  <si>
    <t>Ngô quyền 2</t>
  </si>
  <si>
    <t xml:space="preserve">2 đầu cáp </t>
  </si>
  <si>
    <t xml:space="preserve">Tiểu đảo an dương vương </t>
  </si>
  <si>
    <t>An Dương Vương 9</t>
  </si>
  <si>
    <t>10A</t>
  </si>
  <si>
    <t xml:space="preserve">1 đầu cáp </t>
  </si>
  <si>
    <t xml:space="preserve">Ngô quyền 2 </t>
  </si>
  <si>
    <t>Hùng Vương 4</t>
  </si>
  <si>
    <t xml:space="preserve">Chung cư sư vạn Hạnh </t>
  </si>
  <si>
    <t>Chung cư xóm cải lô E/D</t>
  </si>
  <si>
    <t>Chung cư xóm cải 2</t>
  </si>
  <si>
    <t>1 bộ</t>
  </si>
  <si>
    <t xml:space="preserve">Cầu Hoàng Hoa thám </t>
  </si>
  <si>
    <t xml:space="preserve">23 bộ </t>
  </si>
  <si>
    <t xml:space="preserve">6A 10 bộ _10A 13 bộ </t>
  </si>
  <si>
    <t>3 đầu cáp 1 + 2 đầu cáp 19 +1 đầu cáp 2</t>
  </si>
  <si>
    <t xml:space="preserve">Trần Quốc thảo </t>
  </si>
  <si>
    <t>Cầu Lê văn sy 1</t>
  </si>
  <si>
    <t>1-&gt;8</t>
  </si>
  <si>
    <t>2 đầu cáp.</t>
  </si>
  <si>
    <t>Lý Thường Kiệt</t>
  </si>
  <si>
    <t>10(cũ)</t>
  </si>
  <si>
    <t>2 đầu cáp tất cả</t>
  </si>
  <si>
    <t>số trụ : 4,6,8,9,14,15,19</t>
  </si>
  <si>
    <t xml:space="preserve">Dương Bạch Mai </t>
  </si>
  <si>
    <t xml:space="preserve">Chánh Hưng </t>
  </si>
  <si>
    <t>24 bộ</t>
  </si>
  <si>
    <t>CV KDC Đồng Diều</t>
  </si>
  <si>
    <t>Đường số 751 Tạ Quang Bửu 2</t>
  </si>
  <si>
    <t>RCBO thường 6A</t>
  </si>
  <si>
    <t xml:space="preserve">RCBO thường </t>
  </si>
  <si>
    <t>Dương Quang Đông</t>
  </si>
  <si>
    <t>RCBO kín 6A</t>
  </si>
  <si>
    <t>RCBO kín nước 6A</t>
  </si>
  <si>
    <t>15 bộ</t>
  </si>
  <si>
    <t xml:space="preserve">RCBO kín nước 6A </t>
  </si>
  <si>
    <t xml:space="preserve">Trụ số 11 đã thay liên thông </t>
  </si>
  <si>
    <t>Đường số 2 KDC Rạch Hiệp Ân</t>
  </si>
  <si>
    <t>Đường số 4 KDC Rạch Hiệp Ân</t>
  </si>
  <si>
    <t>Đường số 6 KDC Rạch Hiệp Ân</t>
  </si>
  <si>
    <t>Hoàng Kim Giao</t>
  </si>
  <si>
    <t>Loại cáp hiện hữu</t>
  </si>
  <si>
    <t>4</t>
  </si>
  <si>
    <t>Đường 3441 KDC Ba Tơ</t>
  </si>
  <si>
    <t>8</t>
  </si>
  <si>
    <t>7</t>
  </si>
  <si>
    <t>5x10</t>
  </si>
  <si>
    <t>5</t>
  </si>
  <si>
    <t>Đường 3052A KDC Ba Tơ</t>
  </si>
  <si>
    <t>Khu Dân Cư Ba Tơ - 2</t>
  </si>
  <si>
    <t>6</t>
  </si>
  <si>
    <t>Khu dân cư Ba Tơ</t>
  </si>
  <si>
    <t>Khu Dân Cư Ba Tơ - 1</t>
  </si>
  <si>
    <t>Bông Sao</t>
  </si>
  <si>
    <t>4x11</t>
  </si>
  <si>
    <t>Nguyễn Ngọc Cung</t>
  </si>
  <si>
    <t>16</t>
  </si>
  <si>
    <t>9</t>
  </si>
  <si>
    <t>2x11</t>
  </si>
  <si>
    <t>12</t>
  </si>
  <si>
    <t>Cầu Phú Định</t>
  </si>
  <si>
    <t>13</t>
  </si>
  <si>
    <t>Cầu Rạch Cát 1</t>
  </si>
  <si>
    <t>15</t>
  </si>
  <si>
    <t>14</t>
  </si>
  <si>
    <t>4x10+ sợi thép</t>
  </si>
  <si>
    <t>Công viên Rạch Hiệp Ân</t>
  </si>
  <si>
    <t>Khu vực các Xí Nghiệp</t>
  </si>
  <si>
    <t>Lưu Hữu Phước - 2</t>
  </si>
  <si>
    <t>17</t>
  </si>
  <si>
    <t>18</t>
  </si>
  <si>
    <t>4x10 + sợi thép</t>
  </si>
  <si>
    <t>19</t>
  </si>
  <si>
    <t>Nhánh rẽ Rạch Cát</t>
  </si>
  <si>
    <t>Mễ Cốc - 4</t>
  </si>
  <si>
    <t>4x10 + sợi thép, 4x11</t>
  </si>
  <si>
    <t>20</t>
  </si>
  <si>
    <t>156B An Dương Vương</t>
  </si>
  <si>
    <t>21</t>
  </si>
  <si>
    <t>KDC Nhật Minh</t>
  </si>
  <si>
    <t>22</t>
  </si>
  <si>
    <t>Hẻm 172 An Dương Vương</t>
  </si>
  <si>
    <t>23</t>
  </si>
  <si>
    <t>24</t>
  </si>
  <si>
    <t>25</t>
  </si>
  <si>
    <t>26</t>
  </si>
  <si>
    <t>Hẻm 172 An Dương Vương -4</t>
  </si>
  <si>
    <t>27</t>
  </si>
  <si>
    <t>28</t>
  </si>
  <si>
    <t>Đường số 2 Cư xá Bình Thới (cũ Tủ số 2)</t>
  </si>
  <si>
    <t>4x11+25mm²</t>
  </si>
  <si>
    <t>HPS 100/70W ĐKTT (không sợi thép)
Chưa tính số mét cáp 2 cấp công suất</t>
  </si>
  <si>
    <t>29</t>
  </si>
  <si>
    <t>Hẻm 500 Lê Hồng Phong</t>
  </si>
  <si>
    <t>1</t>
  </si>
  <si>
    <t>Hẻm 500 Lê Hồng Phong-5</t>
  </si>
  <si>
    <t>Cu 4x11mm² và Al 2x16mm²</t>
  </si>
  <si>
    <t>34m Cu 4x11mm² và 34m Al 2x16mm² SD VTTH tách lưới + lấy nguồn)
100/70W ĐKTĐ</t>
  </si>
  <si>
    <t>30</t>
  </si>
  <si>
    <t xml:space="preserve">Cu 4x11mm² và Al 2x16mm² </t>
  </si>
  <si>
    <t>138,6</t>
  </si>
  <si>
    <t>109,1m Cu 4x10mm² và (29,5m Al 2x16mm² SD VTTH tách lưới + lấy nguồn)
100/70W ĐKTĐ</t>
  </si>
  <si>
    <t>31</t>
  </si>
  <si>
    <t>4x11mm²</t>
  </si>
  <si>
    <t>Cu 4x11mm²; 100/70W ĐKTĐ; Khoảng trụ 2-3 vướng băng MBA.</t>
  </si>
  <si>
    <t>32</t>
  </si>
  <si>
    <t>( 5 cũ )</t>
  </si>
  <si>
    <t>4 × 11</t>
  </si>
  <si>
    <t xml:space="preserve">Cáp nguồn nổi lão hóa bong tróc vỏ bọc cách điện </t>
  </si>
  <si>
    <t>33</t>
  </si>
  <si>
    <t xml:space="preserve">Cáp nguồn bị lão hóa bong tróc vỏ cách điện </t>
  </si>
  <si>
    <t>34</t>
  </si>
  <si>
    <t xml:space="preserve">Hẻm 109 Dương Bá Trạc </t>
  </si>
  <si>
    <t>Cáp đồng</t>
  </si>
  <si>
    <t>Từ trụ số 1 đến trụ số 14</t>
  </si>
  <si>
    <t>35</t>
  </si>
  <si>
    <t xml:space="preserve">Đường số 2 Cư xá Bình Thới </t>
  </si>
  <si>
    <t>Đường số 2 CXBT</t>
  </si>
  <si>
    <t>4x10 +1x25</t>
  </si>
  <si>
    <t>390 met</t>
  </si>
  <si>
    <t>36</t>
  </si>
  <si>
    <t xml:space="preserve">Hẻm 423 Lạc Long Quân </t>
  </si>
  <si>
    <t>Hẻm 423 LLQ 3</t>
  </si>
  <si>
    <t>37</t>
  </si>
  <si>
    <t>4x10</t>
  </si>
  <si>
    <t xml:space="preserve">300 mét </t>
  </si>
  <si>
    <t>38</t>
  </si>
  <si>
    <t xml:space="preserve">Hẻm 341 Lạc Long Quân </t>
  </si>
  <si>
    <t xml:space="preserve">70 mét </t>
  </si>
  <si>
    <t>39</t>
  </si>
  <si>
    <t xml:space="preserve">Vườn lài </t>
  </si>
  <si>
    <t>126,5 m</t>
  </si>
  <si>
    <t>Loại cáp</t>
  </si>
  <si>
    <t>1 đến 14</t>
  </si>
  <si>
    <t>14 đèn ( 2TN 3m)</t>
  </si>
  <si>
    <t>6 đến 8</t>
  </si>
  <si>
    <t xml:space="preserve">Hẻm 157 Dương Bá Trạc </t>
  </si>
  <si>
    <t>Hẻm 157 Dương Bá Trạc 2</t>
  </si>
  <si>
    <t>4 đèn ( 2TN3m)</t>
  </si>
  <si>
    <t xml:space="preserve">Đào cam mộc </t>
  </si>
  <si>
    <t xml:space="preserve">Đường số 31 Chánh Hưng </t>
  </si>
  <si>
    <t>1 đèn ( 2TN 3,8m)</t>
  </si>
  <si>
    <t>1 đến 4</t>
  </si>
  <si>
    <t>4 đèn ( 2TN3M)</t>
  </si>
  <si>
    <t xml:space="preserve">Nguyễn Đức Ngữ </t>
  </si>
  <si>
    <t>1 đèn ( 2TN3M)</t>
  </si>
  <si>
    <t xml:space="preserve">Trụ số 1đến trụ số 7 </t>
  </si>
  <si>
    <t xml:space="preserve">Hẻm 402 Bà hạt </t>
  </si>
  <si>
    <t xml:space="preserve">Ba tháng Hai 6 </t>
  </si>
  <si>
    <t>Cần 3, 8 m</t>
  </si>
  <si>
    <t>35m cáp 3x2,5. Kẹp đèn 21cái</t>
  </si>
  <si>
    <t xml:space="preserve">Trụ số 1đến 28 </t>
  </si>
  <si>
    <t xml:space="preserve">KN,ở P 12Trần Thiện chánh </t>
  </si>
  <si>
    <t xml:space="preserve">KN ở P 12 Trần Thiện Chánh </t>
  </si>
  <si>
    <t>Cần đèn 3 m</t>
  </si>
  <si>
    <t xml:space="preserve">126 m cáp 3X2,5 kẹp đèn 84 cái </t>
  </si>
  <si>
    <t>Hết tủ</t>
  </si>
  <si>
    <t>Lê quý đôn</t>
  </si>
  <si>
    <t>Lê quý đôn 1</t>
  </si>
  <si>
    <t>Dây luồn cần lão hóa</t>
  </si>
  <si>
    <t>5 trụ. Cần 3m8</t>
  </si>
  <si>
    <t>Không biết</t>
  </si>
  <si>
    <t>Cao thắng</t>
  </si>
  <si>
    <t>Cao thắng 1</t>
  </si>
  <si>
    <t>11 cần 3m8. Dây luồn cần 5x2.5.</t>
  </si>
  <si>
    <t>Khong biết</t>
  </si>
  <si>
    <t>Ts 1 2 3 4 5</t>
  </si>
  <si>
    <t>Duy tân</t>
  </si>
  <si>
    <t>Duy tân 3</t>
  </si>
  <si>
    <t>5 trụ. Dây 3×2.5 . Dài 3m5</t>
  </si>
  <si>
    <t>TS 1 2 3 4 5</t>
  </si>
  <si>
    <t>Duy tân 2</t>
  </si>
  <si>
    <t>4 trụ 3.5m dây 3×2.5  , 1 trụ 5m 3×2.5</t>
  </si>
  <si>
    <t>Duy tân 1</t>
  </si>
  <si>
    <t>4 trụ 3.5m , 1 trụ 5m dây 3×2.5</t>
  </si>
  <si>
    <t>TS1 đến TS 4 Bình Quới</t>
  </si>
  <si>
    <t>Bình Quới-3-BT-27</t>
  </si>
  <si>
    <t>Cáp nổi cần đèn 3,5m</t>
  </si>
  <si>
    <t>TS 1 đến TS 23</t>
  </si>
  <si>
    <t>Quốc Lộ 13</t>
  </si>
  <si>
    <t>Quốc Lộ 13-1-BT-26</t>
  </si>
  <si>
    <t>Cần đèn 3,8m</t>
  </si>
  <si>
    <t>TS 1 đến TS 21</t>
  </si>
  <si>
    <t>Quốc Lộ 13-2-BT-26</t>
  </si>
  <si>
    <t>5m 5*2,5mm2</t>
  </si>
  <si>
    <t>1_8</t>
  </si>
  <si>
    <t xml:space="preserve">PASTEUR </t>
  </si>
  <si>
    <t>Pasteur 1</t>
  </si>
  <si>
    <t>99m</t>
  </si>
  <si>
    <t>1=9</t>
  </si>
  <si>
    <t xml:space="preserve">NAM KỲ KHỞI NGHĨA </t>
  </si>
  <si>
    <t>Nam Kỳ Khởi Nghĩa 9</t>
  </si>
  <si>
    <t>111m</t>
  </si>
  <si>
    <t>1_11</t>
  </si>
  <si>
    <t>Nam Kỳ Khởi Nghĩa 10</t>
  </si>
  <si>
    <t>143m</t>
  </si>
  <si>
    <t>Trụ số 1 đến trụ số 5</t>
  </si>
  <si>
    <t xml:space="preserve">Cáp luồn cần 2 × 2,5 hiện hữu bị lão hóa bong tróc </t>
  </si>
  <si>
    <t>115 mét ( 10 đèn )</t>
  </si>
  <si>
    <t>Trụ số 1 đến trụ số 3</t>
  </si>
  <si>
    <t xml:space="preserve">34,5 mét </t>
  </si>
  <si>
    <t>Trụ số 1 đến trụ số 7</t>
  </si>
  <si>
    <t>127 mét ( 4 trụ 11,5 mét + 3 trụ 13,5 mét)</t>
  </si>
  <si>
    <t>Trụ số 1 đến trụ số 16</t>
  </si>
  <si>
    <t>184 mét  ( 16 trụ)</t>
  </si>
  <si>
    <t xml:space="preserve">Trụ số 1 đến trụ số 12 _15 đèn </t>
  </si>
  <si>
    <t>15 đèn*11.5m</t>
  </si>
  <si>
    <t>Trụ số 1 đến trụ số 9</t>
  </si>
  <si>
    <t>11 đèn*11.5m</t>
  </si>
  <si>
    <t xml:space="preserve">Trụ số 1 đến trụ số 14_26 đèn </t>
  </si>
  <si>
    <t>Điện Biên phủ 11</t>
  </si>
  <si>
    <t>26 Đèn*13m</t>
  </si>
  <si>
    <t>Điện Biên phủ 12</t>
  </si>
  <si>
    <t>5 đèn*13m</t>
  </si>
  <si>
    <t>Điện Biên phủ 10</t>
  </si>
  <si>
    <t>14 đèn*13m</t>
  </si>
  <si>
    <t>Trụ số 5 đến trụ số 11 trụ số 13 đến trụ 18</t>
  </si>
  <si>
    <t xml:space="preserve">Trần Quang Khải 2 </t>
  </si>
  <si>
    <t>26 Đèn*10m</t>
  </si>
  <si>
    <t>ts1-5</t>
  </si>
  <si>
    <t>dọc đường ray</t>
  </si>
  <si>
    <t>phú nhuận</t>
  </si>
  <si>
    <t>dọc đường ray f13-4</t>
  </si>
  <si>
    <t xml:space="preserve">20m </t>
  </si>
  <si>
    <t>hậu</t>
  </si>
  <si>
    <t>TS 1 đến TS 5</t>
  </si>
  <si>
    <t xml:space="preserve">hẻm 158 Xô Viết Nghệ Tĩnh </t>
  </si>
  <si>
    <t>Hẻm 158 Xô Viết Nghệ Tĩnh-1</t>
  </si>
  <si>
    <t>Đoàn Tuấn Kiệt</t>
  </si>
  <si>
    <t xml:space="preserve">TS 1 đến TS 4 </t>
  </si>
  <si>
    <t xml:space="preserve">Hẻm 220 Xô Viết Nghệ Tĩnh </t>
  </si>
  <si>
    <t>Hẻm 220 Xô Viết Nghệ Tĩnh-1</t>
  </si>
  <si>
    <t>3,8m; 5x2,5m</t>
  </si>
  <si>
    <t xml:space="preserve">TS 1 đến TS 7 </t>
  </si>
  <si>
    <t xml:space="preserve">Hẻm 220/9 Xô Viết Nghệ Tĩnh </t>
  </si>
  <si>
    <t>3,8m; 3x2,5m</t>
  </si>
  <si>
    <t>Hẻm 220/50A Xô Viết Nghệ Tĩnh</t>
  </si>
  <si>
    <t>1,5m; 3x2,5m</t>
  </si>
  <si>
    <t xml:space="preserve">Hẻm 220/50 Xô Viết Nghệ Tĩnh </t>
  </si>
  <si>
    <t>TS 1 đến TS 6</t>
  </si>
  <si>
    <t xml:space="preserve">Hẻm 405 Xô Viết Nghệ Tĩnh </t>
  </si>
  <si>
    <t xml:space="preserve">Hẻm 220 Xô Viết Nghệ Tĩnh-1 </t>
  </si>
  <si>
    <t>TS 1 đến TS 8</t>
  </si>
  <si>
    <t xml:space="preserve">Hẻm 20 Đinh Bộ Lĩnh </t>
  </si>
  <si>
    <t>Hẻm 405 Xô Viết Nghệ Tĩnh-1</t>
  </si>
  <si>
    <t>TS 1 đến TS 10</t>
  </si>
  <si>
    <t>Hẻm 758 Xô Viết Nghệ Tĩnh</t>
  </si>
  <si>
    <t>Hẻm 758 Xô Viết Nghệ Tĩnh-2</t>
  </si>
  <si>
    <t>3m; 5x2,5m ( 9 cây ); 3,8m; 5x2,5m ( 1 cây )</t>
  </si>
  <si>
    <t xml:space="preserve">TS 1 đến TS 8 </t>
  </si>
  <si>
    <t xml:space="preserve">Hẻm 818 Xô Viết Nghệ Tĩnh </t>
  </si>
  <si>
    <t>Hẻm 818 Xô Viết Nghệ Tĩnh</t>
  </si>
  <si>
    <t xml:space="preserve">3,8m; 3x2,5m </t>
  </si>
  <si>
    <t xml:space="preserve">Hẻm Dầu </t>
  </si>
  <si>
    <t>Hẻm 860 Xô Viết Nghệ Tĩnh-1</t>
  </si>
  <si>
    <t>3,8m; 5x2,5m ( 4 cây ); 3m; 3x2,5m ( 1 cây )</t>
  </si>
  <si>
    <t>TS 17 đến TS 30</t>
  </si>
  <si>
    <t xml:space="preserve">Hẻm 860/60N Xô Viết Nghệ Tĩnh </t>
  </si>
  <si>
    <t>Hẻm 860/60N Xô Viết Nghệ Tĩnh-1</t>
  </si>
  <si>
    <t xml:space="preserve">3m; 5x2,5m </t>
  </si>
  <si>
    <t xml:space="preserve">Hẻm 860/60X Xô Viết Nghệ Tĩnh </t>
  </si>
  <si>
    <t>Hẻm 860/60X Xô Viết Nghệ Tĩnh-1</t>
  </si>
  <si>
    <t>3m; 5x2,5m</t>
  </si>
  <si>
    <t xml:space="preserve">Hẻm 860/60S Xô Viết Nghệ Tĩnh </t>
  </si>
  <si>
    <t>TS 1 đến TS 4</t>
  </si>
  <si>
    <t xml:space="preserve">Hẻm 625 Xô Viết Nghệ Tĩnh </t>
  </si>
  <si>
    <t>Hẻm 625 Xô Viết Nghệ Tĩnh-1</t>
  </si>
  <si>
    <t>Trụ số 1 đến 13</t>
  </si>
  <si>
    <t xml:space="preserve">Chợ quán </t>
  </si>
  <si>
    <t>136,5m dây 3×2,5</t>
  </si>
  <si>
    <t xml:space="preserve">Hưng </t>
  </si>
  <si>
    <t>2026-04-24T07:15:58.0127592Z</t>
  </si>
  <si>
    <t>Trụ số 1 đến 15</t>
  </si>
  <si>
    <t>157,5m dây 3×2,5</t>
  </si>
  <si>
    <t>2026-04-24T07:19:07.3230674Z</t>
  </si>
  <si>
    <t>Trụ số 1 đến 10</t>
  </si>
  <si>
    <t>105m dây 3×2,5</t>
  </si>
  <si>
    <t>2026-04-24T07:23:01.1349161Z</t>
  </si>
  <si>
    <t>2026-05-07T05:47:12.9716437Z</t>
  </si>
  <si>
    <t>Cần 2TN 3m</t>
  </si>
  <si>
    <t>1 , 2 , 3 , 4</t>
  </si>
  <si>
    <t>2026-05-07T05:49:18.6750532Z</t>
  </si>
  <si>
    <t>Cần 2TN 3,8m</t>
  </si>
  <si>
    <t xml:space="preserve">Đào Cam Mộc </t>
  </si>
  <si>
    <t>2026-05-07T05:50:36.1129808Z</t>
  </si>
  <si>
    <t>Nguyễn Đức Ngữ</t>
  </si>
  <si>
    <t>2026-05-07T05:52:38.1121138Z</t>
  </si>
  <si>
    <t>Trụ số 1 đến Trụ số 16</t>
  </si>
  <si>
    <t xml:space="preserve">72 mét </t>
  </si>
  <si>
    <t>2026-05-07T08:23:37.4463078Z</t>
  </si>
  <si>
    <t xml:space="preserve">Trụ số 1 đến Trụ số 8 </t>
  </si>
  <si>
    <t xml:space="preserve">Hẻm 94 Hòa Bình </t>
  </si>
  <si>
    <t>Hẻm 94 Hòa Bình 1</t>
  </si>
  <si>
    <t xml:space="preserve">36 mét </t>
  </si>
  <si>
    <t>2026-05-07T08:25:22.6424326Z</t>
  </si>
  <si>
    <t>Trụ số 1 đến Trụ số 18</t>
  </si>
  <si>
    <t>Hẻm 94 Hòa Bình 2</t>
  </si>
  <si>
    <t xml:space="preserve">81 mét </t>
  </si>
  <si>
    <t>2026-05-07T08:27:04.8601914Z</t>
  </si>
  <si>
    <t xml:space="preserve">198 mét </t>
  </si>
  <si>
    <t>2026-05-07T08:31:34.2672500Z</t>
  </si>
  <si>
    <t>Trụ số 9 đến Trụ số 17</t>
  </si>
  <si>
    <t xml:space="preserve">99 mét </t>
  </si>
  <si>
    <t>2026-05-07T08:34:32.8679500Z</t>
  </si>
  <si>
    <t xml:space="preserve">Trụ số 1 đến Trụ số 9 </t>
  </si>
  <si>
    <t xml:space="preserve">108 mét </t>
  </si>
  <si>
    <t>2026-05-07T08:37:03.5913013Z</t>
  </si>
  <si>
    <t>Trụ số 1 đến Trụ số 8</t>
  </si>
  <si>
    <t>Lạc Long Quân+ vx Âu Cơ</t>
  </si>
  <si>
    <t>Lạc Long Quân 13</t>
  </si>
  <si>
    <t xml:space="preserve">96 mét </t>
  </si>
  <si>
    <t>2026-05-07T08:39:09.0177155Z</t>
  </si>
  <si>
    <t>TP Hồ Chí Minh</t>
  </si>
  <si>
    <t>10 (cũ)</t>
  </si>
  <si>
    <t>21 cần đèn 3m8 ( 5m x 21 cần = 105m cáp 3 x 1.5 mm )</t>
  </si>
  <si>
    <t>2026-05-07T10:38:54.8256903Z</t>
  </si>
  <si>
    <t>Thay thế dây luồn cần cáp nguồn nổi đường Tô Hiến Thành ( bổ sung 21x3=63 kẹp đấu đèn)</t>
  </si>
  <si>
    <t>Trụ số 1 - 14 (14 đèn )</t>
  </si>
  <si>
    <t xml:space="preserve">70m cáp 5×2.5 </t>
  </si>
  <si>
    <t xml:space="preserve">Trần Đức Định </t>
  </si>
  <si>
    <t>2026-05-08T03:03:57.2605039Z</t>
  </si>
  <si>
    <t>Kẹp đấu đèn 42 + 28 kẹp 2CS</t>
  </si>
  <si>
    <t>Trụ số 1 - 19 (19 đèn )</t>
  </si>
  <si>
    <t xml:space="preserve">Quân Sự </t>
  </si>
  <si>
    <t>Quận Sự</t>
  </si>
  <si>
    <t>95m cáp 5x2.5</t>
  </si>
  <si>
    <t>2026-05-08T03:07:21.9006959Z</t>
  </si>
  <si>
    <t>Kẹp đấu đèn 57+38 kẹp 2CS</t>
  </si>
  <si>
    <t>Trụ số 1 -17 ( 23 đèn )</t>
  </si>
  <si>
    <t xml:space="preserve">Chung cư Lý Thường Kiệt </t>
  </si>
  <si>
    <t>Chung cư 319/2</t>
  </si>
  <si>
    <t>218,5m cáp 3x1.5</t>
  </si>
  <si>
    <t>2026-05-08T03:11:24.5192350Z</t>
  </si>
  <si>
    <t xml:space="preserve">cung cấp băng keo điện </t>
  </si>
  <si>
    <t>Trụ số 2 - 8 ( 8 đèn )</t>
  </si>
  <si>
    <t xml:space="preserve">Lý Thường Kiệt 3 </t>
  </si>
  <si>
    <t>92m cáp 3x1.5</t>
  </si>
  <si>
    <t>2026-05-08T03:13:30.1003951Z</t>
  </si>
  <si>
    <t>Trụ số 1 - 18 (19 đèn )</t>
  </si>
  <si>
    <t xml:space="preserve">Lý Thường Kiệt </t>
  </si>
  <si>
    <t>2026-05-08T03:15:42.2262784Z</t>
  </si>
  <si>
    <t>cung cấp băng keo điện</t>
  </si>
  <si>
    <t>Trụ số 1-5 (5 đèn )</t>
  </si>
  <si>
    <t>Lò Siêu</t>
  </si>
  <si>
    <t>Lò Siêu TC3</t>
  </si>
  <si>
    <t>25m cáp 5x2.5</t>
  </si>
  <si>
    <t>2026-05-08T03:17:59.4594036Z</t>
  </si>
  <si>
    <t>Kẹp đấu đèn 15+10 kẹp 2CS</t>
  </si>
  <si>
    <t>Loại mương cáp</t>
  </si>
  <si>
    <t xml:space="preserve">VXLLQ+Hoà bình </t>
  </si>
  <si>
    <t xml:space="preserve">VXLLQ+ Hoà bình </t>
  </si>
  <si>
    <t>30m</t>
  </si>
  <si>
    <t>Cu/XLPE/PVC/DSTA/PVC4x10</t>
  </si>
  <si>
    <t>Gach terazzo400x400(19m), bê tông xm(6m)</t>
  </si>
  <si>
    <t>27m</t>
  </si>
  <si>
    <t>4x10 ngầm</t>
  </si>
  <si>
    <t xml:space="preserve">Gạch terrazzo 400x400 ( 24m) </t>
  </si>
  <si>
    <t>Hh</t>
  </si>
  <si>
    <t>Hhhj</t>
  </si>
  <si>
    <t>Hj</t>
  </si>
  <si>
    <t>Hjjj</t>
  </si>
  <si>
    <t>Jjjj</t>
  </si>
  <si>
    <t>Jjjjj</t>
  </si>
  <si>
    <t>Hjj</t>
  </si>
  <si>
    <t>Kjj</t>
  </si>
  <si>
    <t>Tét</t>
  </si>
  <si>
    <t>Điện Biên phủ 9</t>
  </si>
  <si>
    <t>39m</t>
  </si>
  <si>
    <t>4*11</t>
  </si>
  <si>
    <t>Nhựa đường 12m gạch taro 40*40_22m</t>
  </si>
  <si>
    <t xml:space="preserve">39m </t>
  </si>
  <si>
    <t>12m nhựa đường _22m gạch taro 40*40</t>
  </si>
  <si>
    <t xml:space="preserve">Trần khắc chân </t>
  </si>
  <si>
    <t>Trần khắc chân 2</t>
  </si>
  <si>
    <t>35m</t>
  </si>
  <si>
    <t xml:space="preserve">Nhựa đường 10.5m +gạch taro 40*40_16m +2.5 đá granite+đá </t>
  </si>
  <si>
    <t>22m cáp</t>
  </si>
  <si>
    <t>Ngầm 4x11</t>
  </si>
  <si>
    <t>Gạch Terrazo 400x400</t>
  </si>
  <si>
    <t xml:space="preserve">Đo  đến cửa trụ ST4 đến ST5 </t>
  </si>
  <si>
    <t>255m</t>
  </si>
  <si>
    <t>4x10mm</t>
  </si>
  <si>
    <t>Dá hoa Cương</t>
  </si>
  <si>
    <t xml:space="preserve">Chạm chập và  lão hóa </t>
  </si>
  <si>
    <t xml:space="preserve">Pasteur +Lê Lợi </t>
  </si>
  <si>
    <t>Pasteur 2</t>
  </si>
  <si>
    <t>450m</t>
  </si>
  <si>
    <t>Đá hoa Cương</t>
  </si>
  <si>
    <t xml:space="preserve">Lê Lợi, ct Quách Thị Trang </t>
  </si>
  <si>
    <t>Lê Lợi 1</t>
  </si>
  <si>
    <t xml:space="preserve">Đá hoa cương + đường nhựa </t>
  </si>
  <si>
    <t>Chợ lớn ( cũ phường 6 )</t>
  </si>
  <si>
    <t>Võ văn Kiệt 7</t>
  </si>
  <si>
    <t xml:space="preserve">68,5 mét </t>
  </si>
  <si>
    <t>4 × 10mm</t>
  </si>
  <si>
    <t>Đường nhựa + cỏ</t>
  </si>
  <si>
    <t xml:space="preserve">Công Viên Nguyễn Tri Phương </t>
  </si>
  <si>
    <t xml:space="preserve">Võ văn Kiệt 5 </t>
  </si>
  <si>
    <t xml:space="preserve">23,5 mét </t>
  </si>
  <si>
    <t>Tấm bê tông đan 300 × 300</t>
  </si>
  <si>
    <t xml:space="preserve">Võ văn kiệt 5 </t>
  </si>
  <si>
    <t xml:space="preserve">26 mét </t>
  </si>
  <si>
    <t>Đá chẻ 150 × 300</t>
  </si>
  <si>
    <t xml:space="preserve">Cáp nguồn ngầm bị chạm chập </t>
  </si>
  <si>
    <t xml:space="preserve">25 mét </t>
  </si>
  <si>
    <t xml:space="preserve">Q10 </t>
  </si>
  <si>
    <t xml:space="preserve">65,5 m </t>
  </si>
  <si>
    <t xml:space="preserve">Cáp nhôm </t>
  </si>
  <si>
    <t>BT,+terrazo</t>
  </si>
  <si>
    <t xml:space="preserve">Nguyễn Chí hiếu </t>
  </si>
  <si>
    <t xml:space="preserve">Đã ngâm hóa được 3 khoảng trụ, như còn 3 khoảng chưa ngầm hóa được </t>
  </si>
  <si>
    <t>Loại kiềng (HTLT, TTLT, B2...)</t>
  </si>
  <si>
    <t>Loại cần (3,8m ; 3m...)</t>
  </si>
  <si>
    <t>Hẻm 286</t>
  </si>
  <si>
    <t>Hẻm 286 Trần Hưng Đạo</t>
  </si>
  <si>
    <t xml:space="preserve">H286THD </t>
  </si>
  <si>
    <t>HTLT</t>
  </si>
  <si>
    <t xml:space="preserve">TS 8 </t>
  </si>
  <si>
    <t>Xóm Đáy</t>
  </si>
  <si>
    <t>Lô L Cư xá Thanh Đa -1-BT-27</t>
  </si>
  <si>
    <t>2m</t>
  </si>
  <si>
    <t>Thay cần đèn 3,8m --&gt; 2m</t>
  </si>
  <si>
    <t xml:space="preserve">TS 1 </t>
  </si>
  <si>
    <t xml:space="preserve">Đường nội bộ Cư Xá Thanh Đa </t>
  </si>
  <si>
    <t>Lô J Cư xá Thanh Đa-1-BT-27</t>
  </si>
  <si>
    <t>TTLT Đôi dọc</t>
  </si>
  <si>
    <t>Sai kiềng</t>
  </si>
  <si>
    <t>Lô F Cư Xá Thanh Đa</t>
  </si>
  <si>
    <t>Lô D Cư Xá Thanh Đa-2-BT-27</t>
  </si>
  <si>
    <t>TTLT</t>
  </si>
  <si>
    <t>TS 1 đến TS 3</t>
  </si>
  <si>
    <t xml:space="preserve">Lô BDF Cư Xá Thanh Đa </t>
  </si>
  <si>
    <t>1,2</t>
  </si>
  <si>
    <t xml:space="preserve">Hẻm 518 Võ Văn Kiệt </t>
  </si>
  <si>
    <t xml:space="preserve">Cầu Ông Lãnh </t>
  </si>
  <si>
    <t xml:space="preserve"> 2 cần B6</t>
  </si>
  <si>
    <t xml:space="preserve">Nguyễn biểu </t>
  </si>
  <si>
    <t xml:space="preserve">Cao su 3 </t>
  </si>
  <si>
    <t>TTLTN</t>
  </si>
  <si>
    <t>3,8m</t>
  </si>
  <si>
    <t>TS 8,9,,10,11,12</t>
  </si>
  <si>
    <t>Hẻm 491 huỳnh văn bánh</t>
  </si>
  <si>
    <t>Phú nhuận (cũ)</t>
  </si>
  <si>
    <t>Huỳnh Văn Bánh 9</t>
  </si>
  <si>
    <t>TS8,9,10,11,12</t>
  </si>
  <si>
    <t>Sai bát thiếu kiềng cần đèn dưới TLLT lớn</t>
  </si>
  <si>
    <t>Ts 1 đến 12</t>
  </si>
  <si>
    <t>Phan Tây Hồ</t>
  </si>
  <si>
    <t>Phan Tây Hồ 1</t>
  </si>
  <si>
    <t xml:space="preserve">B4: 4 Cần. B2:1 Cần. B6: 1 Cần. HTLT:4 Cần. TTLL:1 Cần. TTLTL: 1 Cần. </t>
  </si>
  <si>
    <t xml:space="preserve">HÙNG </t>
  </si>
  <si>
    <t xml:space="preserve">48m dây 5×2,5.36 kẹp cáp đèn. 24 kẹp cáp 2 công suất </t>
  </si>
  <si>
    <t>Trụ số 4,5,6</t>
  </si>
  <si>
    <t xml:space="preserve">Nguyễn Văn đừng </t>
  </si>
  <si>
    <t>Văn đừng 22</t>
  </si>
  <si>
    <t xml:space="preserve">3 cần </t>
  </si>
  <si>
    <t>3 HTLTL</t>
  </si>
  <si>
    <t>Trụ số 1,2,4,5</t>
  </si>
  <si>
    <t xml:space="preserve">4 cần </t>
  </si>
  <si>
    <t>3 TTLTN 1 HTLTL</t>
  </si>
  <si>
    <t xml:space="preserve">3, 8m </t>
  </si>
  <si>
    <t xml:space="preserve">Trụ số 1 </t>
  </si>
  <si>
    <t xml:space="preserve">Hẻm 72 đường an điềm </t>
  </si>
  <si>
    <t>Quận 5 cũ</t>
  </si>
  <si>
    <t>An điềm 1</t>
  </si>
  <si>
    <t xml:space="preserve">1 cần </t>
  </si>
  <si>
    <t>TTLT ( nhỏ )</t>
  </si>
  <si>
    <t>3 mét</t>
  </si>
  <si>
    <t xml:space="preserve">Cần đèn rỉ sét </t>
  </si>
  <si>
    <t xml:space="preserve">Quận Bình thạnh </t>
  </si>
  <si>
    <t xml:space="preserve">Huỳnh đình Hai </t>
  </si>
  <si>
    <t>Huỳnh đình Hai 1 - BT để</t>
  </si>
  <si>
    <t>Trụ 1 và 2</t>
  </si>
  <si>
    <t>TTLTN VÀ HTLTL</t>
  </si>
  <si>
    <t xml:space="preserve">Vũ Ngọc Phan </t>
  </si>
  <si>
    <t>Vũ Ngọc Phan 1</t>
  </si>
  <si>
    <t>Trụ 2</t>
  </si>
  <si>
    <t>TTLTL</t>
  </si>
  <si>
    <t xml:space="preserve">Cần bị cong </t>
  </si>
  <si>
    <t>Ts 5</t>
  </si>
  <si>
    <t>HTLBL ĐD</t>
  </si>
  <si>
    <t>2TN 3,8m</t>
  </si>
  <si>
    <t>Dương Quang Trung</t>
  </si>
  <si>
    <t>Hoà Hưng</t>
  </si>
  <si>
    <t>Cổ Cò trụ STK 6m</t>
  </si>
  <si>
    <t xml:space="preserve">Cổ Cò </t>
  </si>
  <si>
    <t>Thay thế 3 cần đèn Cổ Cò (Số trụ 10,11,12)</t>
  </si>
  <si>
    <t>Trụ Số 1</t>
  </si>
  <si>
    <t xml:space="preserve">Hẻm 58 thành thái </t>
  </si>
  <si>
    <t xml:space="preserve">Q10 củ </t>
  </si>
  <si>
    <t>Hẻm 449 sư vạn Hạnh</t>
  </si>
  <si>
    <t>HTLTL</t>
  </si>
  <si>
    <t>Cần đèn sai quy cách</t>
  </si>
  <si>
    <t>Trụ Số 12</t>
  </si>
  <si>
    <t>Hẻm 283 cmt8</t>
  </si>
  <si>
    <t xml:space="preserve">Hòa Hưng </t>
  </si>
  <si>
    <t>Hẻm 14 Hoàng dư Khương</t>
  </si>
  <si>
    <t>Trụ Số 6 ,7</t>
  </si>
  <si>
    <t>Hẻm 133 Hòa Hưng</t>
  </si>
  <si>
    <t>Hoàng Hưng</t>
  </si>
  <si>
    <t>Hoàng dư Khương</t>
  </si>
  <si>
    <t xml:space="preserve">2 cần </t>
  </si>
  <si>
    <t>Trụ Số 6 B2 trụ Số 7 HTLTL</t>
  </si>
  <si>
    <t>Trụ Số 6 cần 3,8 trụ Số 7 cần 2,5m</t>
  </si>
  <si>
    <t>Cần đèn bị rỉ sét</t>
  </si>
  <si>
    <t>Loại sự cố (mục, gỉ sét, hư mặt bích,...)</t>
  </si>
  <si>
    <t>Quy cách trụ (loại trụ: chiều cao VD: STK 9m; be tông 8,4m; trang trí;...)</t>
  </si>
  <si>
    <t>Quy cách móng</t>
  </si>
  <si>
    <t>Ghi chú (kèm thay cần đèn,...)</t>
  </si>
  <si>
    <t xml:space="preserve">Trụ số 2 </t>
  </si>
  <si>
    <t xml:space="preserve">Hư mặt bích </t>
  </si>
  <si>
    <t xml:space="preserve">STK 9m </t>
  </si>
  <si>
    <t>M22 260×260</t>
  </si>
  <si>
    <t>2025-02-18T01:00:22.2585237Z</t>
  </si>
  <si>
    <t xml:space="preserve">Trụ số 9 </t>
  </si>
  <si>
    <t xml:space="preserve">Mục gỉ sét thân trụ </t>
  </si>
  <si>
    <t>STK 8m</t>
  </si>
  <si>
    <t>M18 300x300</t>
  </si>
  <si>
    <t>2025-02-18T01:03:41.9064858Z</t>
  </si>
  <si>
    <t xml:space="preserve">Mạc Thiên Tích </t>
  </si>
  <si>
    <t xml:space="preserve">Thiên Tích </t>
  </si>
  <si>
    <t xml:space="preserve">Mục gỉ sét mặt bích </t>
  </si>
  <si>
    <t>STK trang trí 4m</t>
  </si>
  <si>
    <t>M16 200×200</t>
  </si>
  <si>
    <t>2025-02-18T01:07:19.9173843Z</t>
  </si>
  <si>
    <t>Trụ số 5</t>
  </si>
  <si>
    <t xml:space="preserve">Phước Hưng </t>
  </si>
  <si>
    <t xml:space="preserve">Mục gỉ sét hư mặt bích </t>
  </si>
  <si>
    <t>2025-02-18T01:11:39.9641504Z</t>
  </si>
  <si>
    <t xml:space="preserve">Dương Quang Đông </t>
  </si>
  <si>
    <t>xe đụng trụ bị móp+cong mặt bít trụ</t>
  </si>
  <si>
    <t>côn tròn 8m</t>
  </si>
  <si>
    <t>M20 300x300</t>
  </si>
  <si>
    <t>2025-02-18T01:13:03.1114152Z</t>
  </si>
  <si>
    <t>Chung cư xóm cải lô F/G</t>
  </si>
  <si>
    <t xml:space="preserve">Gỉ sét </t>
  </si>
  <si>
    <t xml:space="preserve">STK trang trí 4m </t>
  </si>
  <si>
    <t>2025-02-18T01:14:35.1614386Z</t>
  </si>
  <si>
    <t>Trụ số 6</t>
  </si>
  <si>
    <t>Trần Hưng Đạo 25</t>
  </si>
  <si>
    <t xml:space="preserve">Mục gỉ sét mặt bích và thân trụ </t>
  </si>
  <si>
    <t>STK 5m trụ cổ cò</t>
  </si>
  <si>
    <t>M20 220×220</t>
  </si>
  <si>
    <t>2025-02-18T01:17:57.9247473Z</t>
  </si>
  <si>
    <t xml:space="preserve">Trụ bị móp méo </t>
  </si>
  <si>
    <t>2025-02-18T01:20:51.2372523Z</t>
  </si>
  <si>
    <t xml:space="preserve">Tản Đà </t>
  </si>
  <si>
    <t xml:space="preserve">Gỉ sét mặt bích </t>
  </si>
  <si>
    <t>2025-02-18T01:23:40.7306574Z</t>
  </si>
  <si>
    <t>1;2;3</t>
  </si>
  <si>
    <t xml:space="preserve">Công Viên đường số 218 Cao Lỗ </t>
  </si>
  <si>
    <t xml:space="preserve">Đường số 218 Cao Lỗ </t>
  </si>
  <si>
    <t xml:space="preserve">Mục+ gỉ sét </t>
  </si>
  <si>
    <t>Trang Trí ( loại 3 choá cầu D300)</t>
  </si>
  <si>
    <t>M18- 240x240</t>
  </si>
  <si>
    <t>2025-02-18T01:25:49.0413385Z</t>
  </si>
  <si>
    <t xml:space="preserve">Cầu Nguyễn Tri Phương </t>
  </si>
  <si>
    <t>M26 310×310</t>
  </si>
  <si>
    <t>2025-02-18T01:26:19.8977027Z</t>
  </si>
  <si>
    <t xml:space="preserve">Đường số 102 Cao Lỗ </t>
  </si>
  <si>
    <t>Trang Trí ( loại trừ 3 choá đèn cầu D300)</t>
  </si>
  <si>
    <t>M18- 240x240mm</t>
  </si>
  <si>
    <t>2025-02-18T01:31:18.6453612Z</t>
  </si>
  <si>
    <t>1 đến 6</t>
  </si>
  <si>
    <t xml:space="preserve">Công Viên Cao Lỗ </t>
  </si>
  <si>
    <t xml:space="preserve">Đường số 9 Cao Lỗ </t>
  </si>
  <si>
    <t xml:space="preserve">Mục+gỉ sét </t>
  </si>
  <si>
    <t>Trang Trí</t>
  </si>
  <si>
    <t>M18- 250x250mm</t>
  </si>
  <si>
    <t>2025-02-18T01:40:03.4545996Z</t>
  </si>
  <si>
    <t xml:space="preserve">Trụ số 3 </t>
  </si>
  <si>
    <t>Nguyễn Thái Học 3</t>
  </si>
  <si>
    <t>Mục trụ</t>
  </si>
  <si>
    <t>STK 9m</t>
  </si>
  <si>
    <t>Móng trụ tròn</t>
  </si>
  <si>
    <t>2026-04-21T03:30:29.7069085Z</t>
  </si>
  <si>
    <t>Thay cả trụ</t>
  </si>
  <si>
    <t xml:space="preserve">Trụ số 8 Cầu thị nghè </t>
  </si>
  <si>
    <t xml:space="preserve">Cầu thị nghè </t>
  </si>
  <si>
    <t>Nguyễn Thị Minh khai 10</t>
  </si>
  <si>
    <t xml:space="preserve">Mục rỉ sét hư mặt bích </t>
  </si>
  <si>
    <t>STK Bác giác 7m</t>
  </si>
  <si>
    <t>M20 _22*22</t>
  </si>
  <si>
    <t>2026-04-22T08:32:56.1322225Z</t>
  </si>
  <si>
    <t>TS 1&gt;3</t>
  </si>
  <si>
    <t>Cầu số 7</t>
  </si>
  <si>
    <t>Trường sa 10</t>
  </si>
  <si>
    <t>1&gt;3</t>
  </si>
  <si>
    <t xml:space="preserve">Trụ mục gì sét </t>
  </si>
  <si>
    <t>Trụ trang trí-4m</t>
  </si>
  <si>
    <t>M22 300x300</t>
  </si>
  <si>
    <t>2026-04-23T05:48:33.9041359Z</t>
  </si>
  <si>
    <t>1-&gt;10</t>
  </si>
  <si>
    <t>Cầu số 9</t>
  </si>
  <si>
    <t>Q3(cu</t>
  </si>
  <si>
    <t>Hoàng sa 8</t>
  </si>
  <si>
    <t xml:space="preserve">Trụ mục gỉ sét </t>
  </si>
  <si>
    <t>Trụ trang trí 4m</t>
  </si>
  <si>
    <t>2026-04-23T06:32:26.2341403Z</t>
  </si>
  <si>
    <t>1-&gt;6</t>
  </si>
  <si>
    <t xml:space="preserve">Cầu trần Quang diệu </t>
  </si>
  <si>
    <t>Trường sa 9</t>
  </si>
  <si>
    <t xml:space="preserve">Mục gỉ sét </t>
  </si>
  <si>
    <t>2026-04-23T06:35:57.1838747Z</t>
  </si>
  <si>
    <t>1-&gt;3</t>
  </si>
  <si>
    <t>Cầu số 8</t>
  </si>
  <si>
    <t>2026-04-23T06:39:23.5122133Z</t>
  </si>
  <si>
    <t>Trụ số 21</t>
  </si>
  <si>
    <t xml:space="preserve">Quản Trọng Linh </t>
  </si>
  <si>
    <t>Quản Trọng Linh 1</t>
  </si>
  <si>
    <t xml:space="preserve">Mục </t>
  </si>
  <si>
    <t>2026-05-07T06:01:37.6135074Z</t>
  </si>
  <si>
    <t xml:space="preserve">Cầu ba tơ </t>
  </si>
  <si>
    <t>Trịnh Quang nghị 5</t>
  </si>
  <si>
    <t>Stk 8m</t>
  </si>
  <si>
    <t>2026-05-07T06:07:39.5663379Z</t>
  </si>
  <si>
    <t>Trụ số 27,28</t>
  </si>
  <si>
    <t>Quản Trọng Linh 2</t>
  </si>
  <si>
    <t>2026-05-07T06:09:10.2721264Z</t>
  </si>
  <si>
    <t>Trụ số 10</t>
  </si>
  <si>
    <t>2026-05-09T02:00:35.4329400Z</t>
  </si>
  <si>
    <t>Trụ số 11</t>
  </si>
  <si>
    <t>2026-05-09T02:04:32.4712286Z</t>
  </si>
  <si>
    <t>1,5 × 1,5</t>
  </si>
  <si>
    <t>Trụ số 12</t>
  </si>
  <si>
    <t xml:space="preserve">STK 8m </t>
  </si>
  <si>
    <t>2026-05-09T02:06:22.4414612Z</t>
  </si>
  <si>
    <t>Trụ số 1,5</t>
  </si>
  <si>
    <t xml:space="preserve"> Hai trụ </t>
  </si>
  <si>
    <t xml:space="preserve">mục gỉ sét làm hư mặt bích </t>
  </si>
  <si>
    <t>STK 8 m</t>
  </si>
  <si>
    <t>2026-05-25T03:53:10.1454990Z</t>
  </si>
  <si>
    <t xml:space="preserve">Mặt bích bị gỉ sét </t>
  </si>
  <si>
    <t>trụ số 1 và trụ số 5</t>
  </si>
  <si>
    <t xml:space="preserve">Vườn Lài </t>
  </si>
  <si>
    <t xml:space="preserve">Hai trụ </t>
  </si>
  <si>
    <t xml:space="preserve">STK 8 m </t>
  </si>
  <si>
    <t>2026-05-25T04:08:21.0648587Z</t>
  </si>
  <si>
    <t xml:space="preserve">Mặt bích bị gỉ sét đánh </t>
  </si>
  <si>
    <t>Loại chóa</t>
  </si>
  <si>
    <t>Onyx</t>
  </si>
  <si>
    <t>Trang trí Bông huệ</t>
  </si>
  <si>
    <t>Cv 23/9 Khu A</t>
  </si>
  <si>
    <t>Cv23/9KA-1</t>
  </si>
  <si>
    <t>Bị bể mất + bộ đèn MH250W do gãy nhánh cây xanh</t>
  </si>
  <si>
    <t>189B Cống Quỳnh</t>
  </si>
  <si>
    <t>H189B Cống Quỳnh</t>
  </si>
  <si>
    <t>GE</t>
  </si>
  <si>
    <t>Hẻm 245 Nguyễn Trãi</t>
  </si>
  <si>
    <t>CC Nguyễn Văn Đậu -1-BT-5</t>
  </si>
  <si>
    <t>D400</t>
  </si>
  <si>
    <t>Dọc Kênh Thanh Đa</t>
  </si>
  <si>
    <t>Dọc Kênh Thanh Đa-3-BT-27</t>
  </si>
  <si>
    <t>Công viên Lô B</t>
  </si>
  <si>
    <t>Lô B Cư Xá Thanh Đa -1-BT-27</t>
  </si>
  <si>
    <t>Trương quyền</t>
  </si>
  <si>
    <t>Xuân hòa</t>
  </si>
  <si>
    <t>Trương quyền 1</t>
  </si>
  <si>
    <t>Ts1-11</t>
  </si>
  <si>
    <t>A2</t>
  </si>
  <si>
    <t>ĐỨC</t>
  </si>
  <si>
    <t xml:space="preserve">Trần văn đang </t>
  </si>
  <si>
    <t>Trần văn ĐANG 3</t>
  </si>
  <si>
    <t>1-&gt;5</t>
  </si>
  <si>
    <t>Trần văn đang 4</t>
  </si>
  <si>
    <t>TS 1-&gt;12</t>
  </si>
  <si>
    <t>Trần văn đang 1</t>
  </si>
  <si>
    <t>TS 1-&gt;10</t>
  </si>
  <si>
    <t>Trần văn đang 2</t>
  </si>
  <si>
    <t>TS 1&gt;12</t>
  </si>
  <si>
    <t>Vòng xoay dân chủ 1</t>
  </si>
  <si>
    <t>TS 1&gt;5</t>
  </si>
  <si>
    <t>NKKN</t>
  </si>
  <si>
    <t>NKKN-1</t>
  </si>
  <si>
    <t>TS 1&gt;24</t>
  </si>
  <si>
    <t xml:space="preserve">Đèn LED </t>
  </si>
  <si>
    <t xml:space="preserve">Phường xuân hoà </t>
  </si>
  <si>
    <t>NKKN-2</t>
  </si>
  <si>
    <t>1&gt;24</t>
  </si>
  <si>
    <t>1-&gt;12</t>
  </si>
  <si>
    <t xml:space="preserve">Thai thế choá bị lão hoá </t>
  </si>
  <si>
    <t xml:space="preserve">Trần Quang diệu </t>
  </si>
  <si>
    <t>Trần quang diệu 1</t>
  </si>
  <si>
    <t>1-&gt;13</t>
  </si>
  <si>
    <t xml:space="preserve">Trần quang diệu </t>
  </si>
  <si>
    <t>Trần quang diệu 2</t>
  </si>
  <si>
    <t xml:space="preserve">Hẻm 80 bà huyện thanh quang </t>
  </si>
  <si>
    <t>1-&gt;7</t>
  </si>
  <si>
    <t xml:space="preserve">Trương quyền </t>
  </si>
  <si>
    <t>Trần văn đang 3</t>
  </si>
  <si>
    <t xml:space="preserve">Chung cư phan Văn Trị </t>
  </si>
  <si>
    <t>EMG2</t>
  </si>
  <si>
    <t xml:space="preserve">4 choá đèn </t>
  </si>
  <si>
    <t>Đường số 5 CXBT</t>
  </si>
  <si>
    <t xml:space="preserve">GE nhỏ </t>
  </si>
  <si>
    <t>150W</t>
  </si>
  <si>
    <t xml:space="preserve">Chợ Thiết 1 </t>
  </si>
  <si>
    <t>A2 150W</t>
  </si>
  <si>
    <t xml:space="preserve">Tân Khai 3 </t>
  </si>
  <si>
    <t>M3 100W</t>
  </si>
  <si>
    <t xml:space="preserve">Hẻm 110 Ông ích Khiêm </t>
  </si>
  <si>
    <t>Ông ích Khiêm 3</t>
  </si>
  <si>
    <t xml:space="preserve">Chung cư Lạc Long Quân </t>
  </si>
  <si>
    <t xml:space="preserve">Tống Văn Trân </t>
  </si>
  <si>
    <t xml:space="preserve">CC lạc Long Quân </t>
  </si>
  <si>
    <t>CC. Lạc Long Quân 1</t>
  </si>
  <si>
    <t>CC lạc Long Quân 2</t>
  </si>
  <si>
    <t xml:space="preserve">Lô B- C - D cư xá Bình Thới </t>
  </si>
  <si>
    <t xml:space="preserve">Lô E- F Cư xá Bình Thới </t>
  </si>
  <si>
    <t>5 đèn</t>
  </si>
  <si>
    <t>A2 -50W ,GE-250W</t>
  </si>
  <si>
    <t>Chủng loại đèn</t>
  </si>
  <si>
    <t>Chủng loại cần đèn</t>
  </si>
  <si>
    <t>Quy cách kiềng cần đèn</t>
  </si>
  <si>
    <t>Kéo thêm cáp nguồn</t>
  </si>
  <si>
    <t>Khoảng cách giữa 2 trụ</t>
  </si>
  <si>
    <t>Số trụ</t>
  </si>
  <si>
    <t>Quy cách</t>
  </si>
  <si>
    <t>CV 23/9 khu A</t>
  </si>
  <si>
    <t>Cv23/9 KA-1</t>
  </si>
  <si>
    <t>Trụ số 6 và Trụ số 13</t>
  </si>
  <si>
    <t>35×25</t>
  </si>
  <si>
    <t>Nguyễn Trãi 3</t>
  </si>
  <si>
    <t>35×16</t>
  </si>
  <si>
    <t>Đỗ Quang Đẩu nd</t>
  </si>
  <si>
    <t>Đõi Quang Đẩu 1</t>
  </si>
  <si>
    <t xml:space="preserve">Trụ Số 3 </t>
  </si>
  <si>
    <t>14×0.8</t>
  </si>
  <si>
    <t>TS6</t>
  </si>
  <si>
    <t>35×20</t>
  </si>
  <si>
    <t>Cầu ông Lãnh</t>
  </si>
  <si>
    <t>Nguyễn Cư Trinh 3</t>
  </si>
  <si>
    <t>TS1</t>
  </si>
  <si>
    <t>TS4</t>
  </si>
  <si>
    <t>TS9</t>
  </si>
  <si>
    <t>Cầu Ông lãnh</t>
  </si>
  <si>
    <t>TS10</t>
  </si>
  <si>
    <t>Nguyễn Văn Cừ</t>
  </si>
  <si>
    <t>Cầu ông lãnh</t>
  </si>
  <si>
    <t>Ts8 + Ts14</t>
  </si>
  <si>
    <t>Sương Nguyệt Ánh</t>
  </si>
  <si>
    <t>Sương Nguyệt Ánh 1</t>
  </si>
  <si>
    <t>30×14</t>
  </si>
  <si>
    <t xml:space="preserve">Công viên Tầm Vu </t>
  </si>
  <si>
    <t>C.Viên Thanh Đa-1-BT-25</t>
  </si>
  <si>
    <t>TS 2, 8, 9, 16, 17, 22, 23, 25, 26, 27, 28</t>
  </si>
  <si>
    <t>Trụ trang trí</t>
  </si>
  <si>
    <t>Cầu Bình Triệu 2</t>
  </si>
  <si>
    <t>Cầu Bình Triệu-2-BT-26</t>
  </si>
  <si>
    <t>TS 3, 4, 11, 14</t>
  </si>
  <si>
    <t>STK</t>
  </si>
  <si>
    <t>CÔ GIANG 2</t>
  </si>
  <si>
    <t>1,3,8,9,10,11,12,13</t>
  </si>
  <si>
    <t xml:space="preserve">Lấy mẫu </t>
  </si>
  <si>
    <t xml:space="preserve">Bị mất nắp cửa trụ </t>
  </si>
  <si>
    <t xml:space="preserve">Điện Biên Phủ-16 </t>
  </si>
  <si>
    <t xml:space="preserve">TS 11 </t>
  </si>
  <si>
    <t>TRỤ TRÒN</t>
  </si>
  <si>
    <t>Điện Biên Phủ-14</t>
  </si>
  <si>
    <t xml:space="preserve">Trụ Tròn </t>
  </si>
  <si>
    <t>Điện Biên Phủ-13</t>
  </si>
  <si>
    <t>TS 7, 9</t>
  </si>
  <si>
    <t xml:space="preserve">Trụ tròn </t>
  </si>
  <si>
    <t>Điện Biên Phủ-15</t>
  </si>
  <si>
    <t>TS 8, 18</t>
  </si>
  <si>
    <t xml:space="preserve">Hẻm 2 Điện Biên Phủ </t>
  </si>
  <si>
    <t>TS 1</t>
  </si>
  <si>
    <t xml:space="preserve">Trụ bát giác </t>
  </si>
  <si>
    <t>Tân Cảng-1</t>
  </si>
  <si>
    <t>TS 3, 4, 5, 6, 7</t>
  </si>
  <si>
    <t>Điện Biên Phủ-18</t>
  </si>
  <si>
    <t>Lê Thánh Tôn</t>
  </si>
  <si>
    <t>Lê Thánh Tôn 1</t>
  </si>
  <si>
    <t>TS7</t>
  </si>
  <si>
    <t xml:space="preserve">PHÓ ĐỨC CHÍNH </t>
  </si>
  <si>
    <t>PHÓ ĐỨC CHÍNH 2</t>
  </si>
  <si>
    <t>TS 9</t>
  </si>
  <si>
    <t xml:space="preserve">Phạm Thế hiển nd </t>
  </si>
  <si>
    <t>Khu dân cư Phú lợi 5</t>
  </si>
  <si>
    <t>Trụ số 1,3</t>
  </si>
  <si>
    <t>15×30</t>
  </si>
  <si>
    <t>Hồng bàng 1</t>
  </si>
  <si>
    <t>1 vỏ tủ</t>
  </si>
  <si>
    <t>Tủ lão hóa</t>
  </si>
  <si>
    <t>NGUYỄN VĂN TRỖI 3</t>
  </si>
  <si>
    <t>Hẻm 4A/6 Nguyễn Văn Thương</t>
  </si>
  <si>
    <t xml:space="preserve">Tủ bị rớt cửa tủ điều khiển </t>
  </si>
  <si>
    <t xml:space="preserve">Lê văn sy </t>
  </si>
  <si>
    <t>Lê văn sy 1</t>
  </si>
  <si>
    <t xml:space="preserve">Võ tủ bị rớt của </t>
  </si>
  <si>
    <t>Lê văn sy 2</t>
  </si>
  <si>
    <t xml:space="preserve">Võ tủ bị lão hoá làm vô nước </t>
  </si>
  <si>
    <t>Lê văn sy 3</t>
  </si>
  <si>
    <t xml:space="preserve">Đỗ thị lời </t>
  </si>
  <si>
    <t>Đỗ thị lời 1</t>
  </si>
  <si>
    <t xml:space="preserve">Võ tủ bị lão làm vô nước </t>
  </si>
  <si>
    <t>Đỗ thị lời 2</t>
  </si>
  <si>
    <t>Chu Vân An</t>
  </si>
  <si>
    <t>Chu Vân An-5</t>
  </si>
  <si>
    <t>cầu Chu Vân An</t>
  </si>
  <si>
    <t>chân cầu Chu Vân An</t>
  </si>
  <si>
    <t>Phan Văn Hân</t>
  </si>
  <si>
    <t>Thạnh Mý Tây</t>
  </si>
  <si>
    <t>Phan Văn Hân-2</t>
  </si>
  <si>
    <t>Ng Bá Vinh</t>
  </si>
  <si>
    <t>Thạnh MỸ Tây</t>
  </si>
  <si>
    <t>Phan Văn Hân-1</t>
  </si>
  <si>
    <t xml:space="preserve"> Nguyễn Hữu Cảnh</t>
  </si>
  <si>
    <t>180 Nguyễn Hữu Cảnh-1</t>
  </si>
  <si>
    <t>Ng bá Vinh</t>
  </si>
  <si>
    <t>hẻm 354 Phan Vân Trị</t>
  </si>
  <si>
    <t>hẻm 354 Phan Vân Trị-1</t>
  </si>
  <si>
    <t>Hẻm 220-LVS</t>
  </si>
  <si>
    <t>Hẻm 220LVS</t>
  </si>
  <si>
    <t xml:space="preserve">Võ tủ bị lão hoá </t>
  </si>
  <si>
    <t xml:space="preserve">Vòng xoay dân chủ </t>
  </si>
  <si>
    <t xml:space="preserve">Sài Sài Gòn </t>
  </si>
  <si>
    <t>TÔN ĐỨC THẮNG 2</t>
  </si>
  <si>
    <t xml:space="preserve">Tôn Thất Đạm </t>
  </si>
  <si>
    <t xml:space="preserve"> TÔN THẤT ĐẠM 2</t>
  </si>
  <si>
    <t>cao thắng</t>
  </si>
  <si>
    <t>cao thắng 1</t>
  </si>
  <si>
    <t>vỏ tủ</t>
  </si>
  <si>
    <t>nguyễn văn trỗi</t>
  </si>
  <si>
    <t>nguyễn văn trỗi 3</t>
  </si>
  <si>
    <t>nguyễn văn trôi 4</t>
  </si>
  <si>
    <t xml:space="preserve">nguyễn văn trỗi </t>
  </si>
  <si>
    <t>nguyễn văn trỗi 5</t>
  </si>
  <si>
    <t>hâu</t>
  </si>
  <si>
    <t xml:space="preserve">Yersin </t>
  </si>
  <si>
    <t>Yersin 1</t>
  </si>
  <si>
    <t>Hùng Vương 5</t>
  </si>
  <si>
    <t>Ngô quyền 1</t>
  </si>
  <si>
    <t>1 đến 5</t>
  </si>
  <si>
    <t xml:space="preserve">Đường số 2 KDC Chánh Hưng </t>
  </si>
  <si>
    <t>1 đến 13</t>
  </si>
  <si>
    <t>1 đến 35</t>
  </si>
  <si>
    <t xml:space="preserve">Dương Quang Đông 1 </t>
  </si>
  <si>
    <t>1 đến 3</t>
  </si>
  <si>
    <t>Sân Vận Động Q8</t>
  </si>
  <si>
    <t>1 đến 37</t>
  </si>
  <si>
    <t>1 đến 7</t>
  </si>
  <si>
    <t xml:space="preserve">Hẻm 35 Cao Lỗ </t>
  </si>
  <si>
    <t>CA Quận 8</t>
  </si>
  <si>
    <t xml:space="preserve">1 đến 6 </t>
  </si>
  <si>
    <t>Decal số trụ 28</t>
  </si>
  <si>
    <t xml:space="preserve">1 cũ </t>
  </si>
  <si>
    <t>26 đg Mạc Đĩnh Chị + 2 Hẻm 82</t>
  </si>
  <si>
    <t>Nhân</t>
  </si>
  <si>
    <t>26 số Đường  + 2  số Hẻm MĐC</t>
  </si>
  <si>
    <t xml:space="preserve">Decal số trụ </t>
  </si>
  <si>
    <t xml:space="preserve">Nguyễn Thị Minh </t>
  </si>
  <si>
    <t>Nguyễn Thị Minh Khai 7</t>
  </si>
  <si>
    <t xml:space="preserve">ST1 đến ST5 Q3 cũ  NTMK  , ST1 đến ST13 Q1 ,  ST1 đến ST7 đg Hai Bà Trưng, ST1 đến ST6 đg Nguyễn Văn Chiêmđến ST7 TMK ,  </t>
  </si>
  <si>
    <t>21 số</t>
  </si>
  <si>
    <t xml:space="preserve">Decal </t>
  </si>
  <si>
    <t>Hẻm 8A Thái Văn Lung</t>
  </si>
  <si>
    <t>Thái Văn Lưng 1</t>
  </si>
  <si>
    <t xml:space="preserve">10 Số </t>
  </si>
  <si>
    <t xml:space="preserve">NGUYỄN Thị Minh Khai </t>
  </si>
  <si>
    <t xml:space="preserve">Quận 3 cũ </t>
  </si>
  <si>
    <t xml:space="preserve">Nguyễn Văn Chiêm </t>
  </si>
  <si>
    <t>Hẻm 17 Lê Duẩn</t>
  </si>
  <si>
    <t>Mạc Đĩnh Chị 1</t>
  </si>
  <si>
    <t xml:space="preserve">Hẻm 18A Nguyễn Thị Minh Khai </t>
  </si>
  <si>
    <t xml:space="preserve">SÀI GÒN </t>
  </si>
  <si>
    <t>NGUYỄN THỊ MINH KHAI 9</t>
  </si>
  <si>
    <t>Lê Thánh Tôn 3</t>
  </si>
  <si>
    <t>1 &gt; 12</t>
  </si>
  <si>
    <t xml:space="preserve">Cũ </t>
  </si>
  <si>
    <t>1&gt;9</t>
  </si>
  <si>
    <t>Ngô Văn Năm</t>
  </si>
  <si>
    <t>1&gt;12</t>
  </si>
  <si>
    <t>1&gt;4</t>
  </si>
  <si>
    <t>1&gt;16</t>
  </si>
  <si>
    <t>1&gt;8</t>
  </si>
  <si>
    <t>1&gt;11</t>
  </si>
  <si>
    <t xml:space="preserve">Hẻm 18Bis Nguyễn Thị Minh Khai </t>
  </si>
  <si>
    <t>Lê Thánh Tôn 5</t>
  </si>
  <si>
    <t xml:space="preserve">Đồng Khởi </t>
  </si>
  <si>
    <t>Số trụ 9</t>
  </si>
  <si>
    <t>1&gt;5</t>
  </si>
  <si>
    <t>1&gt;2</t>
  </si>
  <si>
    <t>Lê Thánh Tôn 2</t>
  </si>
  <si>
    <t>Số trụ 5 ( 2 đèn  )</t>
  </si>
  <si>
    <t>Thủ Khoa Huân</t>
  </si>
  <si>
    <t>Thủ Khoa Huân 1</t>
  </si>
  <si>
    <t>Ngô Đức Kế</t>
  </si>
  <si>
    <t>Ngô Đức Kế 2</t>
  </si>
  <si>
    <t>1&gt;7</t>
  </si>
  <si>
    <t>Đông Du</t>
  </si>
  <si>
    <t>Số trụ 1 ( 2 đèn  )</t>
  </si>
  <si>
    <t>1&gt;6</t>
  </si>
  <si>
    <t>Số trụ 6 ( 2 đèn  )</t>
  </si>
  <si>
    <t>Mạc Thị Bưởi</t>
  </si>
  <si>
    <t>Mạc Thị Bưởi 1</t>
  </si>
  <si>
    <t>Ngô Đức Kế 1</t>
  </si>
  <si>
    <t>N̈gô Đức Kế 1</t>
  </si>
  <si>
    <t>1&gt;10</t>
  </si>
  <si>
    <t>Đồng Khởi 1</t>
  </si>
  <si>
    <t>1&gt;28</t>
  </si>
  <si>
    <t xml:space="preserve">Công Viên 30/4 </t>
  </si>
  <si>
    <t>Công Viên 30/4_3</t>
  </si>
  <si>
    <t xml:space="preserve">Huỳnh Thúc Kháng </t>
  </si>
  <si>
    <t>Huỳnh Thúc Kháng 1</t>
  </si>
  <si>
    <t>Hồ Tùng Mậu</t>
  </si>
  <si>
    <t>Tôn Thất Đạm</t>
  </si>
  <si>
    <t>Số trụ 5</t>
  </si>
  <si>
    <t>Hải Triều</t>
  </si>
  <si>
    <t>Số trụ 8 ( 2 đèn  )</t>
  </si>
  <si>
    <t>TS1 đến TS116</t>
  </si>
  <si>
    <t>Cv Tao Đàn</t>
  </si>
  <si>
    <t>Cv Tao Đàn 1</t>
  </si>
  <si>
    <t>Ts1 đến TS6</t>
  </si>
  <si>
    <t>CV TAO ĐÀN</t>
  </si>
  <si>
    <t>CVTao Đàn 2</t>
  </si>
  <si>
    <t>6 trụ STK+ 21 đèn âm đất+ 2 đèn pha</t>
  </si>
  <si>
    <t>Số 7</t>
  </si>
  <si>
    <t>TS 1 đến TS 15</t>
  </si>
  <si>
    <t>Trần Bình Trọng</t>
  </si>
  <si>
    <t>Trần Bình Trọng-1-BT-5</t>
  </si>
  <si>
    <t>Tống di Tân</t>
  </si>
  <si>
    <t xml:space="preserve">PHƯƠNG </t>
  </si>
  <si>
    <t>Trụ số 6 đến 16</t>
  </si>
  <si>
    <t>Nguyễn Văn cừ 4</t>
  </si>
  <si>
    <t>1 đến 23</t>
  </si>
  <si>
    <t xml:space="preserve">Tú Xương </t>
  </si>
  <si>
    <t>Tú Xương  1</t>
  </si>
  <si>
    <t>Dán số trụ  1_ 11</t>
  </si>
  <si>
    <t>Tú Xương 2</t>
  </si>
  <si>
    <t xml:space="preserve">Trụ số 1 đến trụ số 4 </t>
  </si>
  <si>
    <t xml:space="preserve">Hẻm 46 Đinh công tráng </t>
  </si>
  <si>
    <t>Đinh Công tráng 1</t>
  </si>
  <si>
    <t xml:space="preserve">Hẻm 37 Đinh công tráng </t>
  </si>
  <si>
    <t xml:space="preserve">Đinh Công tráng 1 </t>
  </si>
  <si>
    <t xml:space="preserve">Hẻm 85 Thạch Thị Thanh </t>
  </si>
  <si>
    <t xml:space="preserve">Đinh Công tráng </t>
  </si>
  <si>
    <t>Trụ số 1 đến trụ số 19</t>
  </si>
  <si>
    <t>Hai Bà Trưng 7</t>
  </si>
  <si>
    <t>Trụ số 1 đến trụ số 15</t>
  </si>
  <si>
    <t>Trụ số 1 đến trụ số 2</t>
  </si>
  <si>
    <t xml:space="preserve">Hẻm 23 bà Lê chân </t>
  </si>
  <si>
    <t>Bà Lê chân 1</t>
  </si>
  <si>
    <t xml:space="preserve">KNỞ Trần Nhật Duật </t>
  </si>
  <si>
    <t xml:space="preserve">KNỞ 10A Trần Nhật Duật </t>
  </si>
  <si>
    <t xml:space="preserve">Trần Khánh dư </t>
  </si>
  <si>
    <t>Trần Nhật Duật 2</t>
  </si>
  <si>
    <t xml:space="preserve">Hẻm 34 Trần Khánh dư </t>
  </si>
  <si>
    <t xml:space="preserve">Trần Nhật Duật 2 </t>
  </si>
  <si>
    <t xml:space="preserve">Hẻm 212 Nguyễn Văn Nguyễn </t>
  </si>
  <si>
    <t>Nguyễn Văn Nguyễn 3</t>
  </si>
  <si>
    <t xml:space="preserve">Hẻm 53 Trần Khánh dư </t>
  </si>
  <si>
    <t>Trần Khánh dư 1</t>
  </si>
  <si>
    <t xml:space="preserve">Hẻm 93 Trần khắc chân </t>
  </si>
  <si>
    <t xml:space="preserve">Trần Khánh dư 1 </t>
  </si>
  <si>
    <t xml:space="preserve">Hẻm 85 Trần khắc chân </t>
  </si>
  <si>
    <t xml:space="preserve">Hẻm 101 Trần khắc chân </t>
  </si>
  <si>
    <t xml:space="preserve">Hẻm 100 Nguyễn đình chiểu </t>
  </si>
  <si>
    <t>Nguyễn đình chiểu 2</t>
  </si>
  <si>
    <t xml:space="preserve">Hẻm 25 Nguyễn bỉnh Khiêm </t>
  </si>
  <si>
    <t>Nguyễn bỉnh Khiêm 2</t>
  </si>
  <si>
    <t>Nguyễn Huy Tự</t>
  </si>
  <si>
    <t xml:space="preserve">Nguyễn Huy Tự-1 </t>
  </si>
  <si>
    <t xml:space="preserve">Trần Quốc Thảo </t>
  </si>
  <si>
    <t>1 đến 12</t>
  </si>
  <si>
    <t>1 đến 16</t>
  </si>
  <si>
    <t xml:space="preserve">Bà Huyện Thanh Quan </t>
  </si>
  <si>
    <t>Bà Huyện Thanh Quan 3</t>
  </si>
  <si>
    <t>1 đến 10</t>
  </si>
  <si>
    <t>Bà Huyện Thanh Quan 4</t>
  </si>
  <si>
    <t>1 đến 25</t>
  </si>
  <si>
    <t>1 đến 11</t>
  </si>
  <si>
    <t>Lý Thái Tổ 1</t>
  </si>
  <si>
    <t xml:space="preserve">Lý Thái Tổ 4 </t>
  </si>
  <si>
    <t>1 đến 8</t>
  </si>
  <si>
    <t>Điện Biên  Phủ 4</t>
  </si>
  <si>
    <t>Điện Biên Phủ 6</t>
  </si>
  <si>
    <t>1 đến 9</t>
  </si>
  <si>
    <t xml:space="preserve">Điện Biên Phủ 7 </t>
  </si>
  <si>
    <t>1 đến 18</t>
  </si>
  <si>
    <t xml:space="preserve">Bàn Cờ 1 </t>
  </si>
  <si>
    <t xml:space="preserve">Nguyễn Thượng Hiền 1 </t>
  </si>
  <si>
    <t>Cách mạng T8 _ 6</t>
  </si>
  <si>
    <t>Cách mạng T8 _ 8</t>
  </si>
  <si>
    <t>Cách mạng T8 _ 10</t>
  </si>
  <si>
    <t>Trụ số 1 đến trụ số 8</t>
  </si>
  <si>
    <t>Trần Khánh dư 2</t>
  </si>
  <si>
    <t>Trụ số 1 đến trụ số 31</t>
  </si>
  <si>
    <t xml:space="preserve">Công viên Lê Văn tám </t>
  </si>
  <si>
    <t>Lê Văn tám 2</t>
  </si>
  <si>
    <t>Trụ số 1 đến trụ số 30</t>
  </si>
  <si>
    <t>Lê Văn tám 1</t>
  </si>
  <si>
    <t>TS1-&gt;17</t>
  </si>
  <si>
    <t>15x20cm</t>
  </si>
  <si>
    <t xml:space="preserve">Thai thế Decal cũ mờ không thấy số </t>
  </si>
  <si>
    <t>TS 1-&gt;18</t>
  </si>
  <si>
    <t>CMT8-18</t>
  </si>
  <si>
    <t>16x20cm</t>
  </si>
  <si>
    <t>TS 1-&gt;8</t>
  </si>
  <si>
    <t>ĐS 3 CXĐT</t>
  </si>
  <si>
    <t>Đường số 3 CXĐT</t>
  </si>
  <si>
    <t>, 3</t>
  </si>
  <si>
    <t>Hẻm số 4 đường số 3 cxdt</t>
  </si>
  <si>
    <t xml:space="preserve">Bàn cờ </t>
  </si>
  <si>
    <t xml:space="preserve">Đường số 3 CXĐT </t>
  </si>
  <si>
    <t xml:space="preserve">Đường số 6 </t>
  </si>
  <si>
    <t xml:space="preserve">Đường số 6 CXĐT </t>
  </si>
  <si>
    <t xml:space="preserve">Hẻm 36 Nguyễn Hiền </t>
  </si>
  <si>
    <t xml:space="preserve">Hẻm 46 Vườn Chuối </t>
  </si>
  <si>
    <t>TS 1-5</t>
  </si>
  <si>
    <t>Duy tân1</t>
  </si>
  <si>
    <t>5 trụ</t>
  </si>
  <si>
    <t>TS1- 5</t>
  </si>
  <si>
    <t>duy tân 2</t>
  </si>
  <si>
    <t>duy tân 3</t>
  </si>
  <si>
    <t xml:space="preserve">Mai Xuân thưởng </t>
  </si>
  <si>
    <t>Mai Xuân thưởng 1</t>
  </si>
  <si>
    <t>Từ 1 đến 8</t>
  </si>
  <si>
    <t xml:space="preserve">Dán decal đèn </t>
  </si>
  <si>
    <t xml:space="preserve">Hẻm 273 nguyễn văn đậu </t>
  </si>
  <si>
    <t xml:space="preserve">Mai Xuân thưởng 1 </t>
  </si>
  <si>
    <t>Từ 1 đến 17</t>
  </si>
  <si>
    <t xml:space="preserve">Decal đèn </t>
  </si>
  <si>
    <t xml:space="preserve">Hẻm 273/29 Nguyễn Văn đậu </t>
  </si>
  <si>
    <t>Từ 1 đến 11</t>
  </si>
  <si>
    <t xml:space="preserve">Phan Châu Trinh </t>
  </si>
  <si>
    <t>Phan Châu Trinh 2</t>
  </si>
  <si>
    <t xml:space="preserve">Hẻm 372 nơ trang long </t>
  </si>
  <si>
    <t xml:space="preserve">Phan Châu Trinh 2 </t>
  </si>
  <si>
    <t xml:space="preserve">Hẻm 380 nơ trang long </t>
  </si>
  <si>
    <t>Decal đèn</t>
  </si>
  <si>
    <t xml:space="preserve">Hẻm 356 nơ trang long </t>
  </si>
  <si>
    <t xml:space="preserve">1 đến 4 </t>
  </si>
  <si>
    <t xml:space="preserve">Hẻm 220 nguyễn xí </t>
  </si>
  <si>
    <t>Hẻm 220 Nguyễn xí -1</t>
  </si>
  <si>
    <t xml:space="preserve">Nguyễn xí </t>
  </si>
  <si>
    <t>Nguyễn xí 5-1</t>
  </si>
  <si>
    <t>1 đến 22</t>
  </si>
  <si>
    <t xml:space="preserve">Nơ trang long </t>
  </si>
  <si>
    <t>Nơ trang long 1</t>
  </si>
  <si>
    <t>KNO 411 NTL</t>
  </si>
  <si>
    <t xml:space="preserve">Hẻm 423 nơ trang long </t>
  </si>
  <si>
    <t xml:space="preserve">Nơ trang long 1 </t>
  </si>
  <si>
    <t xml:space="preserve">1 đến 3 </t>
  </si>
  <si>
    <t xml:space="preserve">Hẻm 482 nơ trang long </t>
  </si>
  <si>
    <t xml:space="preserve">Hẻm 482/10 nơ trang long </t>
  </si>
  <si>
    <t xml:space="preserve">Hẻm 482/10/26 nơ trang long </t>
  </si>
  <si>
    <t xml:space="preserve">Hẻm 482/10/28 nơ trang long </t>
  </si>
  <si>
    <t>Cầu bình lợi 1</t>
  </si>
  <si>
    <t xml:space="preserve">Huỳnh Thị Phụng </t>
  </si>
  <si>
    <t>11 số</t>
  </si>
  <si>
    <t>Phạm Thế Hiển 1</t>
  </si>
  <si>
    <t>6 số</t>
  </si>
  <si>
    <t>2 số</t>
  </si>
  <si>
    <t>Dạ Nam</t>
  </si>
  <si>
    <t>3 số</t>
  </si>
  <si>
    <t>Phạm Thế Hiển 3</t>
  </si>
  <si>
    <t>1 số</t>
  </si>
  <si>
    <t>Phạm Thế Hiển 4</t>
  </si>
  <si>
    <t xml:space="preserve">3 số </t>
  </si>
  <si>
    <t>8 số</t>
  </si>
  <si>
    <t xml:space="preserve">6 số </t>
  </si>
  <si>
    <t>Cầu Mật</t>
  </si>
  <si>
    <t xml:space="preserve">2 số </t>
  </si>
  <si>
    <t>5 số</t>
  </si>
  <si>
    <t xml:space="preserve">5 số </t>
  </si>
  <si>
    <t>Phạm Thế Hiển 10</t>
  </si>
  <si>
    <t>4 số</t>
  </si>
  <si>
    <t>Phạm Thế Hiển 11</t>
  </si>
  <si>
    <t>9 số</t>
  </si>
  <si>
    <t>Trụ số 1-9 (10 đèn)</t>
  </si>
  <si>
    <t xml:space="preserve">Hoà Hảo </t>
  </si>
  <si>
    <t>9 Decal</t>
  </si>
  <si>
    <t>Mới ngầm hoá chưa có số trụ</t>
  </si>
  <si>
    <t>Tống Duy Tân</t>
  </si>
  <si>
    <t>Độ cao nâng</t>
  </si>
  <si>
    <t>Chiều cao nắp cửa trụ (từ mặt bích đến nắp cửa trụ)</t>
  </si>
  <si>
    <t xml:space="preserve">Công viên an bình </t>
  </si>
  <si>
    <t>M16 × 400</t>
  </si>
  <si>
    <t>2025-02-18T07:35:06.1911106Z</t>
  </si>
  <si>
    <t xml:space="preserve">Công viên hoà bình </t>
  </si>
  <si>
    <t>2025-02-18T07:37:14.7553832Z</t>
  </si>
  <si>
    <t>Trụ số 70</t>
  </si>
  <si>
    <t xml:space="preserve">Võ văn kiệt </t>
  </si>
  <si>
    <t>Võ văn kiệt 7</t>
  </si>
  <si>
    <t>200 ( 20 cm )</t>
  </si>
  <si>
    <t>M22 × 400</t>
  </si>
  <si>
    <t xml:space="preserve">1,4 mét </t>
  </si>
  <si>
    <t>2025-03-12T00:57:48.9355910Z</t>
  </si>
  <si>
    <t xml:space="preserve">Bu lông ốc móng trụ bị mục rỉ sét </t>
  </si>
  <si>
    <t>Trụ số 8</t>
  </si>
  <si>
    <t xml:space="preserve">Nguyễn Thị Minh khai 10 </t>
  </si>
  <si>
    <t>200mm</t>
  </si>
  <si>
    <t>1m</t>
  </si>
  <si>
    <t>2026-04-22T08:39:23.2253680Z</t>
  </si>
  <si>
    <t>Nguyễn đình chiểu 1</t>
  </si>
  <si>
    <t>M20 _300*300</t>
  </si>
  <si>
    <t>1M</t>
  </si>
  <si>
    <t>2026-04-22T08:42:55.1720801Z</t>
  </si>
  <si>
    <t>11, 19</t>
  </si>
  <si>
    <t>Công Viên 30/4</t>
  </si>
  <si>
    <t>Công Viên 30/4_2</t>
  </si>
  <si>
    <t>20 phân</t>
  </si>
  <si>
    <t>200x 200</t>
  </si>
  <si>
    <t>0,5 m</t>
  </si>
  <si>
    <t>2026-04-22T09:05:01.5440240Z</t>
  </si>
  <si>
    <t xml:space="preserve">Mục bu lông </t>
  </si>
  <si>
    <t>30CM</t>
  </si>
  <si>
    <t>M22-300×300</t>
  </si>
  <si>
    <t>60CM</t>
  </si>
  <si>
    <t>2026-04-23T06:06:48.7881392Z</t>
  </si>
  <si>
    <t xml:space="preserve">Bulong mực gì sét </t>
  </si>
  <si>
    <t>Hoàng sa 9</t>
  </si>
  <si>
    <t>60Cm</t>
  </si>
  <si>
    <t>2026-04-23T06:10:31.5961488Z</t>
  </si>
  <si>
    <t xml:space="preserve">Bulong mục gì sét </t>
  </si>
  <si>
    <t>2026-04-23T06:14:54.1286700Z</t>
  </si>
  <si>
    <t>2026-04-23T06:18:24.0899378Z</t>
  </si>
  <si>
    <t>M22-300 ×300</t>
  </si>
  <si>
    <t xml:space="preserve">60CM </t>
  </si>
  <si>
    <t>2026-04-23T06:22:08.5114388Z</t>
  </si>
  <si>
    <t>30Cm</t>
  </si>
  <si>
    <t>60m</t>
  </si>
  <si>
    <t>2026-04-23T06:25:32.1200665Z</t>
  </si>
  <si>
    <t xml:space="preserve">Bulong mục gỉ sét </t>
  </si>
  <si>
    <t xml:space="preserve">Trụ số 1, 2, 4 </t>
  </si>
  <si>
    <t xml:space="preserve">Tôn Thất Hiệp </t>
  </si>
  <si>
    <t>13 ( Phú Thọ)</t>
  </si>
  <si>
    <t>20cm</t>
  </si>
  <si>
    <t>3 Trụ ( Trụ số 1 3 đầu cáp , trụ số 2 2 đầu cáp , trụ số 4 1 đầu cáp)</t>
  </si>
  <si>
    <t>300×300</t>
  </si>
  <si>
    <t xml:space="preserve">TRẦN ĐỨC ĐỊNH </t>
  </si>
  <si>
    <t>2026-05-08T02:29:50.0200316Z</t>
  </si>
  <si>
    <t>Cải tạo vỉa hè  (Trụ số 1 Ba đầu cáp , trụ số 2 Hai đầu cáp , trụ số 4 Một đầu cáp)</t>
  </si>
  <si>
    <t>Trụ số 2,6</t>
  </si>
  <si>
    <t>Đường Nguyễn Kim</t>
  </si>
  <si>
    <t>Q10 củ</t>
  </si>
  <si>
    <t>Duyên Hồng</t>
  </si>
  <si>
    <t>Tân Phước 1</t>
  </si>
  <si>
    <t>2 trụ (trụ số 2 hai đầu cáp, trụ số 6 hai đầu cáp)</t>
  </si>
  <si>
    <t>Bu lông M20 , 300x300</t>
  </si>
  <si>
    <t>1,4m</t>
  </si>
  <si>
    <t>2026-05-08T09:39:48.1177635Z</t>
  </si>
  <si>
    <t>Móng trụ bị chôn lấp mặt Bích</t>
  </si>
  <si>
    <t>Trụ số 4</t>
  </si>
  <si>
    <t>Đường 3/2</t>
  </si>
  <si>
    <t>Q10 cũ</t>
  </si>
  <si>
    <t>Ba tháng Hai 2</t>
  </si>
  <si>
    <t>1 (trụ Số 4 hai đầu cáp)</t>
  </si>
  <si>
    <t>Bu lông M20 (300x300)</t>
  </si>
  <si>
    <t>2026-05-08T09:50:03.5797220Z</t>
  </si>
  <si>
    <t>Gãy một con bu lông</t>
  </si>
  <si>
    <t>Trụ Số 28</t>
  </si>
  <si>
    <t>300*300</t>
  </si>
  <si>
    <t>1,5m</t>
  </si>
  <si>
    <t>2026-05-09T02:08:10.4596605Z</t>
  </si>
  <si>
    <t>Bị chôn lấp mặt Bích</t>
  </si>
  <si>
    <t>40cm</t>
  </si>
  <si>
    <t>2026-05-11T00:59:45.8762612Z</t>
  </si>
  <si>
    <t>Trụ số 15</t>
  </si>
  <si>
    <t>80cm</t>
  </si>
  <si>
    <t>2026-05-11T01:01:46.2850156Z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</si>
</sst>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rial"/>
      <family val="2"/>
      <scheme val="minor"/>
    </font>
    <font>
      <u/>
      <sz val="11"/>
      <color theme="10"/>
      <name val="Arial"/>
      <family val="2"/>
      <scheme val="minor"/>
    </font>
    <font>
      <sz val="11"/>
      <color rgb="FFFF0000"/>
      <name val="Arial"/>
      <family val="2"/>
      <scheme val="minor"/>
    </font>
    <font>
      <b/>
      <sz val="11"/>
      <color theme="1"/>
      <name val="Arial"/>
      <family val="2"/>
      <scheme val="minor"/>
    </font>
    <font>
      <sz val="12"/>
      <color theme="1"/>
      <name val="Times New Roman"/>
      <family val="1"/>
    </font>
    <font>
      <u/>
      <sz val="12"/>
      <color theme="10"/>
      <name val="Times New Roman"/>
      <family val="1"/>
    </font>
    <font>
      <sz val="8"/>
      <name val="Arial"/>
      <family val="2"/>
      <scheme val="minor"/>
    </font>
    <font>
      <sz val="9"/>
      <color indexed="81"/>
      <name val="Tahoma"/>
      <family val="2"/>
    </font>
    <font>
      <b/>
      <sz val="9"/>
      <color indexed="81"/>
      <name val="Tahoma"/>
      <family val="2"/>
    </font>
    <font>
      <b/>
      <sz val="11"/>
      <color theme="0"/>
      <name val="Arial"/>
      <family val="2"/>
      <scheme val="minor"/>
    </font>
    <font>
      <sz val="11"/>
      <color theme="1"/>
      <name val="Arial"/>
      <family val="2"/>
      <scheme val="minor"/>
    </font>
    <font>
      <sz val="14"/>
      <color rgb="FFFFFFFF"/>
      <name val="Arial"/>
      <family val="2"/>
    </font>
    <font>
      <sz val="13"/>
      <color theme="1"/>
      <name val="Times New Roman"/>
      <family val="1"/>
    </font>
    <font>
      <b/>
      <sz val="13"/>
      <color rgb="FFFF0000"/>
      <name val="Times New Roman"/>
      <family val="1"/>
    </font>
    <font>
      <sz val="13"/>
      <color rgb="FF000000"/>
      <name val="Times New Roman"/>
      <family val="1"/>
      <charset val="1"/>
    </font>
    <font>
      <b/>
      <sz val="11"/>
      <color rgb="FFFF0000"/>
      <name val="Times New Roman"/>
      <family val="1"/>
    </font>
    <font>
      <sz val="11"/>
      <color rgb="FF000000"/>
      <name val="Times New Roman"/>
      <family val="1"/>
    </font>
    <font>
      <sz val="11"/>
      <color rgb="FFFF0000"/>
      <name val="Times New Roman"/>
      <family val="1"/>
    </font>
    <font>
      <b/>
      <sz val="13"/>
      <color rgb="FF000000"/>
      <name val="Times New Roman"/>
      <family val="1"/>
    </font>
    <font>
      <b/>
      <i/>
      <sz val="13"/>
      <color rgb="FF000000"/>
      <name val="Times New Roman"/>
      <family val="1"/>
    </font>
    <font>
      <sz val="13"/>
      <color theme="1"/>
      <name val="Arial"/>
      <family val="2"/>
      <scheme val="minor"/>
    </font>
    <font>
      <b/>
      <sz val="14"/>
      <color rgb="FF000000"/>
      <name val="Times New Roman"/>
      <family val="1"/>
    </font>
    <font>
      <sz val="13"/>
      <color rgb="FF000000"/>
      <name val="Times New Roman"/>
      <family val="1"/>
    </font>
    <font>
      <b/>
      <sz val="12"/>
      <color rgb="FFFF0000"/>
      <name val="Times New Roman"/>
      <family val="1"/>
    </font>
    <font>
      <b/>
      <sz val="12"/>
      <color rgb="FF000000"/>
      <name val="Times New Roman"/>
      <family val="1"/>
    </font>
    <font>
      <sz val="11"/>
      <color rgb="FF000000"/>
      <name val="Arial"/>
      <family val="2"/>
      <scheme val="minor"/>
    </font>
    <font>
      <sz val="12"/>
      <color rgb="FFFF0000"/>
      <name val="Times New Roman"/>
      <family val="1"/>
    </font>
    <font>
      <sz val="12"/>
      <color rgb="FF9C0006"/>
      <name val="Times New Roman"/>
      <family val="1"/>
    </font>
    <font>
      <sz val="12"/>
      <name val="Times New Roman"/>
      <family val="1"/>
    </font>
    <font>
      <b/>
      <sz val="11"/>
      <name val="Arial"/>
      <family val="2"/>
      <scheme val="minor"/>
    </font>
    <font>
      <sz val="11"/>
      <name val="Arial"/>
      <family val="2"/>
      <scheme val="minor"/>
    </font>
    <font>
      <sz val="11"/>
      <color rgb="FF000000"/>
      <name val="Calibri"/>
      <family val="2"/>
    </font>
    <font>
      <sz val="12"/>
      <color theme="1"/>
      <name val="Times New Roman"/>
    </font>
    <font>
      <u/>
      <sz val="12"/>
      <color theme="10"/>
      <name val="Times New Roman"/>
    </font>
  </fonts>
  <fills count="13">
    <fill>
      <patternFill patternType="none"/>
    </fill>
    <fill>
      <patternFill patternType="gray125"/>
    </fill>
    <fill>
      <patternFill patternType="solid">
        <fgColor theme="4" tint="0.79998168889431442"/>
        <bgColor theme="4" tint="0.79998168889431442"/>
      </patternFill>
    </fill>
    <fill>
      <patternFill patternType="solid">
        <fgColor rgb="FFFFC000"/>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bgColor theme="4"/>
      </patternFill>
    </fill>
    <fill>
      <patternFill patternType="solid">
        <fgColor theme="0" tint="-0.34998626667073579"/>
        <bgColor indexed="64"/>
      </patternFill>
    </fill>
    <fill>
      <patternFill patternType="solid">
        <fgColor rgb="FF92D050"/>
        <bgColor rgb="FF000000"/>
      </patternFill>
    </fill>
    <fill>
      <patternFill patternType="solid">
        <fgColor rgb="FFFFC7CE"/>
        <bgColor rgb="FF000000"/>
      </patternFill>
    </fill>
    <fill>
      <patternFill patternType="solid">
        <fgColor rgb="FFFFFF00"/>
        <bgColor rgb="FF000000"/>
      </patternFill>
    </fill>
    <fill>
      <patternFill patternType="solid">
        <fgColor rgb="FF00B0F0"/>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style="thin">
        <color indexed="64"/>
      </left>
      <right/>
      <top style="thin">
        <color theme="4" tint="0.39997558519241921"/>
      </top>
      <bottom/>
      <diagonal/>
    </border>
    <border>
      <left style="thin">
        <color theme="4" tint="0.39997558519241921"/>
      </left>
      <right/>
      <top style="thin">
        <color indexed="64"/>
      </top>
      <bottom style="thin">
        <color theme="4" tint="0.39997558519241921"/>
      </bottom>
      <diagonal/>
    </border>
    <border>
      <left/>
      <right/>
      <top style="thin">
        <color indexed="64"/>
      </top>
      <bottom style="thin">
        <color theme="4" tint="0.39997558519241921"/>
      </bottom>
      <diagonal/>
    </border>
    <border>
      <left style="thin">
        <color indexed="64"/>
      </left>
      <right style="thin">
        <color theme="4" tint="0.39997558519241921"/>
      </right>
      <top style="thin">
        <color indexed="64"/>
      </top>
      <bottom/>
      <diagonal/>
    </border>
    <border>
      <left style="thin">
        <color theme="4" tint="0.39997558519241921"/>
      </left>
      <right/>
      <top style="thin">
        <color theme="4" tint="0.39997558519241921"/>
      </top>
      <bottom/>
      <diagonal/>
    </border>
    <border>
      <left style="thin">
        <color theme="4" tint="0.39997558519241921"/>
      </left>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theme="4" tint="0.39997558519241921"/>
      </right>
      <top style="thin">
        <color theme="4" tint="0.39997558519241921"/>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indexed="64"/>
      </left>
      <right style="thin">
        <color indexed="64"/>
      </right>
      <top style="thin">
        <color theme="4" tint="0.39997558519241921"/>
      </top>
      <bottom/>
      <diagonal/>
    </border>
  </borders>
  <cellStyleXfs count="2">
    <xf numFmtId="0" fontId="0" fillId="0" borderId="0"/>
    <xf numFmtId="0" fontId="1" fillId="0" borderId="0" applyNumberFormat="0" applyFill="0" applyBorder="0" applyAlignment="0" applyProtection="0"/>
  </cellStyleXfs>
  <cellXfs count="231">
    <xf numFmtId="0" fontId="0" fillId="0" borderId="0" xfId="0"/>
    <xf numFmtId="0" fontId="1" fillId="0" borderId="0" xfId="1"/>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49" fontId="0" fillId="0" borderId="0" xfId="0" applyNumberFormat="1" applyAlignment="1">
      <alignment vertical="center"/>
    </xf>
    <xf numFmtId="0" fontId="2" fillId="0" borderId="0" xfId="0" applyFont="1"/>
    <xf numFmtId="0" fontId="0" fillId="0" borderId="1" xfId="0" applyBorder="1" applyAlignment="1">
      <alignment vertical="center"/>
    </xf>
    <xf numFmtId="0" fontId="0" fillId="0" borderId="2" xfId="0" applyBorder="1" applyAlignment="1">
      <alignment vertical="center"/>
    </xf>
    <xf numFmtId="0" fontId="3" fillId="0" borderId="0" xfId="0" applyFont="1" applyAlignment="1">
      <alignment vertical="center"/>
    </xf>
    <xf numFmtId="0" fontId="4" fillId="0" borderId="1" xfId="0" applyFont="1" applyBorder="1" applyAlignment="1">
      <alignment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0" xfId="0" applyFont="1" applyAlignment="1">
      <alignment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3" xfId="0" applyFont="1" applyBorder="1" applyAlignment="1">
      <alignment vertical="center" wrapText="1"/>
    </xf>
    <xf numFmtId="0" fontId="4" fillId="0" borderId="3" xfId="0" applyFont="1" applyBorder="1" applyAlignment="1">
      <alignment horizontal="center" vertical="center"/>
    </xf>
    <xf numFmtId="0" fontId="5" fillId="0" borderId="1" xfId="1" applyFont="1" applyBorder="1" applyAlignment="1">
      <alignment vertical="center"/>
    </xf>
    <xf numFmtId="0" fontId="5" fillId="0" borderId="3" xfId="1" applyFont="1" applyBorder="1" applyAlignment="1">
      <alignment vertical="center"/>
    </xf>
    <xf numFmtId="0" fontId="1" fillId="0" borderId="4" xfId="1" applyBorder="1" applyAlignment="1">
      <alignment vertical="center"/>
    </xf>
    <xf numFmtId="0" fontId="1" fillId="0" borderId="1" xfId="1" applyBorder="1" applyAlignment="1">
      <alignment vertical="center"/>
    </xf>
    <xf numFmtId="0" fontId="1" fillId="0" borderId="3" xfId="1" applyBorder="1" applyAlignment="1">
      <alignment vertical="center"/>
    </xf>
    <xf numFmtId="0" fontId="1" fillId="0" borderId="3" xfId="1" applyNumberFormat="1" applyBorder="1" applyAlignment="1">
      <alignment vertical="center"/>
    </xf>
    <xf numFmtId="0" fontId="1" fillId="0" borderId="0" xfId="1" applyFill="1"/>
    <xf numFmtId="0" fontId="1" fillId="0" borderId="1" xfId="1" applyFill="1" applyBorder="1" applyAlignment="1">
      <alignment vertical="center"/>
    </xf>
    <xf numFmtId="0" fontId="1" fillId="0" borderId="3" xfId="1" applyFill="1" applyBorder="1" applyAlignment="1">
      <alignment vertical="center"/>
    </xf>
    <xf numFmtId="0" fontId="5" fillId="0" borderId="3" xfId="1" applyFont="1" applyFill="1" applyBorder="1" applyAlignment="1">
      <alignment vertical="center"/>
    </xf>
    <xf numFmtId="0" fontId="0" fillId="0" borderId="1" xfId="0" applyBorder="1" applyAlignment="1">
      <alignment vertical="center" wrapText="1"/>
    </xf>
    <xf numFmtId="0" fontId="0" fillId="0" borderId="2" xfId="0" applyBorder="1" applyAlignment="1">
      <alignment vertical="center" wrapText="1"/>
    </xf>
    <xf numFmtId="22" fontId="4" fillId="0" borderId="1" xfId="0" applyNumberFormat="1" applyFont="1" applyBorder="1" applyAlignment="1">
      <alignment vertical="center" wrapText="1"/>
    </xf>
    <xf numFmtId="22" fontId="4" fillId="0" borderId="3" xfId="0" applyNumberFormat="1" applyFont="1" applyBorder="1" applyAlignment="1">
      <alignment vertical="center" wrapText="1"/>
    </xf>
    <xf numFmtId="0" fontId="4" fillId="3" borderId="3" xfId="0" applyFont="1" applyFill="1" applyBorder="1" applyAlignment="1">
      <alignment vertical="center"/>
    </xf>
    <xf numFmtId="0" fontId="4" fillId="3" borderId="3" xfId="0" applyFont="1" applyFill="1" applyBorder="1" applyAlignment="1">
      <alignment horizontal="center" vertical="center"/>
    </xf>
    <xf numFmtId="0" fontId="5" fillId="3" borderId="3" xfId="1" applyFont="1" applyFill="1" applyBorder="1" applyAlignment="1">
      <alignment vertical="center"/>
    </xf>
    <xf numFmtId="0" fontId="5" fillId="3" borderId="3" xfId="1" applyNumberFormat="1" applyFont="1" applyFill="1" applyBorder="1" applyAlignment="1">
      <alignment vertical="center"/>
    </xf>
    <xf numFmtId="0" fontId="5" fillId="0" borderId="3" xfId="1" applyNumberFormat="1" applyFont="1" applyBorder="1" applyAlignment="1">
      <alignment vertical="center"/>
    </xf>
    <xf numFmtId="0" fontId="4" fillId="0" borderId="4" xfId="0" applyFont="1" applyBorder="1" applyAlignment="1">
      <alignment vertical="center" wrapText="1"/>
    </xf>
    <xf numFmtId="0" fontId="0" fillId="4" borderId="0" xfId="0" applyFill="1"/>
    <xf numFmtId="22" fontId="0" fillId="4" borderId="0" xfId="0" applyNumberFormat="1" applyFill="1"/>
    <xf numFmtId="0" fontId="1" fillId="4" borderId="0" xfId="1" applyFill="1"/>
    <xf numFmtId="0" fontId="0" fillId="5" borderId="1" xfId="0" applyFill="1" applyBorder="1" applyAlignment="1">
      <alignment vertical="center" wrapText="1"/>
    </xf>
    <xf numFmtId="0" fontId="0" fillId="5" borderId="0" xfId="0" applyFill="1" applyAlignment="1">
      <alignment vertical="center"/>
    </xf>
    <xf numFmtId="0" fontId="0" fillId="5" borderId="0" xfId="0" applyFill="1"/>
    <xf numFmtId="0" fontId="0" fillId="0" borderId="1" xfId="0" applyBorder="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wrapText="1"/>
    </xf>
    <xf numFmtId="20" fontId="0" fillId="4" borderId="0" xfId="0" applyNumberFormat="1" applyFill="1" applyAlignment="1">
      <alignment horizontal="center" wrapText="1"/>
    </xf>
    <xf numFmtId="0" fontId="0" fillId="0" borderId="0" xfId="0" applyAlignment="1">
      <alignment horizontal="center" wrapText="1"/>
    </xf>
    <xf numFmtId="0" fontId="0" fillId="5" borderId="0" xfId="0" applyFill="1" applyAlignment="1">
      <alignment horizontal="center" wrapText="1"/>
    </xf>
    <xf numFmtId="20" fontId="0" fillId="5" borderId="0" xfId="0" applyNumberFormat="1" applyFill="1" applyAlignment="1">
      <alignment horizontal="center" wrapText="1"/>
    </xf>
    <xf numFmtId="22" fontId="0" fillId="5" borderId="0" xfId="0" applyNumberFormat="1" applyFill="1" applyAlignment="1">
      <alignment horizontal="center" wrapText="1"/>
    </xf>
    <xf numFmtId="0" fontId="4" fillId="0" borderId="2" xfId="0" applyFont="1" applyBorder="1" applyAlignment="1">
      <alignment vertical="center" wrapText="1"/>
    </xf>
    <xf numFmtId="0" fontId="1" fillId="0" borderId="3" xfId="1" applyNumberFormat="1" applyFill="1" applyBorder="1" applyAlignment="1">
      <alignment vertical="center"/>
    </xf>
    <xf numFmtId="0" fontId="4" fillId="0" borderId="0" xfId="0" applyFont="1" applyAlignment="1">
      <alignment vertical="center" wrapText="1"/>
    </xf>
    <xf numFmtId="0" fontId="4" fillId="6" borderId="0" xfId="0" applyFont="1" applyFill="1" applyAlignment="1">
      <alignment vertical="center"/>
    </xf>
    <xf numFmtId="0" fontId="1" fillId="0" borderId="0" xfId="1" applyAlignment="1">
      <alignment vertical="center"/>
    </xf>
    <xf numFmtId="0" fontId="4" fillId="6" borderId="3" xfId="0" applyFont="1" applyFill="1" applyBorder="1" applyAlignment="1">
      <alignment vertical="center"/>
    </xf>
    <xf numFmtId="22" fontId="4" fillId="6" borderId="3" xfId="0" applyNumberFormat="1" applyFont="1" applyFill="1" applyBorder="1" applyAlignment="1">
      <alignment vertical="center" wrapText="1"/>
    </xf>
    <xf numFmtId="0" fontId="4" fillId="6" borderId="3" xfId="0" applyFont="1" applyFill="1" applyBorder="1" applyAlignment="1">
      <alignment vertical="center" wrapText="1"/>
    </xf>
    <xf numFmtId="0" fontId="0" fillId="0" borderId="4" xfId="0" applyBorder="1" applyAlignment="1">
      <alignment vertical="center"/>
    </xf>
    <xf numFmtId="0" fontId="9" fillId="7" borderId="7" xfId="0" applyFont="1" applyFill="1" applyBorder="1" applyAlignment="1">
      <alignment vertical="center"/>
    </xf>
    <xf numFmtId="0" fontId="9" fillId="7" borderId="8" xfId="0" applyFont="1" applyFill="1" applyBorder="1" applyAlignment="1">
      <alignment vertical="center"/>
    </xf>
    <xf numFmtId="0" fontId="9" fillId="7" borderId="11" xfId="0" applyFont="1" applyFill="1" applyBorder="1" applyAlignment="1">
      <alignment vertical="center"/>
    </xf>
    <xf numFmtId="0" fontId="9" fillId="7" borderId="7" xfId="0" applyFont="1" applyFill="1" applyBorder="1" applyAlignment="1">
      <alignment vertical="center" wrapText="1"/>
    </xf>
    <xf numFmtId="0" fontId="9" fillId="7" borderId="8" xfId="0" applyFont="1" applyFill="1" applyBorder="1" applyAlignment="1">
      <alignment vertical="center" wrapText="1"/>
    </xf>
    <xf numFmtId="0" fontId="0" fillId="0" borderId="4" xfId="0" applyBorder="1" applyAlignment="1">
      <alignment vertical="center" wrapText="1"/>
    </xf>
    <xf numFmtId="0" fontId="9" fillId="7" borderId="7" xfId="0" applyFont="1" applyFill="1" applyBorder="1" applyAlignment="1">
      <alignment horizontal="center" vertical="center" wrapText="1"/>
    </xf>
    <xf numFmtId="0" fontId="9" fillId="7" borderId="8" xfId="0" applyFont="1" applyFill="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wrapText="1"/>
    </xf>
    <xf numFmtId="0" fontId="1" fillId="0" borderId="1" xfId="1" applyNumberFormat="1" applyBorder="1" applyAlignment="1">
      <alignment vertical="center"/>
    </xf>
    <xf numFmtId="0" fontId="11" fillId="0" borderId="0" xfId="0" applyFont="1"/>
    <xf numFmtId="0" fontId="9" fillId="7" borderId="11" xfId="0" applyFont="1" applyFill="1" applyBorder="1" applyAlignment="1">
      <alignment vertical="center" wrapText="1"/>
    </xf>
    <xf numFmtId="0" fontId="10" fillId="2" borderId="5" xfId="0" applyFont="1" applyFill="1" applyBorder="1" applyAlignment="1">
      <alignment vertical="center" wrapText="1"/>
    </xf>
    <xf numFmtId="0" fontId="0" fillId="2" borderId="5" xfId="0" applyFill="1" applyBorder="1" applyAlignment="1">
      <alignment vertical="center" wrapText="1"/>
    </xf>
    <xf numFmtId="0" fontId="9" fillId="2" borderId="5" xfId="0" applyFont="1" applyFill="1" applyBorder="1" applyAlignment="1">
      <alignment vertical="center" wrapText="1"/>
    </xf>
    <xf numFmtId="22" fontId="0" fillId="2" borderId="5" xfId="0" applyNumberFormat="1" applyFill="1" applyBorder="1" applyAlignment="1">
      <alignment vertical="center" wrapText="1"/>
    </xf>
    <xf numFmtId="0" fontId="1" fillId="0" borderId="0" xfId="1" applyNumberFormat="1" applyBorder="1" applyAlignment="1">
      <alignment vertical="center"/>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0" fillId="0" borderId="0" xfId="0" applyAlignment="1">
      <alignment horizontal="center" vertical="center"/>
    </xf>
    <xf numFmtId="0" fontId="13" fillId="8" borderId="15" xfId="0" applyFont="1" applyFill="1" applyBorder="1" applyAlignment="1">
      <alignment horizontal="center" vertical="center"/>
    </xf>
    <xf numFmtId="0" fontId="13" fillId="8" borderId="16" xfId="0" applyFont="1" applyFill="1" applyBorder="1" applyAlignment="1">
      <alignment horizontal="center" vertical="center"/>
    </xf>
    <xf numFmtId="0" fontId="12" fillId="0" borderId="0" xfId="0" applyFont="1" applyAlignment="1">
      <alignment horizontal="center" vertical="center"/>
    </xf>
    <xf numFmtId="14" fontId="12" fillId="0" borderId="15" xfId="0" applyNumberFormat="1" applyFont="1" applyBorder="1" applyAlignment="1">
      <alignment horizontal="center" vertical="center"/>
    </xf>
    <xf numFmtId="0" fontId="13" fillId="8" borderId="15" xfId="0" applyFont="1" applyFill="1" applyBorder="1" applyAlignment="1">
      <alignment horizontal="center" vertical="center" wrapText="1"/>
    </xf>
    <xf numFmtId="16" fontId="12" fillId="0" borderId="15" xfId="0" quotePrefix="1" applyNumberFormat="1" applyFont="1" applyBorder="1" applyAlignment="1">
      <alignment horizontal="center" vertical="center"/>
    </xf>
    <xf numFmtId="0" fontId="12" fillId="0" borderId="15" xfId="0" applyFont="1" applyBorder="1" applyAlignment="1">
      <alignment horizontal="center" vertical="center" wrapText="1"/>
    </xf>
    <xf numFmtId="0" fontId="16" fillId="0" borderId="19" xfId="0" applyFont="1" applyBorder="1" applyAlignment="1">
      <alignment vertical="center" wrapText="1"/>
    </xf>
    <xf numFmtId="0" fontId="16" fillId="0" borderId="19" xfId="0" quotePrefix="1" applyFont="1" applyBorder="1" applyAlignment="1">
      <alignment vertical="center" wrapText="1"/>
    </xf>
    <xf numFmtId="0" fontId="15" fillId="0" borderId="19" xfId="0" applyFont="1" applyBorder="1" applyAlignment="1">
      <alignment vertical="center" wrapText="1"/>
    </xf>
    <xf numFmtId="0" fontId="17" fillId="0" borderId="19" xfId="0" applyFont="1" applyBorder="1" applyAlignment="1">
      <alignment vertical="center" wrapText="1"/>
    </xf>
    <xf numFmtId="0" fontId="16" fillId="0" borderId="4" xfId="0" applyFont="1" applyBorder="1" applyAlignment="1">
      <alignment horizontal="center" vertical="center" wrapText="1"/>
    </xf>
    <xf numFmtId="0" fontId="15" fillId="8" borderId="1" xfId="0" applyFont="1" applyFill="1" applyBorder="1" applyAlignment="1">
      <alignment horizontal="center" vertical="center" wrapText="1"/>
    </xf>
    <xf numFmtId="0" fontId="15" fillId="8" borderId="18" xfId="0" applyFont="1" applyFill="1" applyBorder="1" applyAlignment="1">
      <alignment horizontal="center" vertical="center" wrapText="1"/>
    </xf>
    <xf numFmtId="0" fontId="15" fillId="0" borderId="4" xfId="0" applyFont="1" applyBorder="1" applyAlignment="1">
      <alignment vertical="center" wrapText="1"/>
    </xf>
    <xf numFmtId="0" fontId="16" fillId="0" borderId="19"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4" xfId="0" applyFont="1" applyBorder="1" applyAlignment="1">
      <alignment horizontal="center" vertical="center" wrapText="1"/>
    </xf>
    <xf numFmtId="0" fontId="18" fillId="0" borderId="17" xfId="0" applyFont="1" applyBorder="1" applyAlignment="1">
      <alignment vertical="center" wrapText="1"/>
    </xf>
    <xf numFmtId="0" fontId="20" fillId="0" borderId="0" xfId="0" applyFont="1" applyAlignment="1">
      <alignment vertical="center"/>
    </xf>
    <xf numFmtId="0" fontId="0" fillId="0" borderId="0" xfId="0" applyAlignment="1">
      <alignment horizontal="left" vertical="center"/>
    </xf>
    <xf numFmtId="0" fontId="22" fillId="0" borderId="15" xfId="0" applyFont="1" applyBorder="1" applyAlignment="1">
      <alignment horizontal="center" vertical="center"/>
    </xf>
    <xf numFmtId="0" fontId="22" fillId="0" borderId="15" xfId="0" applyFont="1" applyBorder="1" applyAlignment="1">
      <alignment horizontal="left" vertical="center"/>
    </xf>
    <xf numFmtId="0" fontId="12" fillId="0" borderId="20" xfId="0" applyFont="1" applyBorder="1" applyAlignment="1">
      <alignment horizontal="center" vertical="center"/>
    </xf>
    <xf numFmtId="0" fontId="12" fillId="0" borderId="15" xfId="0" applyFont="1" applyBorder="1" applyAlignment="1">
      <alignment vertical="center" wrapText="1"/>
    </xf>
    <xf numFmtId="0" fontId="17" fillId="6" borderId="19" xfId="0" applyFont="1" applyFill="1" applyBorder="1" applyAlignment="1">
      <alignment vertical="center" wrapText="1"/>
    </xf>
    <xf numFmtId="0" fontId="12" fillId="0" borderId="21" xfId="0" applyFont="1" applyBorder="1" applyAlignment="1">
      <alignment vertical="center" wrapText="1"/>
    </xf>
    <xf numFmtId="0" fontId="14" fillId="0" borderId="15" xfId="0" applyFont="1" applyBorder="1" applyAlignment="1">
      <alignment vertical="center" wrapText="1"/>
    </xf>
    <xf numFmtId="0" fontId="12" fillId="0" borderId="0" xfId="0" applyFont="1" applyAlignment="1">
      <alignment vertical="center" wrapText="1"/>
    </xf>
    <xf numFmtId="16" fontId="12" fillId="0" borderId="15" xfId="0" applyNumberFormat="1" applyFont="1" applyBorder="1" applyAlignment="1">
      <alignment horizontal="center" vertical="center"/>
    </xf>
    <xf numFmtId="14" fontId="12" fillId="0" borderId="15" xfId="0" quotePrefix="1" applyNumberFormat="1" applyFont="1" applyBorder="1" applyAlignment="1">
      <alignment horizontal="center" vertical="center"/>
    </xf>
    <xf numFmtId="0" fontId="24" fillId="0" borderId="1" xfId="0" applyFont="1" applyBorder="1" applyAlignment="1">
      <alignment horizontal="center" vertical="center" wrapText="1"/>
    </xf>
    <xf numFmtId="0" fontId="24" fillId="0" borderId="18" xfId="0" applyFont="1" applyBorder="1" applyAlignment="1">
      <alignment horizontal="center" vertical="center" wrapText="1"/>
    </xf>
    <xf numFmtId="0" fontId="25" fillId="0" borderId="0" xfId="0" applyFont="1" applyAlignment="1">
      <alignment horizontal="center" vertical="center"/>
    </xf>
    <xf numFmtId="0" fontId="24" fillId="0" borderId="4" xfId="0" applyFont="1" applyBorder="1" applyAlignment="1">
      <alignment horizontal="center" vertical="center" wrapText="1"/>
    </xf>
    <xf numFmtId="0" fontId="25" fillId="0" borderId="0" xfId="0" applyFont="1" applyAlignment="1">
      <alignment vertical="center"/>
    </xf>
    <xf numFmtId="0" fontId="23" fillId="6" borderId="18" xfId="0" applyFont="1" applyFill="1" applyBorder="1" applyAlignment="1">
      <alignment horizontal="center" vertical="center" wrapText="1"/>
    </xf>
    <xf numFmtId="0" fontId="14" fillId="0" borderId="0" xfId="0" applyFont="1" applyAlignment="1">
      <alignment horizontal="left" vertical="center" wrapText="1"/>
    </xf>
    <xf numFmtId="0" fontId="12" fillId="0" borderId="21" xfId="0" applyFont="1" applyBorder="1" applyAlignment="1">
      <alignment horizontal="center" vertical="center"/>
    </xf>
    <xf numFmtId="14" fontId="12" fillId="0" borderId="21" xfId="0" quotePrefix="1" applyNumberFormat="1" applyFont="1" applyBorder="1" applyAlignment="1">
      <alignment horizontal="center" vertical="center"/>
    </xf>
    <xf numFmtId="0" fontId="12" fillId="0" borderId="22" xfId="0" applyFont="1" applyBorder="1" applyAlignment="1">
      <alignment horizontal="center" vertical="center"/>
    </xf>
    <xf numFmtId="0" fontId="12" fillId="0" borderId="15" xfId="0" applyFont="1" applyBorder="1" applyAlignment="1">
      <alignment horizontal="left" vertical="center" wrapText="1"/>
    </xf>
    <xf numFmtId="0" fontId="12" fillId="0" borderId="23" xfId="0" applyFont="1" applyBorder="1" applyAlignment="1">
      <alignment horizontal="center" vertical="center"/>
    </xf>
    <xf numFmtId="14" fontId="12" fillId="0" borderId="23" xfId="0" quotePrefix="1" applyNumberFormat="1" applyFont="1" applyBorder="1" applyAlignment="1">
      <alignment horizontal="center" vertical="center"/>
    </xf>
    <xf numFmtId="0" fontId="12" fillId="0" borderId="23" xfId="0" applyFont="1" applyBorder="1" applyAlignment="1">
      <alignment vertical="center" wrapText="1"/>
    </xf>
    <xf numFmtId="0" fontId="13" fillId="8" borderId="16" xfId="0" applyFont="1" applyFill="1" applyBorder="1" applyAlignment="1">
      <alignment horizontal="center" vertical="center" wrapText="1"/>
    </xf>
    <xf numFmtId="0" fontId="12" fillId="0" borderId="16" xfId="0" applyFont="1" applyBorder="1" applyAlignment="1">
      <alignment horizontal="left" vertical="center" wrapText="1"/>
    </xf>
    <xf numFmtId="0" fontId="12" fillId="0" borderId="21" xfId="0" applyFont="1" applyBorder="1" applyAlignment="1">
      <alignment horizontal="left" vertical="center" wrapText="1"/>
    </xf>
    <xf numFmtId="0" fontId="0" fillId="0" borderId="21" xfId="0" applyBorder="1" applyAlignment="1">
      <alignment horizontal="left" vertical="center" wrapText="1"/>
    </xf>
    <xf numFmtId="0" fontId="0" fillId="0" borderId="15" xfId="0" applyBorder="1" applyAlignment="1">
      <alignment horizontal="left" vertical="center" wrapText="1"/>
    </xf>
    <xf numFmtId="0" fontId="12" fillId="0" borderId="23" xfId="0" applyFont="1" applyBorder="1" applyAlignment="1">
      <alignment horizontal="left" vertical="center" wrapText="1"/>
    </xf>
    <xf numFmtId="0" fontId="0" fillId="0" borderId="0" xfId="0" applyAlignment="1">
      <alignment horizontal="left" vertical="center" wrapText="1"/>
    </xf>
    <xf numFmtId="0" fontId="12" fillId="0" borderId="20" xfId="0" applyFont="1" applyBorder="1" applyAlignment="1">
      <alignment vertical="center" wrapText="1"/>
    </xf>
    <xf numFmtId="0" fontId="12" fillId="0" borderId="20" xfId="0" applyFont="1" applyBorder="1" applyAlignment="1">
      <alignment horizontal="left" vertical="center" wrapText="1"/>
    </xf>
    <xf numFmtId="16" fontId="12" fillId="0" borderId="21" xfId="0" quotePrefix="1" applyNumberFormat="1" applyFont="1" applyBorder="1" applyAlignment="1">
      <alignment horizontal="center" vertical="center"/>
    </xf>
    <xf numFmtId="0" fontId="12" fillId="0" borderId="24" xfId="0" applyFont="1" applyBorder="1" applyAlignment="1">
      <alignment horizontal="left" vertical="center" wrapText="1"/>
    </xf>
    <xf numFmtId="14" fontId="12" fillId="0" borderId="21" xfId="0" applyNumberFormat="1" applyFont="1" applyBorder="1" applyAlignment="1">
      <alignment horizontal="center" vertical="center"/>
    </xf>
    <xf numFmtId="0" fontId="12" fillId="0" borderId="15" xfId="0" quotePrefix="1" applyFont="1" applyBorder="1" applyAlignment="1">
      <alignment horizontal="center" vertical="center"/>
    </xf>
    <xf numFmtId="0" fontId="12" fillId="0" borderId="21" xfId="0" quotePrefix="1" applyFont="1" applyBorder="1" applyAlignment="1">
      <alignment horizontal="center" vertical="center"/>
    </xf>
    <xf numFmtId="0" fontId="0" fillId="0" borderId="23" xfId="0" applyBorder="1" applyAlignment="1">
      <alignment horizontal="left" vertical="center" wrapText="1"/>
    </xf>
    <xf numFmtId="14" fontId="12" fillId="0" borderId="22" xfId="0" quotePrefix="1" applyNumberFormat="1" applyFont="1" applyBorder="1" applyAlignment="1">
      <alignment horizontal="center" vertical="center"/>
    </xf>
    <xf numFmtId="0" fontId="12" fillId="0" borderId="24" xfId="0" applyFont="1" applyBorder="1" applyAlignment="1">
      <alignment vertical="center" wrapText="1"/>
    </xf>
    <xf numFmtId="0" fontId="26" fillId="0" borderId="1" xfId="0" applyFont="1" applyBorder="1" applyAlignment="1">
      <alignment vertical="center" wrapText="1"/>
    </xf>
    <xf numFmtId="0" fontId="28" fillId="0" borderId="1" xfId="0" applyFont="1" applyBorder="1" applyAlignment="1">
      <alignment vertical="center" wrapText="1"/>
    </xf>
    <xf numFmtId="0" fontId="28" fillId="0" borderId="1" xfId="0" applyFont="1" applyBorder="1" applyAlignment="1">
      <alignment horizontal="center" vertical="center" wrapText="1"/>
    </xf>
    <xf numFmtId="0" fontId="26" fillId="0" borderId="18" xfId="0" applyFont="1" applyBorder="1" applyAlignment="1">
      <alignment vertical="center" wrapText="1"/>
    </xf>
    <xf numFmtId="0" fontId="28" fillId="0" borderId="18" xfId="0" applyFont="1" applyBorder="1" applyAlignment="1">
      <alignment vertical="center" wrapText="1"/>
    </xf>
    <xf numFmtId="0" fontId="26" fillId="0" borderId="4" xfId="0" applyFont="1" applyBorder="1" applyAlignment="1">
      <alignment vertical="center" wrapText="1"/>
    </xf>
    <xf numFmtId="0" fontId="28" fillId="0" borderId="4" xfId="0" applyFont="1" applyBorder="1" applyAlignment="1">
      <alignment vertical="center" wrapText="1"/>
    </xf>
    <xf numFmtId="0" fontId="28" fillId="0" borderId="4" xfId="0" applyFont="1" applyBorder="1" applyAlignment="1">
      <alignment horizontal="center" vertical="center" wrapText="1"/>
    </xf>
    <xf numFmtId="0" fontId="26" fillId="0" borderId="19" xfId="0" applyFont="1" applyBorder="1" applyAlignment="1">
      <alignment vertical="center" wrapText="1"/>
    </xf>
    <xf numFmtId="0" fontId="28" fillId="0" borderId="19" xfId="0" applyFont="1" applyBorder="1" applyAlignment="1">
      <alignment vertical="center" wrapText="1"/>
    </xf>
    <xf numFmtId="0" fontId="26" fillId="11" borderId="4" xfId="0" applyFont="1" applyFill="1" applyBorder="1" applyAlignment="1">
      <alignment vertical="center" wrapText="1"/>
    </xf>
    <xf numFmtId="0" fontId="28" fillId="11" borderId="4" xfId="0" applyFont="1" applyFill="1" applyBorder="1" applyAlignment="1">
      <alignment vertical="center" wrapText="1"/>
    </xf>
    <xf numFmtId="0" fontId="28" fillId="11" borderId="4" xfId="0" applyFont="1" applyFill="1" applyBorder="1" applyAlignment="1">
      <alignment horizontal="center" vertical="center" wrapText="1"/>
    </xf>
    <xf numFmtId="0" fontId="26" fillId="11" borderId="19" xfId="0" applyFont="1" applyFill="1" applyBorder="1" applyAlignment="1">
      <alignment vertical="center" wrapText="1"/>
    </xf>
    <xf numFmtId="0" fontId="28" fillId="11" borderId="19" xfId="0" applyFont="1" applyFill="1" applyBorder="1" applyAlignment="1">
      <alignment vertical="center" wrapText="1"/>
    </xf>
    <xf numFmtId="0" fontId="26" fillId="11" borderId="4" xfId="0" applyFont="1" applyFill="1" applyBorder="1" applyAlignment="1">
      <alignment horizontal="center" vertical="center" wrapText="1"/>
    </xf>
    <xf numFmtId="0" fontId="26" fillId="0" borderId="4" xfId="0" applyFont="1" applyBorder="1" applyAlignment="1">
      <alignment horizontal="center" vertical="center" wrapText="1"/>
    </xf>
    <xf numFmtId="0" fontId="27" fillId="10" borderId="1" xfId="0" applyFont="1" applyFill="1" applyBorder="1" applyAlignment="1">
      <alignment vertical="center" wrapText="1"/>
    </xf>
    <xf numFmtId="0" fontId="26" fillId="9" borderId="4" xfId="0" applyFont="1" applyFill="1" applyBorder="1" applyAlignment="1">
      <alignment vertical="center" wrapText="1"/>
    </xf>
    <xf numFmtId="0" fontId="28" fillId="9" borderId="4" xfId="0" applyFont="1" applyFill="1" applyBorder="1" applyAlignment="1">
      <alignment vertical="center" wrapText="1"/>
    </xf>
    <xf numFmtId="0" fontId="28" fillId="9" borderId="4" xfId="0" applyFont="1" applyFill="1" applyBorder="1" applyAlignment="1">
      <alignment horizontal="center" vertical="center" wrapText="1"/>
    </xf>
    <xf numFmtId="0" fontId="26" fillId="9" borderId="19" xfId="0" applyFont="1" applyFill="1" applyBorder="1" applyAlignment="1">
      <alignment vertical="center" wrapText="1"/>
    </xf>
    <xf numFmtId="0" fontId="28" fillId="9" borderId="19" xfId="0" applyFont="1" applyFill="1" applyBorder="1" applyAlignment="1">
      <alignment vertical="center" wrapText="1"/>
    </xf>
    <xf numFmtId="0" fontId="26" fillId="12" borderId="4" xfId="0" applyFont="1" applyFill="1" applyBorder="1" applyAlignment="1">
      <alignment vertical="center" wrapText="1"/>
    </xf>
    <xf numFmtId="0" fontId="28" fillId="12" borderId="4" xfId="0" applyFont="1" applyFill="1" applyBorder="1" applyAlignment="1">
      <alignment vertical="center" wrapText="1"/>
    </xf>
    <xf numFmtId="0" fontId="28" fillId="12" borderId="4" xfId="0" applyFont="1" applyFill="1" applyBorder="1" applyAlignment="1">
      <alignment horizontal="center" vertical="center" wrapText="1"/>
    </xf>
    <xf numFmtId="0" fontId="26" fillId="12" borderId="19" xfId="0" applyFont="1" applyFill="1" applyBorder="1" applyAlignment="1">
      <alignment vertical="center" wrapText="1"/>
    </xf>
    <xf numFmtId="0" fontId="28" fillId="12" borderId="19" xfId="0" applyFont="1" applyFill="1" applyBorder="1" applyAlignment="1">
      <alignment vertical="center" wrapText="1"/>
    </xf>
    <xf numFmtId="16" fontId="4" fillId="0" borderId="3" xfId="0" applyNumberFormat="1" applyFont="1" applyBorder="1" applyAlignment="1">
      <alignment horizontal="center" vertical="center"/>
    </xf>
    <xf numFmtId="16" fontId="4" fillId="0" borderId="3" xfId="0" applyNumberFormat="1" applyFont="1" applyBorder="1" applyAlignment="1">
      <alignment vertical="center"/>
    </xf>
    <xf numFmtId="0" fontId="13" fillId="9" borderId="15" xfId="0" applyFont="1" applyFill="1" applyBorder="1" applyAlignment="1">
      <alignment horizontal="center" vertical="center"/>
    </xf>
    <xf numFmtId="0" fontId="5" fillId="0" borderId="1" xfId="1" applyNumberFormat="1" applyFont="1" applyBorder="1" applyAlignment="1">
      <alignment vertical="center"/>
    </xf>
    <xf numFmtId="16" fontId="4" fillId="0" borderId="1" xfId="0" applyNumberFormat="1" applyFont="1" applyBorder="1" applyAlignment="1">
      <alignment horizontal="center" vertical="center"/>
    </xf>
    <xf numFmtId="16" fontId="4" fillId="0" borderId="1" xfId="0" applyNumberFormat="1" applyFont="1" applyBorder="1" applyAlignment="1">
      <alignment vertical="center"/>
    </xf>
    <xf numFmtId="22" fontId="0" fillId="0" borderId="0" xfId="0" applyNumberFormat="1"/>
    <xf numFmtId="0" fontId="29" fillId="7" borderId="7" xfId="0" applyFont="1" applyFill="1" applyBorder="1" applyAlignment="1">
      <alignment vertical="center" wrapText="1"/>
    </xf>
    <xf numFmtId="0" fontId="29" fillId="7" borderId="11" xfId="0" applyFont="1" applyFill="1" applyBorder="1" applyAlignment="1">
      <alignment vertical="center" wrapText="1"/>
    </xf>
    <xf numFmtId="0" fontId="29" fillId="7" borderId="8" xfId="0" applyFont="1" applyFill="1" applyBorder="1" applyAlignment="1">
      <alignment vertical="center" wrapText="1"/>
    </xf>
    <xf numFmtId="0" fontId="30" fillId="0" borderId="4" xfId="0" applyFont="1" applyBorder="1" applyAlignment="1">
      <alignment vertical="center" wrapText="1"/>
    </xf>
    <xf numFmtId="22" fontId="30" fillId="0" borderId="0" xfId="0" applyNumberFormat="1" applyFont="1" applyAlignment="1">
      <alignment vertical="center"/>
    </xf>
    <xf numFmtId="0" fontId="30" fillId="0" borderId="0" xfId="0" applyFont="1" applyAlignment="1">
      <alignment vertical="center"/>
    </xf>
    <xf numFmtId="0" fontId="30" fillId="0" borderId="0" xfId="0" applyFont="1"/>
    <xf numFmtId="22" fontId="0" fillId="0" borderId="0" xfId="0" applyNumberFormat="1" applyAlignment="1">
      <alignment vertical="center"/>
    </xf>
    <xf numFmtId="0" fontId="30" fillId="0" borderId="5" xfId="0" applyFont="1" applyBorder="1" applyAlignment="1">
      <alignment vertical="center"/>
    </xf>
    <xf numFmtId="0" fontId="30" fillId="0" borderId="6" xfId="0" applyFont="1" applyBorder="1" applyAlignment="1">
      <alignment vertical="center"/>
    </xf>
    <xf numFmtId="0" fontId="30" fillId="0" borderId="12" xfId="0" applyFont="1" applyBorder="1" applyAlignment="1">
      <alignment vertical="center"/>
    </xf>
    <xf numFmtId="0" fontId="30" fillId="0" borderId="25" xfId="0" applyFont="1" applyBorder="1" applyAlignment="1">
      <alignment vertical="center"/>
    </xf>
    <xf numFmtId="0" fontId="30" fillId="0" borderId="12" xfId="0" applyFont="1" applyBorder="1" applyAlignment="1">
      <alignment vertical="center" wrapText="1"/>
    </xf>
    <xf numFmtId="22" fontId="30" fillId="0" borderId="12" xfId="0" applyNumberFormat="1" applyFont="1" applyBorder="1" applyAlignment="1">
      <alignment vertical="center" wrapText="1"/>
    </xf>
    <xf numFmtId="0" fontId="30" fillId="0" borderId="5" xfId="0" applyFont="1" applyBorder="1" applyAlignment="1">
      <alignment vertical="center" wrapText="1"/>
    </xf>
    <xf numFmtId="22" fontId="30" fillId="0" borderId="5" xfId="0" applyNumberFormat="1" applyFont="1" applyBorder="1" applyAlignment="1">
      <alignment vertical="center" wrapText="1"/>
    </xf>
    <xf numFmtId="16" fontId="30" fillId="0" borderId="12" xfId="0" applyNumberFormat="1" applyFont="1" applyBorder="1" applyAlignment="1">
      <alignment vertical="center" wrapText="1"/>
    </xf>
    <xf numFmtId="0" fontId="30" fillId="0" borderId="26" xfId="0" applyFont="1" applyBorder="1" applyAlignment="1">
      <alignment vertical="center" wrapText="1"/>
    </xf>
    <xf numFmtId="0" fontId="30" fillId="0" borderId="0" xfId="0" applyFont="1" applyAlignment="1">
      <alignment vertical="center" wrapText="1"/>
    </xf>
    <xf numFmtId="49" fontId="30" fillId="0" borderId="9" xfId="0" applyNumberFormat="1" applyFont="1" applyBorder="1" applyAlignment="1">
      <alignment vertical="center"/>
    </xf>
    <xf numFmtId="49" fontId="30" fillId="0" borderId="10" xfId="0" applyNumberFormat="1" applyFont="1" applyBorder="1" applyAlignment="1">
      <alignment vertical="center"/>
    </xf>
    <xf numFmtId="0" fontId="30" fillId="0" borderId="10" xfId="0" applyFont="1" applyBorder="1" applyAlignment="1">
      <alignment vertical="center"/>
    </xf>
    <xf numFmtId="0" fontId="30" fillId="0" borderId="10" xfId="0" applyFont="1" applyBorder="1" applyAlignment="1">
      <alignment vertical="center" wrapText="1"/>
    </xf>
    <xf numFmtId="49" fontId="30" fillId="0" borderId="13" xfId="0" applyNumberFormat="1" applyFont="1" applyBorder="1" applyAlignment="1">
      <alignment vertical="center"/>
    </xf>
    <xf numFmtId="49" fontId="30" fillId="0" borderId="14" xfId="0" applyNumberFormat="1" applyFont="1" applyBorder="1" applyAlignment="1">
      <alignment vertical="center"/>
    </xf>
    <xf numFmtId="0" fontId="30" fillId="0" borderId="14" xfId="0" applyFont="1" applyBorder="1" applyAlignment="1">
      <alignment vertical="center"/>
    </xf>
    <xf numFmtId="0" fontId="30" fillId="0" borderId="14" xfId="0" applyFont="1" applyBorder="1" applyAlignment="1">
      <alignment vertical="center" wrapText="1"/>
    </xf>
    <xf numFmtId="22" fontId="30" fillId="0" borderId="14" xfId="0" applyNumberFormat="1" applyFont="1" applyBorder="1" applyAlignment="1">
      <alignment vertical="center"/>
    </xf>
    <xf numFmtId="0" fontId="30" fillId="0" borderId="14" xfId="0" applyFont="1" applyBorder="1" applyAlignment="1">
      <alignment horizontal="right" vertical="center" wrapText="1"/>
    </xf>
    <xf numFmtId="22" fontId="0" fillId="0" borderId="0" xfId="0" applyNumberFormat="1" applyAlignment="1">
      <alignment vertical="center" wrapText="1"/>
    </xf>
    <xf numFmtId="0" fontId="31" fillId="0" borderId="0" xfId="0" applyFont="1"/>
    <xf numFmtId="0" fontId="30" fillId="2" borderId="5" xfId="0" applyFont="1" applyFill="1" applyBorder="1" applyAlignment="1">
      <alignment vertical="center" wrapText="1"/>
    </xf>
    <xf numFmtId="0" fontId="30" fillId="2" borderId="27" xfId="0" applyFont="1" applyFill="1" applyBorder="1" applyAlignment="1">
      <alignment vertical="center" wrapText="1"/>
    </xf>
    <xf numFmtId="22" fontId="30" fillId="2" borderId="27" xfId="0" applyNumberFormat="1" applyFont="1" applyFill="1" applyBorder="1" applyAlignment="1">
      <alignment vertical="center" wrapText="1"/>
    </xf>
    <xf numFmtId="0" fontId="30" fillId="2" borderId="6" xfId="0" applyFont="1" applyFill="1" applyBorder="1" applyAlignment="1">
      <alignment vertical="center" wrapText="1"/>
    </xf>
    <xf numFmtId="0" fontId="9" fillId="7" borderId="28" xfId="0" applyFont="1" applyFill="1" applyBorder="1" applyAlignment="1">
      <alignment vertical="center" wrapText="1"/>
    </xf>
    <xf numFmtId="0" fontId="31" fillId="0" borderId="0" xfId="0" applyFont="1" applyAlignment="1">
      <alignment wrapText="1"/>
    </xf>
    <xf numFmtId="0" fontId="1" fillId="0" borderId="0" xfId="1" applyAlignment="1">
      <alignment vertical="center" wrapText="1"/>
    </xf>
    <xf numFmtId="16" fontId="29" fillId="0" borderId="12" xfId="0" applyNumberFormat="1" applyFont="1" applyBorder="1" applyAlignment="1">
      <alignment vertical="center" wrapText="1"/>
    </xf>
    <xf numFmtId="16" fontId="31" fillId="0" borderId="0" xfId="0" applyNumberFormat="1" applyFont="1" applyAlignment="1">
      <alignment wrapText="1"/>
    </xf>
    <xf numFmtId="0" fontId="32" fillId="0" borderId="3" xfId="0" applyFont="1" applyBorder="1" applyAlignment="1">
      <alignment vertical="center"/>
    </xf>
    <xf numFmtId="0" fontId="32" fillId="0" borderId="3" xfId="0" applyFont="1" applyBorder="1" applyAlignment="1">
      <alignment vertical="center" wrapText="1"/>
    </xf>
    <xf numFmtId="16" fontId="32" fillId="0" borderId="3" xfId="0" applyNumberFormat="1" applyFont="1" applyBorder="1" applyAlignment="1">
      <alignment horizontal="center" vertical="center"/>
    </xf>
    <xf numFmtId="16" fontId="32" fillId="0" borderId="3" xfId="0" applyNumberFormat="1" applyFont="1" applyBorder="1" applyAlignment="1">
      <alignment vertical="center"/>
    </xf>
    <xf numFmtId="22" fontId="32" fillId="0" borderId="3" xfId="0" applyNumberFormat="1" applyFont="1" applyBorder="1" applyAlignment="1">
      <alignment vertical="center" wrapText="1"/>
    </xf>
    <xf numFmtId="0" fontId="33" fillId="0" borderId="3" xfId="1" applyFont="1" applyBorder="1" applyAlignment="1">
      <alignment vertical="center"/>
    </xf>
    <xf numFmtId="0" fontId="33" fillId="0" borderId="3" xfId="1" applyNumberFormat="1" applyFont="1" applyBorder="1" applyAlignment="1">
      <alignment vertical="center"/>
    </xf>
    <xf numFmtId="16" fontId="30" fillId="0" borderId="14" xfId="0" applyNumberFormat="1" applyFont="1" applyBorder="1" applyAlignment="1">
      <alignment vertical="center"/>
    </xf>
    <xf numFmtId="0" fontId="21" fillId="0" borderId="0" xfId="0" applyFont="1" applyAlignment="1">
      <alignment horizontal="center" vertical="center" wrapText="1"/>
    </xf>
    <xf numFmtId="0" fontId="19" fillId="0" borderId="17" xfId="0" applyFont="1" applyBorder="1" applyAlignment="1">
      <alignment horizontal="right" vertical="center" wrapText="1"/>
    </xf>
    <xf numFmtId="0" fontId="30" fillId="0" borderId="0" xfId="0" applyFont="1" applyFill="1" applyAlignment="1">
      <alignment vertical="center"/>
    </xf>
    <xf numFmtId="22" fontId="30" fillId="0" borderId="0" xfId="0" applyNumberFormat="1" applyFont="1" applyFill="1" applyAlignment="1">
      <alignment vertical="center"/>
    </xf>
  </cellXfs>
  <cellStyles count="2">
    <cellStyle name="Bình thường" xfId="0" builtinId="0"/>
    <cellStyle name="Hyperlink" xfId="1" xr:uid="{00000000-000B-0000-0000-000008000000}"/>
  </cellStyles>
  <dxfs count="271">
    <dxf>
      <alignment horizontal="general" textRotation="0" wrapText="1" indent="0" justifyLastLine="0" shrinkToFit="0" readingOrder="0"/>
    </dxf>
    <dxf>
      <alignment horizontal="general" textRotation="0" wrapText="1" indent="0" justifyLastLine="0" shrinkToFit="0" readingOrder="0"/>
    </dxf>
    <dxf>
      <alignment horizontal="general" vertical="bottom"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vertical="bottom"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scheme val="minor"/>
      </font>
      <fill>
        <patternFill patternType="solid">
          <fgColor theme="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i val="0"/>
        <strike val="0"/>
        <condense val="0"/>
        <extend val="0"/>
        <outline val="0"/>
        <shadow val="0"/>
        <u val="none"/>
        <vertAlign val="baseline"/>
        <sz val="11"/>
        <color auto="1"/>
        <name val="Arial"/>
        <family val="2"/>
        <scheme val="minor"/>
      </font>
      <fill>
        <patternFill patternType="none">
          <fgColor indexed="64"/>
          <bgColor auto="1"/>
        </patternFill>
      </fill>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border diagonalUp="0" diagonalDown="0" outline="0">
        <left style="thin">
          <color theme="4" tint="0.39997558519241921"/>
        </left>
        <right/>
        <top style="thin">
          <color theme="4" tint="0.39997558519241921"/>
        </top>
        <bottom style="thin">
          <color theme="4" tint="0.39997558519241921"/>
        </bottom>
      </border>
    </dxf>
    <dxf>
      <font>
        <b val="0"/>
        <strike val="0"/>
        <outline val="0"/>
        <shadow val="0"/>
        <u val="none"/>
        <vertAlign val="baseline"/>
        <sz val="11"/>
        <color auto="1"/>
        <name val="Arial"/>
        <family val="2"/>
        <scheme val="minor"/>
      </font>
      <fill>
        <patternFill patternType="none">
          <fgColor indexed="64"/>
          <bgColor auto="1"/>
        </patternFill>
      </fill>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center" textRotation="0" wrapText="1" indent="0" justifyLastLine="0" shrinkToFit="0" readingOrder="0"/>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textRotation="0" wrapText="1" indent="0" justifyLastLine="0" shrinkToFit="0" readingOrder="0"/>
    </dxf>
    <dxf>
      <alignment horizontal="general" textRotation="0" wrapText="1" indent="0" justifyLastLine="0" shrinkToFit="0" readingOrder="0"/>
    </dxf>
    <dxf>
      <alignment horizontal="general" vertical="bottom" textRotation="0" wrapText="1" indent="0" justifyLastLine="0" shrinkToFit="0" readingOrder="0"/>
    </dxf>
    <dxf>
      <alignment horizontal="general" textRotation="0" wrapText="1" indent="0" justifyLastLine="0" shrinkToFit="0" readingOrder="0"/>
    </dxf>
    <dxf>
      <alignment horizontal="general" vertical="bottom" textRotation="0" wrapText="1" indent="0" justifyLastLine="0" shrinkToFit="0" readingOrder="0"/>
    </dxf>
    <dxf>
      <alignment horizontal="general"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val="0"/>
        <strike val="0"/>
        <outline val="0"/>
        <shadow val="0"/>
        <u val="none"/>
        <vertAlign val="baseline"/>
        <sz val="11"/>
        <color auto="1"/>
        <name val="Arial"/>
        <family val="2"/>
        <scheme val="minor"/>
      </font>
      <fill>
        <patternFill patternType="none">
          <fgColor indexed="64"/>
          <bgColor auto="1"/>
        </patternFill>
      </fill>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textRotation="0" wrapText="1" indent="0" justifyLastLine="0" shrinkToFit="0" readingOrder="0"/>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Arial"/>
        <family val="2"/>
        <scheme val="minor"/>
      </font>
      <fill>
        <patternFill patternType="none">
          <fgColor indexed="64"/>
          <bgColor auto="1"/>
        </patternFill>
      </fill>
    </dxf>
    <dxf>
      <font>
        <b val="0"/>
        <i val="0"/>
        <strike val="0"/>
        <condense val="0"/>
        <extend val="0"/>
        <outline val="0"/>
        <shadow val="0"/>
        <u val="none"/>
        <vertAlign val="baseline"/>
        <sz val="11"/>
        <color auto="1"/>
        <name val="Arial"/>
        <family val="2"/>
        <scheme val="minor"/>
      </font>
      <fill>
        <patternFill patternType="none">
          <fgColor indexed="64"/>
          <bgColor auto="1"/>
        </patternFill>
      </fill>
    </dxf>
    <dxf>
      <font>
        <b val="0"/>
        <i val="0"/>
        <strike val="0"/>
        <condense val="0"/>
        <extend val="0"/>
        <outline val="0"/>
        <shadow val="0"/>
        <u val="none"/>
        <vertAlign val="baseline"/>
        <sz val="11"/>
        <color auto="1"/>
        <name val="Arial"/>
        <family val="2"/>
        <scheme val="minor"/>
      </font>
      <fill>
        <patternFill patternType="none">
          <fgColor indexed="64"/>
          <bgColor auto="1"/>
        </patternFill>
      </fill>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numFmt numFmtId="30" formatCode="@"/>
      <fill>
        <patternFill patternType="none">
          <fgColor indexed="64"/>
          <bgColor auto="1"/>
        </patternFill>
      </fill>
      <alignment horizontal="general" vertical="center" textRotation="0" wrapText="0" indent="0" justifyLastLine="0" shrinkToFit="0" readingOrder="0"/>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numFmt numFmtId="30" formatCode="@"/>
      <fill>
        <patternFill patternType="none">
          <fgColor indexed="64"/>
          <bgColor auto="1"/>
        </patternFill>
      </fill>
      <alignment horizontal="general" vertical="center" textRotation="0" wrapText="0" indent="0" justifyLastLine="0" shrinkToFit="0" readingOrder="0"/>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numFmt numFmtId="30" formatCode="@"/>
      <fill>
        <patternFill patternType="none">
          <fgColor indexed="64"/>
          <bgColor auto="1"/>
        </patternFill>
      </fill>
      <alignment horizontal="general" vertical="center" textRotation="0" wrapText="0" indent="0" justifyLastLine="0" shrinkToFit="0" readingOrder="0"/>
      <border diagonalUp="0" diagonalDown="0" outline="0">
        <left/>
        <right/>
        <top style="thin">
          <color indexed="64"/>
        </top>
        <bottom style="thin">
          <color theme="4" tint="0.39997558519241921"/>
        </bottom>
      </border>
    </dxf>
    <dxf>
      <font>
        <b val="0"/>
        <i val="0"/>
        <strike val="0"/>
        <condense val="0"/>
        <extend val="0"/>
        <outline val="0"/>
        <shadow val="0"/>
        <u val="none"/>
        <vertAlign val="baseline"/>
        <sz val="11"/>
        <color auto="1"/>
        <name val="Arial"/>
        <family val="2"/>
        <scheme val="minor"/>
      </font>
      <numFmt numFmtId="30" formatCode="@"/>
      <fill>
        <patternFill patternType="none">
          <fgColor indexed="64"/>
          <bgColor auto="1"/>
        </patternFill>
      </fill>
      <alignment horizontal="general" vertical="center" textRotation="0" wrapText="0" indent="0" justifyLastLine="0" shrinkToFit="0" readingOrder="0"/>
      <border diagonalUp="0" diagonalDown="0" outline="0">
        <left style="thin">
          <color theme="4" tint="0.39997558519241921"/>
        </left>
        <right/>
        <top style="thin">
          <color indexed="64"/>
        </top>
        <bottom style="thin">
          <color theme="4" tint="0.39997558519241921"/>
        </bottom>
      </border>
    </dxf>
    <dxf>
      <font>
        <strike val="0"/>
        <outline val="0"/>
        <shadow val="0"/>
        <u val="none"/>
        <vertAlign val="baseline"/>
        <sz val="11"/>
        <color auto="1"/>
        <name val="Arial"/>
        <family val="2"/>
        <scheme val="minor"/>
      </font>
      <fill>
        <patternFill patternType="none">
          <fgColor indexed="64"/>
          <bgColor auto="1"/>
        </patternFill>
      </fill>
    </dxf>
    <dxf>
      <font>
        <b/>
        <i val="0"/>
        <strike val="0"/>
        <condense val="0"/>
        <extend val="0"/>
        <outline val="0"/>
        <shadow val="0"/>
        <u val="none"/>
        <vertAlign val="baseline"/>
        <sz val="11"/>
        <color theme="0"/>
        <name val="Arial"/>
        <family val="2"/>
        <scheme val="minor"/>
      </font>
      <fill>
        <patternFill patternType="solid">
          <fgColor theme="4"/>
          <bgColor theme="4"/>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Arial"/>
        <family val="2"/>
        <scheme val="minor"/>
      </font>
    </dxf>
    <dxf>
      <font>
        <b val="0"/>
        <strike val="0"/>
        <outline val="0"/>
        <shadow val="0"/>
        <u val="none"/>
        <vertAlign val="baseline"/>
        <sz val="11"/>
        <color auto="1"/>
        <name val="Arial"/>
        <family val="2"/>
        <scheme val="minor"/>
      </font>
      <alignment horizontal="general" textRotation="0" wrapText="1" indent="0" justifyLastLine="0" shrinkToFit="0" readingOrder="0"/>
    </dxf>
    <dxf>
      <font>
        <b val="0"/>
        <strike val="0"/>
        <outline val="0"/>
        <shadow val="0"/>
        <u val="none"/>
        <vertAlign val="baseline"/>
        <sz val="11"/>
        <color auto="1"/>
        <name val="Arial"/>
        <family val="2"/>
        <scheme val="minor"/>
      </font>
    </dxf>
    <dxf>
      <font>
        <b val="0"/>
        <strike val="0"/>
        <outline val="0"/>
        <shadow val="0"/>
        <u val="none"/>
        <vertAlign val="baseline"/>
        <sz val="11"/>
        <color auto="1"/>
        <name val="Arial"/>
        <family val="2"/>
        <scheme val="minor"/>
      </font>
      <alignment horizontal="general" vertical="center" textRotation="0" wrapText="0" indent="0" justifyLastLine="0" shrinkToFit="0" readingOrder="0"/>
    </dxf>
    <dxf>
      <font>
        <b val="0"/>
        <strike val="0"/>
        <outline val="0"/>
        <shadow val="0"/>
        <u val="none"/>
        <vertAlign val="baseline"/>
        <sz val="11"/>
        <color auto="1"/>
        <name val="Arial"/>
        <family val="2"/>
        <scheme val="minor"/>
      </font>
    </dxf>
    <dxf>
      <font>
        <b val="0"/>
        <strike val="0"/>
        <outline val="0"/>
        <shadow val="0"/>
        <u val="none"/>
        <vertAlign val="baseline"/>
        <sz val="11"/>
        <color auto="1"/>
        <name val="Arial"/>
        <family val="2"/>
        <scheme val="minor"/>
      </font>
    </dxf>
    <dxf>
      <font>
        <b val="0"/>
        <strike val="0"/>
        <outline val="0"/>
        <shadow val="0"/>
        <u val="none"/>
        <vertAlign val="baseline"/>
        <sz val="11"/>
        <color auto="1"/>
        <name val="Arial"/>
        <family val="2"/>
        <scheme val="minor"/>
      </font>
    </dxf>
    <dxf>
      <font>
        <b val="0"/>
        <strike val="0"/>
        <outline val="0"/>
        <shadow val="0"/>
        <u val="none"/>
        <vertAlign val="baseline"/>
        <sz val="11"/>
        <color auto="1"/>
        <name val="Arial"/>
        <family val="2"/>
        <scheme val="minor"/>
      </font>
      <alignment horizontal="general" textRotation="0" wrapText="1" indent="0" justifyLastLine="0" shrinkToFit="0" readingOrder="0"/>
    </dxf>
    <dxf>
      <font>
        <b val="0"/>
        <strike val="0"/>
        <outline val="0"/>
        <shadow val="0"/>
        <u val="none"/>
        <vertAlign val="baseline"/>
        <sz val="11"/>
        <color auto="1"/>
        <name val="Arial"/>
        <family val="2"/>
        <scheme val="minor"/>
      </font>
    </dxf>
    <dxf>
      <font>
        <b val="0"/>
        <strike val="0"/>
        <outline val="0"/>
        <shadow val="0"/>
        <u val="none"/>
        <vertAlign val="baseline"/>
        <sz val="11"/>
        <color auto="1"/>
        <name val="Arial"/>
        <family val="2"/>
        <scheme val="minor"/>
      </font>
    </dxf>
    <dxf>
      <font>
        <b val="0"/>
        <strike val="0"/>
        <outline val="0"/>
        <shadow val="0"/>
        <u val="none"/>
        <vertAlign val="baseline"/>
        <sz val="11"/>
        <color auto="1"/>
        <name val="Arial"/>
        <family val="2"/>
        <scheme val="minor"/>
      </font>
    </dxf>
    <dxf>
      <font>
        <b val="0"/>
        <strike val="0"/>
        <outline val="0"/>
        <shadow val="0"/>
        <u val="none"/>
        <vertAlign val="baseline"/>
        <sz val="11"/>
        <color auto="1"/>
        <name val="Arial"/>
        <family val="2"/>
        <scheme val="minor"/>
      </font>
    </dxf>
    <dxf>
      <border outline="0">
        <bottom style="thin">
          <color indexed="64"/>
        </bottom>
      </border>
    </dxf>
    <dxf>
      <font>
        <b val="0"/>
        <strike val="0"/>
        <outline val="0"/>
        <shadow val="0"/>
        <u val="none"/>
        <vertAlign val="baseline"/>
        <sz val="11"/>
        <color auto="1"/>
        <name val="Arial"/>
        <family val="2"/>
        <scheme val="minor"/>
      </font>
    </dxf>
    <dxf>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dxf>
    <dxf>
      <numFmt numFmtId="0" formatCode="General"/>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center" wrapText="1"/>
    </dxf>
    <dxf>
      <fill>
        <patternFill patternType="solid">
          <fgColor indexed="64"/>
          <bgColor theme="9" tint="0.79998168889431442"/>
        </patternFill>
      </fill>
    </dxf>
    <dxf>
      <alignment horizontal="general" vertical="center" textRotation="0" wrapText="1" indent="0" justifyLastLine="0" shrinkToFit="0" readingOrder="0"/>
      <border diagonalUp="0" diagonalDown="0">
        <left style="thin">
          <color indexed="64"/>
        </left>
        <right style="thin">
          <color indexed="64"/>
        </right>
        <top/>
        <bottom/>
      </border>
    </dxf>
    <dxf>
      <font>
        <sz val="12"/>
        <name val="Times New Roman"/>
      </font>
      <numFmt numFmtId="0" formatCode="General"/>
      <alignment horizontal="general" vertical="center" textRotation="0" indent="0" justifyLastLine="0" shrinkToFit="0" readingOrder="0"/>
    </dxf>
    <dxf>
      <alignment horizontal="general" vertical="center" textRotation="0" wrapText="0" indent="0" justifyLastLine="0" shrinkToFit="0" readingOrder="0"/>
    </dxf>
    <dxf>
      <font>
        <sz val="12"/>
        <name val="Times New Roman"/>
      </font>
      <numFmt numFmtId="0" formatCode="General"/>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sz val="12"/>
        <name val="Times New Roman"/>
      </font>
      <numFmt numFmtId="0" formatCode="General"/>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sz val="12"/>
        <name val="Times New Roman"/>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dxf>
    <dxf>
      <font>
        <sz val="12"/>
        <name val="Times New Roman"/>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dxf>
    <dxf>
      <font>
        <sz val="12"/>
        <name val="Times New Roman"/>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sz val="12"/>
        <name val="Times New Roman"/>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font>
        <sz val="12"/>
        <name val="Times New Roman"/>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sz val="12"/>
        <name val="Times New Roman"/>
      </font>
      <alignment horizontal="general" vertical="center" textRotation="0" indent="0" justifyLastLine="0" shrinkToFit="0" readingOrder="0"/>
    </dxf>
    <dxf>
      <font>
        <sz val="12"/>
        <name val="Times New Roman"/>
      </font>
      <alignment horizontal="general"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general" vertical="center" textRotation="0" indent="0" justifyLastLine="0" shrinkToFit="0" readingOrder="0"/>
    </dxf>
    <dxf>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30" formatCode="@"/>
      <alignment horizontal="general" vertical="center" textRotation="0" wrapText="0" indent="0" justifyLastLine="0" shrinkToFit="0" readingOrder="0"/>
    </dxf>
    <dxf>
      <numFmt numFmtId="30" formatCode="@"/>
      <alignment horizontal="general" vertical="center" textRotation="0" indent="0" justifyLastLine="0" shrinkToFit="0" readingOrder="0"/>
    </dxf>
    <dxf>
      <numFmt numFmtId="30" formatCode="@"/>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D66D12-2F83-487A-8E2F-2093BF9F1250}" name="Table2" displayName="Table2" ref="A1:P36" totalsRowShown="0" headerRowDxfId="270" dataDxfId="269">
  <autoFilter ref="A1:P36" xr:uid="{EDD66D12-2F83-487A-8E2F-2093BF9F1250}"/>
  <tableColumns count="16">
    <tableColumn id="1" xr3:uid="{A8263D95-B064-4A1E-879E-4C3CA6D53734}" name="STT" dataDxfId="268"/>
    <tableColumn id="2" xr3:uid="{AAB48C54-D0F6-4CCD-A5E6-FD6D263AFE46}" name="Hẻm" dataDxfId="267"/>
    <tableColumn id="3" xr3:uid="{A25C370C-388F-45B3-B6E8-C32EB58B3026}" name="Tuyến đường" dataDxfId="266"/>
    <tableColumn id="9" xr3:uid="{5F89059D-E846-4CCE-9BF0-DF3E472C85FC}" name="Quận" dataDxfId="265"/>
    <tableColumn id="11" xr3:uid="{17321F78-B47B-4374-B9D4-44AC59B6C4B9}" name="Phường" dataDxfId="264"/>
    <tableColumn id="4" xr3:uid="{2018197F-6655-412B-AD88-3EF529061EA7}" name="Tủ điều khiển" dataDxfId="263"/>
    <tableColumn id="12" xr3:uid="{8D2BCB5A-934D-4600-890B-C703ED366907}" name="Độ rộng đường" dataDxfId="262"/>
    <tableColumn id="13" xr3:uid="{A83A6BFB-6728-43EE-8EE1-985DEAAA80D2}" name="Đầu tuyến" dataDxfId="261"/>
    <tableColumn id="14" xr3:uid="{AB716A5B-70F2-4871-AE17-BE8DF7FB5715}" name="Cuối tuyến" dataDxfId="260"/>
    <tableColumn id="5" xr3:uid="{7F8793F5-ECD2-4BFA-952E-712B6AA5C154}" name="ngày khảo sát" dataDxfId="259"/>
    <tableColumn id="7" xr3:uid="{43BB8F93-734C-4592-8A69-642A3A457BE2}" name="vĩ độ" dataDxfId="258"/>
    <tableColumn id="6" xr3:uid="{381C00B1-2801-4E23-93A4-AC83EA4DF82B}" name="kinh độ" dataDxfId="257"/>
    <tableColumn id="15" xr3:uid="{95595B90-2C97-4711-A68A-0F6B4FB0E9BF}" name="Column1" dataDxfId="256"/>
    <tableColumn id="8" xr3:uid="{CCE85CE1-9511-4F7D-9308-AAAD263D97C8}" name="Người khảo sát" dataDxfId="255"/>
    <tableColumn id="10" xr3:uid="{03DFB40E-5025-47E9-920D-4793C8C5CCC2}" name="Bản vẽ" dataDxfId="254"/>
    <tableColumn id="16" xr3:uid="{B7908EAB-63F6-4214-9569-8FE10DCB7004}" name="Column2" dataDxfId="253">
      <calculatedColumnFormula>HYPERLINK("https://www.google.com/maps/search/?api=1&amp;query=" &amp; Table2[[#This Row],[vĩ độ]] &amp; ";" &amp; Table2[[#This Row],[kinh độ]], "Xem trên Google Maps")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C75DA2-F0B7-4270-826D-E9E04ABE38E9}" name="Table24" displayName="Table24" ref="A1:V450" totalsRowShown="0" headerRowDxfId="252" dataDxfId="251">
  <autoFilter ref="A1:V450" xr:uid="{EDD66D12-2F83-487A-8E2F-2093BF9F1250}">
    <filterColumn colId="19">
      <filters>
        <filter val="Hẻm Hẻm 124 Xô viết nghệ Tĩnh Hẻm 124 Xô viết nghệ Tĩnh, Phường 21, Quận Bình Thạnh"/>
        <filter val="Hẻm Hẻm 160 Xô viết nghệ Tĩnh Hẻm 160 Xô viết nghệ Tĩnh, Phường 21, Quận Bình Thạnh"/>
        <filter val="Hẻm Hẻm 356 Xô viết nghệ Tĩnh Hẻm 354 Xô viết nghệ Tĩnh, Phường 25, Quận Bình Thạnh"/>
      </filters>
    </filterColumn>
  </autoFilter>
  <tableColumns count="22">
    <tableColumn id="1" xr3:uid="{9F970155-8AFE-4959-BCC2-2AD6C38BE9F1}" name="STT" dataDxfId="249" totalsRowDxfId="250"/>
    <tableColumn id="2" xr3:uid="{C509F385-B256-406D-853A-BDEAC803471F}" name="Hẻm" dataDxfId="247" totalsRowDxfId="248"/>
    <tableColumn id="3" xr3:uid="{93FBC1C0-FEA6-4E63-AFC4-2F9DBCFDB2CA}" name="Tuyến đường" dataDxfId="245" totalsRowDxfId="246"/>
    <tableColumn id="9" xr3:uid="{53D300F8-01B2-45AB-8706-5BB185E7E3E4}" name="Quận" dataDxfId="243" totalsRowDxfId="244"/>
    <tableColumn id="11" xr3:uid="{7B849CEC-3222-44B5-89A0-574299DC59D1}" name="Phường" dataDxfId="241" totalsRowDxfId="242"/>
    <tableColumn id="4" xr3:uid="{B17C9167-6A25-49DB-9EFF-884DB571C861}" name="Tủ điều khiển" dataDxfId="239" totalsRowDxfId="240"/>
    <tableColumn id="12" xr3:uid="{4C251155-DF46-44FC-B0A2-434D4FDE3EDF}" name="Độ rộng đường" dataDxfId="237" totalsRowDxfId="238"/>
    <tableColumn id="17" xr3:uid="{CEFB7D32-F0A5-49A0-A018-23027EB64BD3}" name="Dãy phân cách" dataDxfId="235" totalsRowDxfId="236"/>
    <tableColumn id="18" xr3:uid="{E2F9903D-4C75-4D10-B42F-D78B13B1C051}" name="Số làn xe" dataDxfId="233" totalsRowDxfId="234"/>
    <tableColumn id="13" xr3:uid="{E4981455-C407-4091-8E47-6892EB1CD249}" name="Đầu tuyến" dataDxfId="231" totalsRowDxfId="232"/>
    <tableColumn id="14" xr3:uid="{B6D3873C-6C12-4DA7-B988-175847C49414}" name="Cuối tuyến" dataDxfId="229" totalsRowDxfId="230"/>
    <tableColumn id="15" xr3:uid="{6FFA6CC5-19EE-4958-9D93-1B81670A5F2E}" name="Số đèn dự kiến" dataDxfId="227" totalsRowDxfId="228"/>
    <tableColumn id="5" xr3:uid="{3FABB2A0-F415-4595-B722-2DA900AAC650}" name="ngày khảo sát" dataDxfId="225" totalsRowDxfId="226"/>
    <tableColumn id="6" xr3:uid="{6B6E1259-B59B-40B7-810B-7C88A7A1D598}" name="kinh độ" dataDxfId="223" totalsRowDxfId="224"/>
    <tableColumn id="7" xr3:uid="{74EB16B9-7F6E-4466-9AD9-945EA03BE7A1}" name="vĩ độ" dataDxfId="221" totalsRowDxfId="222"/>
    <tableColumn id="8" xr3:uid="{C7F20530-2EDB-48EA-8792-E860F30C4662}" name="Người khảo sát" dataDxfId="219" totalsRowDxfId="220"/>
    <tableColumn id="10" xr3:uid="{2AA04B81-1C1E-46C6-87FF-F29CF2904A36}" name="Bản vẽ" dataDxfId="217" totalsRowDxfId="218"/>
    <tableColumn id="16" xr3:uid="{C213F070-3121-4026-9F94-FF938E7E02B4}" name="Ghi chú" dataDxfId="215" totalsRowDxfId="216"/>
    <tableColumn id="19" xr3:uid="{60B3E8A7-4E91-4DEB-B847-ACA3DDE9EA56}" name="Vị trí" dataDxfId="213" totalsRowDxfId="214">
      <calculatedColumnFormula>HYPERLINK("https://www.google.com/maps/search/" &amp; Table24[[#This Row],[Tên hẻm]], "Xem trên Google Maps")</calculatedColumnFormula>
    </tableColumn>
    <tableColumn id="20" xr3:uid="{F224362F-D1C4-408E-9E3A-06C0DBAB5717}" name="Tên hẻm" dataDxfId="211" totalsRowDxfId="212">
      <calculatedColumnFormula>"Hẻm "&amp;Table24[[#This Row],[Hẻm]]&amp;" "&amp;Table24[[#This Row],[Tuyến đường]]&amp;", Phường "&amp;Table24[[#This Row],[Phường]]&amp;", Quận "&amp;Table24[[#This Row],[Quận]]</calculatedColumnFormula>
    </tableColumn>
    <tableColumn id="22" xr3:uid="{5914E290-9636-4DCA-85E4-DBA711809E78}" name="Trạng thái thiết kế" dataDxfId="209" totalsRowDxfId="210"/>
    <tableColumn id="21" xr3:uid="{11A7B7E8-5090-4BFA-9E4C-BE7FB96DA5DE}" name="Link Google Map" dataDxfId="207" totalsRowDxfId="208">
      <calculatedColumnFormula>HYPERLINK("https://www.google.com/maps/search/?api=1&amp;query=" &amp; _xlfn.ENCODEURL(Table24[[#This Row],[Tên hẻm]]), "Link Google Map")</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BB7CA4-4579-425F-8444-E50729472E77}" name="Table4" displayName="Table4" ref="A1:W95" totalsRowShown="0" headerRowDxfId="206">
  <autoFilter ref="A1:W95" xr:uid="{ABBB7CA4-4579-425F-8444-E50729472E77}"/>
  <tableColumns count="23">
    <tableColumn id="1" xr3:uid="{672FCE53-FBF6-4690-87A3-762F8D13CA43}" name="STT"/>
    <tableColumn id="2" xr3:uid="{F432E33C-0FE6-4005-A3ED-905015A773BB}" name="Tuyến đường"/>
    <tableColumn id="3" xr3:uid="{2695A540-4701-4871-961A-A3362AC075CF}" name="Quận" dataDxfId="205"/>
    <tableColumn id="4" xr3:uid="{3349CE82-4A31-4469-A2CF-04E1D0A92E8C}" name="Phường" dataDxfId="204"/>
    <tableColumn id="5" xr3:uid="{CA6D7B01-2B43-4E00-8AB1-6F7646FF2191}" name="Tủ điều khiển"/>
    <tableColumn id="6" xr3:uid="{FEB2A8C0-E13D-4510-A14D-8DEFE39B3C27}" name="Độ rộng đường" dataDxfId="203"/>
    <tableColumn id="21" xr3:uid="{A963190D-C861-4D2D-890D-E4EC0F6B8BFC}" name="Dãy phân cách" dataDxfId="202"/>
    <tableColumn id="20" xr3:uid="{7F20629D-3FEE-40F3-A44C-62799301CC80}" name="Số làn xe" dataDxfId="201"/>
    <tableColumn id="7" xr3:uid="{7291DBAF-6700-4942-9806-AA809FE16A72}" name="Đầu tuyến" dataDxfId="200"/>
    <tableColumn id="8" xr3:uid="{81A7F503-80C7-4C0A-B056-FA3D68CE5C16}" name="Cuối tuyến" dataDxfId="199"/>
    <tableColumn id="9" xr3:uid="{7A0EDA03-2152-4DA1-8240-BC52E617A3A1}" name="Số đèn dự kiến" dataDxfId="198"/>
    <tableColumn id="19" xr3:uid="{8CB0E801-637F-4471-8CAD-6C649B54C49A}" name="Đường nhựa" dataDxfId="197"/>
    <tableColumn id="18" xr3:uid="{3F6BF030-7056-4F5B-86ED-37CDB9F4CFFA}" name="Vỉa hè các loại" dataDxfId="196"/>
    <tableColumn id="17" xr3:uid="{BA38BE8F-4D9C-48A6-9985-A6F0FD425454}" name="Vỉa hè bê tông" dataDxfId="195"/>
    <tableColumn id="16" xr3:uid="{368976B5-67DD-4EBB-AEF9-6B9C4456DE8F}" name="Vỉa hè đá" dataDxfId="194"/>
    <tableColumn id="22" xr3:uid="{817F43C3-EF47-4107-AF0F-21AADF9C6AB4}" name="Số đèn thu hồi" dataDxfId="193"/>
    <tableColumn id="23" xr3:uid="{442E9A27-44CC-4E6D-92B1-BAFA7983D752}" name="CD cáp thu hồi" dataDxfId="192"/>
    <tableColumn id="10" xr3:uid="{BB46AF9A-1CB3-43A3-BA74-2510E63F4F3C}" name="ngày khảo sát" dataDxfId="191"/>
    <tableColumn id="11" xr3:uid="{3692B81B-F0EF-4936-A993-70D0C14B9214}" name="kinh độ" dataDxfId="190"/>
    <tableColumn id="12" xr3:uid="{129FF44F-15DF-46C9-9C41-26EB379323A7}" name="vĩ độ" dataDxfId="189"/>
    <tableColumn id="13" xr3:uid="{B69BE3B2-7992-45B5-A6A4-4947638099C8}" name="Người khảo sát" dataDxfId="188"/>
    <tableColumn id="14" xr3:uid="{F0424BCE-DBF7-4BD8-99A3-6D56E3C3964A}" name="Bản vẽ" dataDxfId="187"/>
    <tableColumn id="15" xr3:uid="{85CFE80C-4ECE-4933-8C60-B2153CC45296}" name="Ghi chú" dataDxfId="18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97F670-4515-4A69-89AA-572BD96A2032}" name="Table11" displayName="Table11" ref="M97:M98" insertRow="1" totalsRowShown="0">
  <autoFilter ref="M97:M98" xr:uid="{7297F670-4515-4A69-89AA-572BD96A2032}"/>
  <tableColumns count="1">
    <tableColumn id="1" xr3:uid="{3D594264-958B-4248-AC2E-A79D37DB8622}" name="Cột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AA4664-2222-41BA-8A23-EDA51BCC1287}" name="Table5" displayName="Table5" ref="A1:P64" totalsRowShown="0">
  <autoFilter ref="A1:P64" xr:uid="{BBAA4664-2222-41BA-8A23-EDA51BCC1287}"/>
  <tableColumns count="16">
    <tableColumn id="1" xr3:uid="{29E0FC10-96BF-4648-8E01-AE7E62EB9EEA}" name="STT" dataDxfId="184" totalsRowDxfId="185"/>
    <tableColumn id="2" xr3:uid="{173445E9-87CB-4A85-9C12-F014CBC8F004}" name="Tuyến đường"/>
    <tableColumn id="3" xr3:uid="{955ACE16-AA99-4AD3-9049-BCCA87E48B21}" name="Quận"/>
    <tableColumn id="4" xr3:uid="{C529C18B-E4C6-41F1-AE7A-DADBA478C46E}" name="Phường"/>
    <tableColumn id="5" xr3:uid="{7B9ED17A-DFD9-446E-9676-BB34BD6B7EB8}" name="Tủ điều khiển"/>
    <tableColumn id="6" xr3:uid="{D274CF1C-97FF-4B91-B4F6-1A7A5F5B2FAF}" name="Đầu tuyến"/>
    <tableColumn id="7" xr3:uid="{543D5483-5452-40D7-9643-057F69D30ACB}" name="Cuối tuyến"/>
    <tableColumn id="8" xr3:uid="{234AEE89-F8C6-44F4-BC05-7908153E79F8}" name="Số đèn hiện hữu"/>
    <tableColumn id="19" xr3:uid="{A83E388C-3649-4DF8-A0C0-EF5B849864FF}" name="Công suất đèn hiện hữu" dataDxfId="182" totalsRowDxfId="183"/>
    <tableColumn id="9" xr3:uid="{4EC323AA-8F9E-4683-BA94-D18154D6D9C0}" name="Dây lên đèn"/>
    <tableColumn id="10" xr3:uid="{69207AD4-0886-4A8D-AB38-5AFD87B6BD4C}" name="Năm lắp đặt"/>
    <tableColumn id="11" xr3:uid="{B19553C0-7221-415C-9B82-7D0648CB7FFA}" name="ngày khảo sát"/>
    <tableColumn id="14" xr3:uid="{142D61E3-34A8-4C7B-8AF9-9E2D0145FB85}" name="Người khảo sát"/>
    <tableColumn id="15" xr3:uid="{7712255D-A268-4EFE-A988-797A47F9AB53}" name="Bản vẽ"/>
    <tableColumn id="16" xr3:uid="{ABBBA20C-FED9-43EA-A5CB-00A2662D83DB}" name="Ghi chú"/>
    <tableColumn id="20" xr3:uid="{9E9C5804-80B7-4C26-B8B7-89E85A3E3D24}" name="li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70E7C0-1D9A-46AA-9E2F-7E99DEF05E20}" name="Bang4" displayName="Bang4" ref="A1:L24" totalsRowShown="0" headerRowDxfId="181" dataDxfId="180" headerRowBorderDxfId="179">
  <autoFilter ref="A1:L24" xr:uid="{E770E7C0-1D9A-46AA-9E2F-7E99DEF05E20}"/>
  <tableColumns count="12">
    <tableColumn id="1" xr3:uid="{93855BF7-3762-417F-9825-9FFB9DF9AF14}" name="STT" dataDxfId="178"/>
    <tableColumn id="2" xr3:uid="{AD67ADF5-F294-46EF-8712-850A8B24C264}" name="Tuyến đường" dataDxfId="177"/>
    <tableColumn id="3" xr3:uid="{40AD55F5-6001-4533-812E-5BBAB86FBAE9}" name="Quận" dataDxfId="176"/>
    <tableColumn id="8" xr3:uid="{E90A7929-3DAA-416C-B6C3-87F0A573BF0B}" name="Phường" dataDxfId="175"/>
    <tableColumn id="4" xr3:uid="{E205DA2A-E122-4624-B39F-42D357325EC1}" name="Tủ điều khiển" dataDxfId="174"/>
    <tableColumn id="11" xr3:uid="{249C611A-E4D8-4D3A-8278-3CE6013CAAD7}" name="Năm lắp đặt" dataDxfId="173"/>
    <tableColumn id="21" xr3:uid="{22610572-E512-4B64-9209-CC7F09A8E76E}" name="Số lượng" dataDxfId="172"/>
    <tableColumn id="12" xr3:uid="{D16EBFCF-E898-4E63-AEA5-BC8B560793CE}" name="Loại hộp (6A, 10A)" dataDxfId="171"/>
    <tableColumn id="5" xr3:uid="{1F5B1774-7B06-4636-BCBD-EC5A711C7646}" name="Người khảo sát" dataDxfId="170"/>
    <tableColumn id="15" xr3:uid="{81855F92-D7EB-44D1-9D4E-4AF537AD01C6}" name="Ngày khảo sát" dataDxfId="169"/>
    <tableColumn id="16" xr3:uid="{4C273D9A-36C0-40A0-83FD-2B69586E26A0}" name="Số đầu cáp" dataDxfId="168"/>
    <tableColumn id="17" xr3:uid="{AD12337A-52C9-4824-A769-095EA6D77F57}" name="Ghi chú" dataDxfId="16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F6AF22A-A131-42BD-BED4-B087D3902566}" name="Table10" displayName="Table10" ref="A2:L39" totalsRowShown="0" headerRowDxfId="166" dataDxfId="165">
  <autoFilter ref="A2:L39" xr:uid="{0F6AF22A-A131-42BD-BED4-B087D3902566}"/>
  <tableColumns count="12">
    <tableColumn id="1" xr3:uid="{DC66DB1E-95DC-4EF2-B838-09F91E5C8BB8}" name="STT" dataDxfId="164"/>
    <tableColumn id="2" xr3:uid="{58BF7526-1CC4-41BD-92CE-09616554291F}" name="Tuyến đường" dataDxfId="163"/>
    <tableColumn id="3" xr3:uid="{76BA332F-75DF-4DE6-8F40-27A44E99A969}" name="Quận" dataDxfId="162"/>
    <tableColumn id="4" xr3:uid="{C2557B74-9D07-4795-BB3F-CF39D2C2880F}" name="Phường" dataDxfId="161"/>
    <tableColumn id="5" xr3:uid="{CB24648D-F077-45E2-8A08-863118BB8E7C}" name="Tủ điều khiển" dataDxfId="160"/>
    <tableColumn id="6" xr3:uid="{59D9CD1B-B49C-4D2F-9D19-89E7AFC472C8}" name="Năm lắp đặt" dataDxfId="159"/>
    <tableColumn id="8" xr3:uid="{F01AF076-8049-4EA8-A80D-322D26C97C33}" name="Loại cáp hiện hữu" dataDxfId="158"/>
    <tableColumn id="7" xr3:uid="{0B2E69B9-E1FD-49D8-87EF-069E9932AF92}" name="Số lượng" dataDxfId="157"/>
    <tableColumn id="10" xr3:uid="{18395230-2F22-4F52-8F6A-77F144575471}" name="Người khảo sát" dataDxfId="156"/>
    <tableColumn id="9" xr3:uid="{BE436651-E14C-4F14-9502-EB90090516B7}" name="Ngày khảo sát" dataDxfId="155"/>
    <tableColumn id="11" xr3:uid="{75E7635C-D9F6-4833-AB85-5AEA33D0C228}" name="Ghi chú" dataDxfId="154"/>
    <tableColumn id="12" xr3:uid="{C6B6E54A-E63B-4A61-8553-C07E7E7145DD}" name="link" dataDxfId="15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4E3B440-631C-4EE8-82F5-A85057C823E3}" name="Table6" displayName="Table6" ref="A1:M66" totalsRowShown="0" headerRowDxfId="152" dataDxfId="151">
  <autoFilter ref="A1:M66" xr:uid="{44E3B440-631C-4EE8-82F5-A85057C823E3}"/>
  <tableColumns count="13">
    <tableColumn id="1" xr3:uid="{9464C957-5D76-43BD-8477-8DF0B27FE8ED}" name="STT" dataDxfId="150"/>
    <tableColumn id="2" xr3:uid="{BC2C5D38-A1D6-424C-9D21-DF75109D4EF2}" name="Vị trí" dataDxfId="149"/>
    <tableColumn id="3" xr3:uid="{0268A6CC-8D62-420E-86E9-4112344F76E2}" name="Tuyến đường" dataDxfId="148"/>
    <tableColumn id="4" xr3:uid="{100CC136-4DD1-435D-8DFF-599B90109C73}" name="Quận" dataDxfId="147"/>
    <tableColumn id="5" xr3:uid="{5A79AF6F-4048-49F9-AE61-4476FFAA213C}" name="Phường" dataDxfId="146"/>
    <tableColumn id="6" xr3:uid="{44185431-58B2-4086-8F50-D7DF98441B5E}" name="Tủ điều khiển" dataDxfId="145"/>
    <tableColumn id="7" xr3:uid="{D1544B49-33A7-432C-8D31-38C5121C11D1}" name="Năm lắp đặt" dataDxfId="144"/>
    <tableColumn id="8" xr3:uid="{D1EBCD0E-AD41-48B6-9CB5-E86E8496F678}" name="Loại cáp" dataDxfId="143"/>
    <tableColumn id="9" xr3:uid="{02A4D4FC-E6FA-482A-8145-5A0D773B6604}" name="Số lượng" dataDxfId="142"/>
    <tableColumn id="10" xr3:uid="{29321324-B386-49E6-8286-D7B195034738}" name="Người khảo sát" dataDxfId="141"/>
    <tableColumn id="11" xr3:uid="{D5A52773-12E2-4593-A70E-E599923AD16F}" name="Ngày khảo sát" dataDxfId="140"/>
    <tableColumn id="12" xr3:uid="{A456CDD4-D294-4F99-821A-4941BC0B7272}" name="Ghi chú" dataDxfId="139"/>
    <tableColumn id="13" xr3:uid="{55B3DF9B-A7AB-4F3B-9880-EF9F2190B335}" name="link" dataDxfId="13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63C6510-6B02-4D57-AE10-A5D8BEBE8E59}" name="Table12" displayName="Table12" ref="A1:M16" totalsRowShown="0" headerRowDxfId="137" dataDxfId="136">
  <autoFilter ref="A1:M16" xr:uid="{F63C6510-6B02-4D57-AE10-A5D8BEBE8E59}"/>
  <tableColumns count="13">
    <tableColumn id="1" xr3:uid="{84370297-AEBB-427E-88C5-12CC8D9974A2}" name="STT" dataDxfId="135"/>
    <tableColumn id="2" xr3:uid="{77D14AEA-5788-4F2D-83E3-897CD084E548}" name="Tuyến đường" dataDxfId="134"/>
    <tableColumn id="3" xr3:uid="{FECB028A-7350-4FEC-9716-D551E823B7D6}" name="Quận" dataDxfId="133"/>
    <tableColumn id="4" xr3:uid="{DBD2CF8A-7BF4-4FDE-A515-26013F5D2B3D}" name="Phường" dataDxfId="132"/>
    <tableColumn id="5" xr3:uid="{F7707AEF-D8F7-4682-BB47-146522F2E0D2}" name="Tủ điều khiển" dataDxfId="131"/>
    <tableColumn id="6" xr3:uid="{84AE5F9F-D434-43D0-B589-59F68FFE3B55}" name="Năm lắp đặt" dataDxfId="130"/>
    <tableColumn id="7" xr3:uid="{E855A457-8270-4B23-983C-6C07A63F34E6}" name="Số lượng" dataDxfId="129"/>
    <tableColumn id="12" xr3:uid="{5D96EC5D-B560-445F-9767-B380379E96E9}" name="Loại cáp" dataDxfId="128"/>
    <tableColumn id="11" xr3:uid="{0BAEA072-1B3F-43DD-8AD6-CD028E27CC84}" name="Loại mương cáp" dataDxfId="127"/>
    <tableColumn id="13" xr3:uid="{25B25237-AB9F-49DE-A4E3-E0884ED80D14}" name="Người khảo sát" dataDxfId="126"/>
    <tableColumn id="8" xr3:uid="{D604D1CE-F625-460A-B283-4E4A990C58B3}" name="Ngày khảo sát" dataDxfId="125"/>
    <tableColumn id="9" xr3:uid="{99F5B4F5-52FE-47C9-AB4E-1A161F748F8E}" name="Ghi chú" dataDxfId="124"/>
    <tableColumn id="10" xr3:uid="{396D5377-A1F7-480A-A348-E13F87D88121}" name="link" dataDxfId="1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9686C26-0142-41C5-AEF6-EFA735384D68}" name="Table13" displayName="Table13" ref="A1:N21" totalsRowShown="0" headerRowDxfId="122" dataDxfId="121">
  <autoFilter ref="A1:N21" xr:uid="{19686C26-0142-41C5-AEF6-EFA735384D68}"/>
  <tableColumns count="14">
    <tableColumn id="1" xr3:uid="{4A782AF4-D49F-4737-B486-8DC4D2014B4E}" name="STT" dataDxfId="120"/>
    <tableColumn id="14" xr3:uid="{623AAA61-2536-4F24-BECF-4B334069430F}" name="Vị trí" dataDxfId="119"/>
    <tableColumn id="2" xr3:uid="{BC9B5B14-8408-4A1C-94D9-3382F5FF51A8}" name="Tuyến đường" dataDxfId="118"/>
    <tableColumn id="3" xr3:uid="{2E83EF78-2932-4C5B-98A5-3E66D81A559C}" name="Quận" dataDxfId="117"/>
    <tableColumn id="4" xr3:uid="{60BAA93A-CB27-46B8-857F-2D685DCC7DFC}" name="Phường" dataDxfId="116"/>
    <tableColumn id="5" xr3:uid="{BEFCAB3D-4074-4F01-B8F6-A84F5F6B16E4}" name="Tủ điều khiển" dataDxfId="115"/>
    <tableColumn id="6" xr3:uid="{51F965BC-6308-41B3-BE98-48AFFEE31375}" name="Năm lắp đặt" dataDxfId="114"/>
    <tableColumn id="7" xr3:uid="{336206E4-EF44-4FA9-9A28-8DF3495D8640}" name="Số lượng" dataDxfId="113"/>
    <tableColumn id="8" xr3:uid="{18BEF783-EC82-4A15-B7E4-95EF59A4744D}" name="Loại kiềng (HTLT, TTLT, B2...)" dataDxfId="112"/>
    <tableColumn id="9" xr3:uid="{39D67D59-AEDD-4D86-B545-CA61C39BFB66}" name="Loại cần (3,8m ; 3m...)" dataDxfId="111"/>
    <tableColumn id="13" xr3:uid="{1DD7DAEB-6C6A-4D44-A23D-61BDAE6CD597}" name="Người khảo sát" dataDxfId="110"/>
    <tableColumn id="10" xr3:uid="{AB1579F6-4C5E-4FEC-AE0C-406A4B72E82D}" name="Ngày khảo sát" dataDxfId="109"/>
    <tableColumn id="11" xr3:uid="{9CCE7D27-3B3F-4A7C-8A48-8B96A371A71A}" name="Ghi chú" dataDxfId="108"/>
    <tableColumn id="12" xr3:uid="{FF74C13B-D209-4084-A81A-DB41EEB3F916}" name="link" dataDxfId="10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AED7E5-0085-41AB-9737-0E92114AC467}" name="Table147" displayName="Table147" ref="A1:O30" totalsRowShown="0" headerRowDxfId="106" dataDxfId="105">
  <autoFilter ref="A1:O30" xr:uid="{56B94D5E-A434-44BA-802E-30815D4E836F}"/>
  <tableColumns count="15">
    <tableColumn id="1" xr3:uid="{00F2B168-69D8-49A6-8CFF-F92DDAD1189E}" name="STT" dataDxfId="104"/>
    <tableColumn id="12" xr3:uid="{DF58BF33-C256-4C0B-A735-75A9FF34F552}" name="Vị trí" dataDxfId="103"/>
    <tableColumn id="2" xr3:uid="{69A4C0DB-A7AA-4493-BA57-B0BCDE6805D0}" name="Tuyến đường" dataDxfId="102"/>
    <tableColumn id="3" xr3:uid="{0D2591DD-0375-4727-A013-56DCBF40CD1C}" name="Quận" dataDxfId="101"/>
    <tableColumn id="4" xr3:uid="{D2A36860-BD90-481E-9DCB-7BC836BF534D}" name="Phường" dataDxfId="100"/>
    <tableColumn id="5" xr3:uid="{5710FB04-A61D-407F-8C20-2CB941426B96}" name="Tủ điều khiển" dataDxfId="99"/>
    <tableColumn id="7" xr3:uid="{608CD704-5437-4A6F-B996-E77E7AA9C865}" name="Số lượng" dataDxfId="98"/>
    <tableColumn id="14" xr3:uid="{3135F594-5386-4DBB-BD1E-1607FF51A35C}" name="Loại sự cố (mục, gỉ sét, hư mặt bích,...)" dataDxfId="97"/>
    <tableColumn id="15" xr3:uid="{7DAA6A7D-BF5B-447B-BACE-DE022D2AC57F}" name="Quy cách trụ (loại trụ: chiều cao VD: STK 9m; be tông 8,4m; trang trí;...)" dataDxfId="96"/>
    <tableColumn id="8" xr3:uid="{3B66FEF4-9AE1-4B95-A5E8-C299292CA2F7}" name="Quy cách móng" dataDxfId="95"/>
    <tableColumn id="6" xr3:uid="{19B653AB-304F-4206-A5A3-F2F89987178B}" name="Năm lắp đặt" dataDxfId="94"/>
    <tableColumn id="9" xr3:uid="{57D7FA2B-570B-4D12-A244-7925538CAFA6}" name="Người khảo sát" dataDxfId="93"/>
    <tableColumn id="16" xr3:uid="{42767C92-164D-4BCF-B72C-9F70207C87ED}" name="Ngày khảo sát" dataDxfId="92"/>
    <tableColumn id="10" xr3:uid="{5942D8D4-621C-4846-9C19-B69BCD2E095A}" name="Ghi chú (kèm thay cần đèn,...)" dataDxfId="91"/>
    <tableColumn id="11" xr3:uid="{261B89D3-4102-4AEF-BEFC-D81C0D9D27E0}" name="link" dataDxfId="9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B4AAEB5-1157-4854-B2D6-F2C424FCA4ED}" name="Table15" displayName="Table15" ref="A1:L43" totalsRowShown="0" headerRowDxfId="89" dataDxfId="88">
  <autoFilter ref="A1:L43" xr:uid="{AB4AAEB5-1157-4854-B2D6-F2C424FCA4ED}"/>
  <tableColumns count="12">
    <tableColumn id="1" xr3:uid="{02E9487B-52F8-4AEA-9173-9E2789D81A10}" name="STT" dataDxfId="87"/>
    <tableColumn id="2" xr3:uid="{22B2DA68-778D-4489-9785-4EDB4171425A}" name="Tuyến đường" dataDxfId="86"/>
    <tableColumn id="3" xr3:uid="{7D5808A1-3878-420A-ADA3-A02ACF9B56CD}" name="Quận" dataDxfId="85"/>
    <tableColumn id="4" xr3:uid="{6BF519DC-0131-439F-800B-8712836C3837}" name="Phường" dataDxfId="84"/>
    <tableColumn id="5" xr3:uid="{FC4DF58F-A435-407D-848C-95C850463A09}" name="Tủ điều khiển" dataDxfId="83"/>
    <tableColumn id="6" xr3:uid="{036E8DA0-9853-48BC-A047-4BB445F35A2D}" name="Năm lắp đặt" dataDxfId="82"/>
    <tableColumn id="7" xr3:uid="{137DEDDF-AE8F-4F78-A305-ABF998742AA0}" name="Số lượng" dataDxfId="81"/>
    <tableColumn id="8" xr3:uid="{BBA93B05-A0B4-48E9-A1F6-1756C6681A57}" name="Loại chóa" dataDxfId="80"/>
    <tableColumn id="9" xr3:uid="{E4B065A6-9A56-4FAC-84DD-62D9F1198A4C}" name="Người khảo sát" dataDxfId="79"/>
    <tableColumn id="12" xr3:uid="{DE00D394-4A1A-46CF-AE6A-151F29D435FB}" name="Ngày khảo sát" dataDxfId="78"/>
    <tableColumn id="10" xr3:uid="{409E3EDD-D8F2-453A-9D91-7AA40600D9FD}" name="Ghi chú" dataDxfId="77"/>
    <tableColumn id="11" xr3:uid="{F3D6252C-A41B-4336-A476-37A5899810E5}" name="link" dataDxfId="7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3677E59-C584-4E8B-9C65-42E0083E191B}" name="Table178" displayName="Table178" ref="A1:P2" insertRow="1" totalsRowShown="0" headerRowDxfId="75" dataDxfId="74">
  <autoFilter ref="A1:P2" xr:uid="{39E1DAE6-F591-4473-B523-BE8AAD60FA14}"/>
  <tableColumns count="16">
    <tableColumn id="1" xr3:uid="{44F4C04A-C6D6-47C4-BFFA-A535DB3A9754}" name="STT" dataDxfId="73"/>
    <tableColumn id="12" xr3:uid="{C94D3389-E716-43BE-978B-5DCB6C903823}" name="Vị trí" dataDxfId="72"/>
    <tableColumn id="2" xr3:uid="{121DE607-A1FA-4376-B615-94B3E2BC7383}" name="Tuyến đường" dataDxfId="71"/>
    <tableColumn id="3" xr3:uid="{A8625B59-805F-43C8-A24A-F1A29DAE436B}" name="Quận" dataDxfId="70"/>
    <tableColumn id="4" xr3:uid="{81E80143-FE2C-462A-BB60-C1DF1F9FBA60}" name="Phường" dataDxfId="69"/>
    <tableColumn id="5" xr3:uid="{67822D4C-EA74-42AD-9061-A12EFC7854F8}" name="Tủ điều khiển" dataDxfId="68"/>
    <tableColumn id="6" xr3:uid="{EEE3C402-4BEA-4B3A-A27F-DF25337DE4D9}" name="Chủng loại đèn" dataDxfId="67"/>
    <tableColumn id="7" xr3:uid="{9E85CD6D-C854-4CA7-BD6E-C1C35F38982D}" name="Số lượng" dataDxfId="66"/>
    <tableColumn id="13" xr3:uid="{E19D3BB0-A883-425F-954B-A9A5723CF05B}" name="Chủng loại cần đèn" dataDxfId="65"/>
    <tableColumn id="16" xr3:uid="{B50FB090-687F-4C20-86C3-6552D3CF964B}" name="Quy cách kiềng cần đèn" dataDxfId="64"/>
    <tableColumn id="14" xr3:uid="{77436148-5F03-4446-959E-94260643274C}" name="Kéo thêm cáp nguồn" dataDxfId="63"/>
    <tableColumn id="15" xr3:uid="{39A87500-6F11-434D-8419-6FC239AB33AB}" name="Khoảng cách giữa 2 trụ" dataDxfId="62"/>
    <tableColumn id="9" xr3:uid="{2B711A35-A2B4-42EA-AA66-D4C7939850C9}" name="Người khảo sát" dataDxfId="61"/>
    <tableColumn id="8" xr3:uid="{8EAE68CF-B29C-4F5D-8E70-349A3A8BF26D}" name="Ngày khảo sát" dataDxfId="60"/>
    <tableColumn id="10" xr3:uid="{28873BC8-F269-44A8-B751-16CDCE7C2933}" name="Ghi chú" dataDxfId="59"/>
    <tableColumn id="11" xr3:uid="{1E250251-3341-4D12-BF8C-7C7DFEB27389}" name="link" dataDxfId="5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E6F52C4-C1AD-40D1-8023-B4E0B5425FFC}" name="Table16" displayName="Table16" ref="A1:L24" totalsRowShown="0" headerRowDxfId="57" dataDxfId="56">
  <autoFilter ref="A1:L24" xr:uid="{3E6F52C4-C1AD-40D1-8023-B4E0B5425FFC}"/>
  <tableColumns count="12">
    <tableColumn id="1" xr3:uid="{B42412DD-9997-418E-A130-6699EBCDBD1D}" name="STT" dataDxfId="55"/>
    <tableColumn id="2" xr3:uid="{AEC8362D-1737-4227-851B-CF83F4D5CD1E}" name="Tuyến đường" dataDxfId="54"/>
    <tableColumn id="3" xr3:uid="{A870AC28-85F9-4C6B-A027-A5153EA25F08}" name="Quận" dataDxfId="53"/>
    <tableColumn id="4" xr3:uid="{37E23D86-52C5-47E2-BB31-DD0268E76A34}" name="Phường" dataDxfId="52"/>
    <tableColumn id="5" xr3:uid="{98D84019-A82B-4E53-BCDA-7FBD98C1B110}" name="Tủ điều khiển" dataDxfId="51"/>
    <tableColumn id="6" xr3:uid="{C561A665-9FAB-47BF-AB95-9B3148FB4598}" name="Số trụ" dataDxfId="50"/>
    <tableColumn id="7" xr3:uid="{4880B89A-E1AB-443E-9845-4E955A3D59AB}" name="Số lượng" dataDxfId="49"/>
    <tableColumn id="8" xr3:uid="{4D273519-97A0-490F-8D4F-748A1A55AEE3}" name="Quy cách" dataDxfId="48"/>
    <tableColumn id="9" xr3:uid="{8F1F4FB8-76D7-4535-9E34-9B53B64E841F}" name="Người khảo sát" dataDxfId="47"/>
    <tableColumn id="12" xr3:uid="{A8BC6CE6-1A0E-40DB-A2D3-30CD2C430AD4}" name="Ngày khảo sát" dataDxfId="46"/>
    <tableColumn id="10" xr3:uid="{F057D8D3-1930-4010-9181-E2739FF29937}" name="Ghi chú" dataDxfId="45"/>
    <tableColumn id="11" xr3:uid="{EAB57B20-B83B-40DB-9ACC-5A21BFF4AC64}" name="link" dataDxfId="4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9E1DAE6-F591-4473-B523-BE8AAD60FA14}" name="Table17" displayName="Table17" ref="A1:K39" totalsRowShown="0" headerRowDxfId="43" dataDxfId="42">
  <autoFilter ref="A1:K39" xr:uid="{39E1DAE6-F591-4473-B523-BE8AAD60FA14}"/>
  <tableColumns count="11">
    <tableColumn id="1" xr3:uid="{B0269453-35C4-43D9-8479-0CBEEDFCF8B9}" name="STT" dataDxfId="41"/>
    <tableColumn id="2" xr3:uid="{CA3FB349-1616-4ED8-9F9F-237E57BDF1A9}" name="Tuyến đường" dataDxfId="40"/>
    <tableColumn id="3" xr3:uid="{13C6D163-EBB5-4BE0-84EC-97FA853D3FA4}" name="Quận" dataDxfId="39"/>
    <tableColumn id="4" xr3:uid="{B71B7ED7-A548-4321-872D-BE88FEA7E0DC}" name="Phường" dataDxfId="38"/>
    <tableColumn id="5" xr3:uid="{639E6C7A-80E7-48B6-BF4E-97DF90F1677A}" name="Tủ điều khiển" dataDxfId="37"/>
    <tableColumn id="6" xr3:uid="{FBD4B82E-9067-4D33-A710-929A21FA7595}" name="Năm lắp đặt" dataDxfId="36"/>
    <tableColumn id="7" xr3:uid="{F249BA7A-5C6A-4554-A8A7-7FAEDD8D10B3}" name="Số lượng" dataDxfId="35"/>
    <tableColumn id="9" xr3:uid="{F6AD491D-9D30-43BE-8606-FABE97310497}" name="Người khảo sát" dataDxfId="34"/>
    <tableColumn id="8" xr3:uid="{78CC1053-4DC9-4720-9C92-DB9CB6948326}" name="Ngày khảo sát" dataDxfId="33"/>
    <tableColumn id="10" xr3:uid="{167C88B6-D6A2-4D83-8B22-AC35950CFC30}" name="Ghi chú" dataDxfId="32"/>
    <tableColumn id="11" xr3:uid="{A7D75592-6BA6-4CCB-A944-CD61892E14FA}" name="link" dataDxfId="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F1C99E-770C-40BF-AA5B-DD97ECF64611}" name="Table1789" displayName="Table1789" ref="A1:L150" totalsRowShown="0" headerRowDxfId="30" dataDxfId="29">
  <autoFilter ref="A1:L150" xr:uid="{39E1DAE6-F591-4473-B523-BE8AAD60FA14}"/>
  <tableColumns count="12">
    <tableColumn id="1" xr3:uid="{F357D21D-10FC-4F03-B7F8-CFA8A9E9164C}" name="STT" dataDxfId="28"/>
    <tableColumn id="12" xr3:uid="{C2B7C4C8-A678-45CC-9E2A-0B0A09A0A7B7}" name="Vị trí" dataDxfId="27"/>
    <tableColumn id="2" xr3:uid="{9E4882E1-3564-47AC-9B28-93AED16D045D}" name="Tuyến đường" dataDxfId="26"/>
    <tableColumn id="3" xr3:uid="{4B4EA87D-D284-4E46-997A-77F86F7D013C}" name="Quận" dataDxfId="25"/>
    <tableColumn id="4" xr3:uid="{67EC49C0-B412-4269-A326-E7CC6FCB51EC}" name="Phường" dataDxfId="24"/>
    <tableColumn id="5" xr3:uid="{23E41126-B14B-4FA7-A577-FD152484D513}" name="Tủ điều khiển" dataDxfId="23"/>
    <tableColumn id="7" xr3:uid="{8EAF2DC3-A2BA-4E3F-BC1F-0DF8842FB8FC}" name="Số lượng" dataDxfId="22"/>
    <tableColumn id="13" xr3:uid="{EFA8E7E3-7849-4B20-9B93-90DFE540B6E9}" name="Quy cách" dataDxfId="21"/>
    <tableColumn id="9" xr3:uid="{8142B53B-CCC6-4FD2-AEC2-31E0EA7B6E9E}" name="Người khảo sát" dataDxfId="20"/>
    <tableColumn id="8" xr3:uid="{9116A23B-736C-4A3E-AB2C-6CB79D5B1F10}" name="Ngày khảo sát" dataDxfId="19"/>
    <tableColumn id="10" xr3:uid="{AEC54348-26B8-45CC-B07D-369B82B702CD}" name="Ghi chú" dataDxfId="18"/>
    <tableColumn id="11" xr3:uid="{EFDAD7BB-2E40-4345-9E87-188F1D115D52}" name="link" dataDxfId="1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6B94D5E-A434-44BA-802E-30815D4E836F}" name="Table14" displayName="Table14" ref="A1:O20" totalsRowShown="0" headerRowDxfId="16" dataDxfId="15">
  <autoFilter ref="A1:O20" xr:uid="{56B94D5E-A434-44BA-802E-30815D4E836F}"/>
  <tableColumns count="15">
    <tableColumn id="1" xr3:uid="{3DB217AC-40CC-48EC-B9AE-BA8E8DF960BB}" name="STT" dataDxfId="14"/>
    <tableColumn id="12" xr3:uid="{191E838E-4CAB-43AE-8092-138E2474B56F}" name="Vị trí" dataDxfId="13"/>
    <tableColumn id="2" xr3:uid="{19D477F0-F3BC-4F81-8584-5D097571A022}" name="Tuyến đường" dataDxfId="12"/>
    <tableColumn id="3" xr3:uid="{4B707A11-505B-4DBF-A17E-36E3CC90CAE0}" name="Quận" dataDxfId="11"/>
    <tableColumn id="4" xr3:uid="{8F5AEDF6-726A-406A-B8FF-9618B34214CE}" name="Phường" dataDxfId="10"/>
    <tableColumn id="5" xr3:uid="{B3E85D68-BC5D-4D8F-B76D-A529DD83AEA0}" name="Tủ điều khiển" dataDxfId="9"/>
    <tableColumn id="6" xr3:uid="{DA421AB1-A843-4EC8-81CB-C0B6058B0B74}" name="Năm lắp đặt" dataDxfId="8"/>
    <tableColumn id="14" xr3:uid="{0AD7723B-B810-418D-A1CE-2E929424FC44}" name="Độ cao nâng" dataDxfId="7"/>
    <tableColumn id="7" xr3:uid="{6D9F98E8-6019-4B4B-ADC5-B7B96631A01B}" name="Số lượng" dataDxfId="6"/>
    <tableColumn id="8" xr3:uid="{BB196497-0994-4D5E-AC37-516AB3F545C9}" name="Quy cách móng" dataDxfId="5"/>
    <tableColumn id="13" xr3:uid="{D7B24C1D-5801-4F7C-8546-60E579D89A5A}" name="Chiều cao nắp cửa trụ (từ mặt bích đến nắp cửa trụ)" dataDxfId="4"/>
    <tableColumn id="9" xr3:uid="{1154D39D-BE7B-4058-A80A-75F4632CAFB6}" name="Người khảo sát" dataDxfId="3"/>
    <tableColumn id="16" xr3:uid="{BB5926E5-1B91-40AE-BA2B-D3F97E08B8D6}" name="Ngày khảo sát" dataDxfId="2"/>
    <tableColumn id="10" xr3:uid="{C2F5ADD1-FF68-421F-BD77-23ECE6797E97}" name="Ghi chú" dataDxfId="1"/>
    <tableColumn id="11" xr3:uid="{B2CD5C58-F597-4BD3-8CD5-886CC3F230E0}" name="lin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x:/g/personal/gdcsbac_cscctphcm_onmicrosoft_com/ESWz5w8jofJMk-MkhrHp05cBNOnquq931qVSyRZxJGCuTw?e=rhJMiq&amp;nav=MTVfezREMEUxNjUxLTJGQ0YtNEY3Qy1BQ0JFLTEyQ0JGNDM2NTUyRn0"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b:/r/personal/gdcsbac_cscctphcm_onmicrosoft_com/Documents/Documents/H%C3%ACnh%20%E1%BA%A3nh/Qu%E1%BA%ADn%208/127%20M%E1%BB%85%20C%E1%BB%91c%20.pdf?csf=1&amp;web=1&amp;e=7Oy5N2" TargetMode="External"/><Relationship Id="rId18" Type="http://schemas.openxmlformats.org/officeDocument/2006/relationships/hyperlink" Target="../../../../:b:/r/personal/gdcsbac_cscctphcm_onmicrosoft_com/Documents/Documents/H%C3%ACnh%20%E1%BA%A3nh/Qu%E1%BA%ADn%208/277%20B%C3%ACnh%20%C4%90%C3%B4ng%20.pdf?csf=1&amp;web=1&amp;e=7PaA3q" TargetMode="External"/><Relationship Id="rId26" Type="http://schemas.openxmlformats.org/officeDocument/2006/relationships/hyperlink" Target="../../../../:b:/r/personal/gdcsbac_cscctphcm_onmicrosoft_com/Documents/Documents/H%C3%ACnh%20%E1%BA%A3nh/QU%E1%BA%ACN%203/420%20LVS.pdf?csf=1&amp;web=1&amp;e=RooodZ" TargetMode="External"/><Relationship Id="rId39" Type="http://schemas.openxmlformats.org/officeDocument/2006/relationships/hyperlink" Target="../../../../:b:/r/personal/gdcsbac_cscctphcm_onmicrosoft_com/Documents/Documents/H%C3%ACnh%20%E1%BA%A3nh/QU%E1%BA%ACN%203/972%20TS,%20359,413,443%20LVS.pdf?csf=1&amp;web=1&amp;e=iTk4Eq" TargetMode="External"/><Relationship Id="rId21" Type="http://schemas.openxmlformats.org/officeDocument/2006/relationships/hyperlink" Target="../../../../:b:/r/personal/gdcsbac_cscctphcm_onmicrosoft_com/Documents/Documents/H%C3%ACnh%20%E1%BA%A3nh/QU%E1%BA%ACN%203/16-87%20NGUYEN%20THIEN%20THUAT.pdf?csf=1&amp;web=1&amp;e=HdD93X" TargetMode="External"/><Relationship Id="rId34" Type="http://schemas.openxmlformats.org/officeDocument/2006/relationships/hyperlink" Target="../../../../:b:/r/personal/gdcsbac_cscctphcm_onmicrosoft_com/Documents/Documents/H%C3%ACnh%20%E1%BA%A3nh/QU%E1%BA%ACN%203/26%20%C4%90%C6%AF%E1%BB%9CNG%20S%E1%BB%90%203.pdf?csf=1&amp;web=1&amp;e=OeJi2y" TargetMode="External"/><Relationship Id="rId42" Type="http://schemas.openxmlformats.org/officeDocument/2006/relationships/hyperlink" Target="../../../../:b:/r/personal/gdcsbac_cscctphcm_onmicrosoft_com/Documents/Documents/H%C3%ACnh%20%E1%BA%A3nh/QU%E1%BA%ACN%203/14%20K%E1%BB%B2%20%C4%90%E1%BB%92NG.pdf?csf=1&amp;web=1&amp;e=AhXqqc" TargetMode="External"/><Relationship Id="rId47" Type="http://schemas.openxmlformats.org/officeDocument/2006/relationships/hyperlink" Target="../../../../:b:/r/personal/gdcsbac_cscctphcm_onmicrosoft_com/Documents/Documents/H%C3%ACnh%20%E1%BA%A3nh/QU%E1%BA%ACN%203/18%20TRAN%20QUANG%20DIEU.pdf?csf=1&amp;web=1&amp;e=6lcco7" TargetMode="External"/><Relationship Id="rId50" Type="http://schemas.openxmlformats.org/officeDocument/2006/relationships/hyperlink" Target="../../../../:b:/r/personal/gdcsbac_cscctphcm_onmicrosoft_com/Documents/Documents/H%C3%ACnh%20%E1%BA%A3nh/QU%E1%BA%ACN%203/210,210-18%20CMT8.pdf?csf=1&amp;web=1&amp;e=3w65lb" TargetMode="External"/><Relationship Id="rId55" Type="http://schemas.openxmlformats.org/officeDocument/2006/relationships/hyperlink" Target="../../../../:b:/r/personal/gdcsbac_cscctphcm_onmicrosoft_com/Documents/Documents/H%C3%ACnh%20%E1%BA%A3nh/QU%E1%BA%ACN%203/46%20V%C6%AF%E1%BB%9CN%20CHU%E1%BB%90I.pdf?csf=1&amp;web=1&amp;e=dIivB5" TargetMode="External"/><Relationship Id="rId7" Type="http://schemas.openxmlformats.org/officeDocument/2006/relationships/hyperlink" Target="../../../../:b:/r/personal/gdcsbac_cscctphcm_onmicrosoft_com/Documents/Documents/H%C3%ACnh%20%E1%BA%A3nh/Qu%E1%BA%ADn%208/H361A+H363%20B%C3%ACnh%20%C4%90%C3%B4ng%20.pdf?csf=1&amp;web=1&amp;e=Rp9Aw5" TargetMode="External"/><Relationship Id="rId2" Type="http://schemas.openxmlformats.org/officeDocument/2006/relationships/hyperlink" Target="../../../../:b:/r/personal/gdcsbac_cscctphcm_onmicrosoft_com/Documents/Documents/H%C3%ACnh%20%E1%BA%A3nh/Qu%E1%BA%ADn%208/h%E1%BA%BBm%20342%20LHP.pdf?csf=1&amp;web=1&amp;e=uTwu4r" TargetMode="External"/><Relationship Id="rId16" Type="http://schemas.openxmlformats.org/officeDocument/2006/relationships/hyperlink" Target="../../../../:b:/r/personal/gdcsbac_cscctphcm_onmicrosoft_com/Documents/Documents/H%C3%ACnh%20%E1%BA%A3nh/Qu%E1%BA%ADn%208/399%20Qu%E1%BB%91c%20L%E1%BB%99%2050.pdf?csf=1&amp;web=1&amp;e=XRlg2l" TargetMode="External"/><Relationship Id="rId29" Type="http://schemas.openxmlformats.org/officeDocument/2006/relationships/hyperlink" Target="../../../../:b:/r/personal/gdcsbac_cscctphcm_onmicrosoft_com/Documents/Documents/H%C3%ACnh%20%E1%BA%A3nh/QU%E1%BA%ACN%203/235NKKN-134%20LY%20CHINH%20THANG.pdf?csf=1&amp;web=1&amp;e=yqYKQT" TargetMode="External"/><Relationship Id="rId11" Type="http://schemas.openxmlformats.org/officeDocument/2006/relationships/hyperlink" Target="../../../../:b:/r/personal/gdcsbac_cscctphcm_onmicrosoft_com/Documents/Documents/H%C3%ACnh%20%E1%BA%A3nh/Qu%E1%BA%ADn%208/H%203L%20+%20H%206L%20Ng%C3%B4%20S%E1%BB%B9%20Li%C3%AAn%20.pdf?csf=1&amp;web=1&amp;e=dGTKrs" TargetMode="External"/><Relationship Id="rId24" Type="http://schemas.openxmlformats.org/officeDocument/2006/relationships/hyperlink" Target="../../../../:b:/r/personal/gdcsbac_cscctphcm_onmicrosoft_com/Documents/Documents/H%C3%ACnh%20%E1%BA%A3nh/QU%E1%BA%ACN%203/386-400%20LVS-%C4%91%C3%A3%20g%E1%BB%99p.pdf?csf=1&amp;web=1&amp;e=FQfFLb" TargetMode="External"/><Relationship Id="rId32" Type="http://schemas.openxmlformats.org/officeDocument/2006/relationships/hyperlink" Target="../../../../:b:/r/personal/gdcsbac_cscctphcm_onmicrosoft_com/Documents/Documents/H%C3%ACnh%20%E1%BA%A3nh/QU%E1%BA%ACN%203/384-290%20NKKN,%2082%20LY%20CHINH%20THANG.pdf?csf=1&amp;web=1&amp;e=rizSBa" TargetMode="External"/><Relationship Id="rId37" Type="http://schemas.openxmlformats.org/officeDocument/2006/relationships/hyperlink" Target="../../../../:b:/r/personal/gdcsbac_cscctphcm_onmicrosoft_com/Documents/Documents/H%C3%ACnh%20%E1%BA%A3nh/QU%E1%BA%ACN%203/972%20TS,%20359,413,443%20LVS.pdf?csf=1&amp;web=1&amp;e=iTk4Eq" TargetMode="External"/><Relationship Id="rId40" Type="http://schemas.openxmlformats.org/officeDocument/2006/relationships/hyperlink" Target="../../../../:b:/r/personal/gdcsbac_cscctphcm_onmicrosoft_com/Documents/Documents/H%C3%ACnh%20%E1%BA%A3nh/QU%E1%BA%ACN%203/972%20TS,%20359,413,443%20LVS.pdf?csf=1&amp;web=1&amp;e=iTk4Eq" TargetMode="External"/><Relationship Id="rId45" Type="http://schemas.openxmlformats.org/officeDocument/2006/relationships/hyperlink" Target="../../../../:b:/r/personal/gdcsbac_cscctphcm_onmicrosoft_com/Documents/Documents/H%C3%ACnh%20%E1%BA%A3nh/QU%E1%BA%ACN%203/34-39%20V%C6%AF%E1%BB%9CN%20CHU%E1%BB%90I.pdf?csf=1&amp;web=1&amp;e=1SenAr" TargetMode="External"/><Relationship Id="rId53" Type="http://schemas.openxmlformats.org/officeDocument/2006/relationships/hyperlink" Target="../../../../:b:/r/personal/gdcsbac_cscctphcm_onmicrosoft_com/Documents/Documents/H%C3%ACnh%20%E1%BA%A3nh/QU%E1%BA%ACN%203/262%20CMT8.pdf?csf=1&amp;web=1&amp;e=D2DVHp" TargetMode="External"/><Relationship Id="rId58" Type="http://schemas.openxmlformats.org/officeDocument/2006/relationships/hyperlink" Target="../../../../:b:/r/personal/gdcsbac_cscctphcm_onmicrosoft_com/Documents/Documents/H%C3%ACnh%20%E1%BA%A3nh/QU%E1%BA%ACN%203/108-136-80%20TranQuangDieu.pdf?csf=1&amp;web=1&amp;e=g9Z7bk" TargetMode="External"/><Relationship Id="rId5" Type="http://schemas.openxmlformats.org/officeDocument/2006/relationships/hyperlink" Target="../../../../:b:/r/personal/gdcsbac_cscctphcm_onmicrosoft_com/Documents/Documents/H%C3%ACnh%20%E1%BA%A3nh/Qu%E1%BA%ADn%208/290%20BMT.pdf?csf=1&amp;web=1&amp;e=lDZpUo" TargetMode="External"/><Relationship Id="rId61" Type="http://schemas.openxmlformats.org/officeDocument/2006/relationships/table" Target="../tables/table2.xml"/><Relationship Id="rId19" Type="http://schemas.openxmlformats.org/officeDocument/2006/relationships/hyperlink" Target="../../../../:b:/r/personal/gdcsbac_cscctphcm_onmicrosoft_com/Documents/Documents/H%C3%ACnh%20%E1%BA%A3nh/Qu%E1%BA%ADn%208/H%2001%20+%2023%20L%C6%B0%C6%A1ng%20V%C4%83n%20Can%20.pdf?csf=1&amp;web=1&amp;e=D0fuDW" TargetMode="External"/><Relationship Id="rId14" Type="http://schemas.openxmlformats.org/officeDocument/2006/relationships/hyperlink" Target="../../../../:b:/r/personal/gdcsbac_cscctphcm_onmicrosoft_com/Documents/Documents/H%C3%ACnh%20%E1%BA%A3nh/Qu%E1%BA%ADn%208/H%2010%20+%20H%C3%B4ng%20ch%E1%BB%A3%20B%C3%ACnh%20%C4%90%C3%B4ng%20.pdf?csf=1&amp;web=1&amp;e=c52exU" TargetMode="External"/><Relationship Id="rId22" Type="http://schemas.openxmlformats.org/officeDocument/2006/relationships/hyperlink" Target="../../../../:b:/r/personal/gdcsbac_cscctphcm_onmicrosoft_com/Documents/Documents/H%C3%ACnh%20%E1%BA%A3nh/QU%E1%BA%ACN%203/339%20LVS.pdf?csf=1&amp;web=1&amp;e=WD2nMe" TargetMode="External"/><Relationship Id="rId27" Type="http://schemas.openxmlformats.org/officeDocument/2006/relationships/hyperlink" Target="../../../../:b:/r/personal/gdcsbac_cscctphcm_onmicrosoft_com/Documents/Documents/H%C3%ACnh%20%E1%BA%A3nh/QU%E1%BA%ACN%203/475-451%20HAI%20BA%20TRUNG.pdf?csf=1&amp;web=1&amp;e=70oZHb" TargetMode="External"/><Relationship Id="rId30" Type="http://schemas.openxmlformats.org/officeDocument/2006/relationships/hyperlink" Target="../../../../:b:/r/personal/gdcsbac_cscctphcm_onmicrosoft_com/Documents/Documents/H%C3%ACnh%20%E1%BA%A3nh/QU%E1%BA%ACN%203/235NKKN-134%20LY%20CHINH%20THANG.pdf?csf=1&amp;web=1&amp;e=yqYKQT" TargetMode="External"/><Relationship Id="rId35" Type="http://schemas.openxmlformats.org/officeDocument/2006/relationships/hyperlink" Target="../../../../:b:/r/personal/gdcsbac_cscctphcm_onmicrosoft_com/Documents/Documents/H%C3%ACnh%20%E1%BA%A3nh/QU%E1%BA%ACN%203/128%20B%C3%80N%20C%E1%BB%9C.pdf?csf=1&amp;web=1&amp;e=HpC1sG" TargetMode="External"/><Relationship Id="rId43" Type="http://schemas.openxmlformats.org/officeDocument/2006/relationships/hyperlink" Target="../../../../:b:/r/personal/gdcsbac_cscctphcm_onmicrosoft_com/Documents/Documents/H%C3%ACnh%20%E1%BA%A3nh/QU%E1%BA%ACN%203/358%20CMT8.pdf?csf=1&amp;web=1&amp;e=q0Fo4X" TargetMode="External"/><Relationship Id="rId48" Type="http://schemas.openxmlformats.org/officeDocument/2006/relationships/hyperlink" Target="../../../../:b:/r/personal/gdcsbac_cscctphcm_onmicrosoft_com/Documents/Documents/H%C3%ACnh%20%E1%BA%A3nh/QU%E1%BA%ACN%203/134,134-1%20CMT8.pdf?csf=1&amp;web=1&amp;e=18Udm9" TargetMode="External"/><Relationship Id="rId56" Type="http://schemas.openxmlformats.org/officeDocument/2006/relationships/hyperlink" Target="../../../../:b:/r/personal/gdcsbac_cscctphcm_onmicrosoft_com/Documents/Documents/H%C3%ACnh%20%E1%BA%A3nh/QU%E1%BA%ACN%203/18%20V%C6%AF%E1%BB%9CN%20CHU%E1%BB%90I.pdf?csf=1&amp;web=1&amp;e=WlCS92" TargetMode="External"/><Relationship Id="rId8" Type="http://schemas.openxmlformats.org/officeDocument/2006/relationships/hyperlink" Target="../../../../:b:/r/personal/gdcsbac_cscctphcm_onmicrosoft_com/Documents/Documents/H%C3%ACnh%20%E1%BA%A3nh/Qu%E1%BA%ADn%208/364%20B%C3%ACnh%20%C4%90%C3%B4ng%20.pdf?csf=1&amp;web=1&amp;e=6KRfAb" TargetMode="External"/><Relationship Id="rId51" Type="http://schemas.openxmlformats.org/officeDocument/2006/relationships/hyperlink" Target="../../../../:b:/r/personal/gdcsbac_cscctphcm_onmicrosoft_com/Documents/Documents/H%C3%ACnh%20%E1%BA%A3nh/QU%E1%BA%ACN%203/210,210-18%20CMT8.pdf?csf=1&amp;web=1&amp;e=3w65lb" TargetMode="External"/><Relationship Id="rId3" Type="http://schemas.openxmlformats.org/officeDocument/2006/relationships/hyperlink" Target="../../../../:b:/r/personal/gdcsbac_cscctphcm_onmicrosoft_com/Documents/Documents/H%C3%ACnh%20%E1%BA%A3nh/Qu%E1%BA%ADn%208/h%E1%BA%BBm%2089%20+107%20ncnghia.pdf?csf=1&amp;web=1&amp;e=wY4KAG" TargetMode="External"/><Relationship Id="rId12" Type="http://schemas.openxmlformats.org/officeDocument/2006/relationships/hyperlink" Target="../../../../:b:/r/personal/gdcsbac_cscctphcm_onmicrosoft_com/Documents/Documents/H%C3%ACnh%20%E1%BA%A3nh/Qu%E1%BA%ADn%208/1B%20%20M%E1%BB%85%20C%E1%BB%91c%20.pdf?csf=1&amp;web=1&amp;e=71mLHa" TargetMode="External"/><Relationship Id="rId17" Type="http://schemas.openxmlformats.org/officeDocument/2006/relationships/hyperlink" Target="../../../../:b:/r/personal/gdcsbac_cscctphcm_onmicrosoft_com/Documents/Documents/H%C3%ACnh%20%E1%BA%A3nh/Qu%E1%BA%ADn%208/184%20LHP.pdf?csf=1&amp;web=1&amp;e=Id4M5e" TargetMode="External"/><Relationship Id="rId25" Type="http://schemas.openxmlformats.org/officeDocument/2006/relationships/hyperlink" Target="../../../../:b:/r/personal/gdcsbac_cscctphcm_onmicrosoft_com/Documents/Documents/H%C3%ACnh%20%E1%BA%A3nh/QU%E1%BA%ACN%203/386-400%20LVS-%C4%91%C3%A3%20g%E1%BB%99p.pdf?csf=1&amp;web=1&amp;e=FQfFLb" TargetMode="External"/><Relationship Id="rId33" Type="http://schemas.openxmlformats.org/officeDocument/2006/relationships/hyperlink" Target="../../../../:b:/r/personal/gdcsbac_cscctphcm_onmicrosoft_com/Documents/Documents/H%C3%ACnh%20%E1%BA%A3nh/QU%E1%BA%ACN%203/22%20NGUY%E1%BB%84N%20HI%E1%BB%80N%20Q3.pdf?csf=1&amp;web=1&amp;e=I899Nw" TargetMode="External"/><Relationship Id="rId38" Type="http://schemas.openxmlformats.org/officeDocument/2006/relationships/hyperlink" Target="../../../../:b:/r/personal/gdcsbac_cscctphcm_onmicrosoft_com/Documents/Documents/H%C3%ACnh%20%E1%BA%A3nh/QU%E1%BA%ACN%203/972%20TS,%20359,413,443%20LVS.pdf?csf=1&amp;web=1&amp;e=iTk4Eq" TargetMode="External"/><Relationship Id="rId46" Type="http://schemas.openxmlformats.org/officeDocument/2006/relationships/hyperlink" Target="../../../../:b:/r/personal/gdcsbac_cscctphcm_onmicrosoft_com/Documents/Documents/H%C3%ACnh%20%E1%BA%A3nh/QU%E1%BA%ACN%203/34-39%20V%C6%AF%E1%BB%9CN%20CHU%E1%BB%90I.pdf?csf=1&amp;web=1&amp;e=1SenAr" TargetMode="External"/><Relationship Id="rId59" Type="http://schemas.openxmlformats.org/officeDocument/2006/relationships/printerSettings" Target="../printerSettings/printerSettings2.bin"/><Relationship Id="rId20" Type="http://schemas.openxmlformats.org/officeDocument/2006/relationships/hyperlink" Target="../../../../:b:/r/personal/gdcsbac_cscctphcm_onmicrosoft_com/Documents/Documents/H%C3%ACnh%20%E1%BA%A3nh/Qu%E1%BA%ADn%208/H%2001%20+%2023%20L%C6%B0%C6%A1ng%20V%C4%83n%20Can%20.pdf?csf=1&amp;web=1&amp;e=D0fuDW" TargetMode="External"/><Relationship Id="rId41" Type="http://schemas.openxmlformats.org/officeDocument/2006/relationships/hyperlink" Target="../../../../:b:/r/personal/gdcsbac_cscctphcm_onmicrosoft_com/Documents/Documents/H%C3%ACnh%20%E1%BA%A3nh/QU%E1%BA%ACN%203/130%20CMT8.pdf?csf=1&amp;web=1&amp;e=40LoDy" TargetMode="External"/><Relationship Id="rId54" Type="http://schemas.openxmlformats.org/officeDocument/2006/relationships/hyperlink" Target="../../../../:b:/r/personal/gdcsbac_cscctphcm_onmicrosoft_com/Documents/Documents/H%C3%ACnh%20%E1%BA%A3nh/QU%E1%BA%ACN%203/348%20CMT8.pdf?csf=1&amp;web=1&amp;e=3uUxiM" TargetMode="External"/><Relationship Id="rId62" Type="http://schemas.openxmlformats.org/officeDocument/2006/relationships/comments" Target="../comments1.xml"/><Relationship Id="rId1" Type="http://schemas.openxmlformats.org/officeDocument/2006/relationships/hyperlink" Target="../../../../:b:/r/personal/gdcsbac_cscctphcm_onmicrosoft_com/Documents/Documents/H%C3%ACnh%20%E1%BA%A3nh/Qu%E1%BA%ADn%208/20%20M%E1%BB%85%20C%E1%BB%91c%20.pdf?csf=1&amp;web=1&amp;e=PF2hzH" TargetMode="External"/><Relationship Id="rId6" Type="http://schemas.openxmlformats.org/officeDocument/2006/relationships/hyperlink" Target="../../../../:b:/r/personal/gdcsbac_cscctphcm_onmicrosoft_com/Documents/Documents/H%C3%ACnh%20%E1%BA%A3nh/Qu%E1%BA%ADn%208/H%20361%20B%C3%ACnh%20%C4%90%C3%B4ng%20.pdf?csf=1&amp;web=1&amp;e=ocRwLn" TargetMode="External"/><Relationship Id="rId15" Type="http://schemas.openxmlformats.org/officeDocument/2006/relationships/hyperlink" Target="../../../../:b:/r/personal/gdcsbac_cscctphcm_onmicrosoft_com/Documents/Documents/H%C3%ACnh%20%E1%BA%A3nh/Qu%E1%BA%ADn%208/H%2010%20+%20H%C3%B4ng%20ch%E1%BB%A3%20B%C3%ACnh%20%C4%90%C3%B4ng%20.pdf?csf=1&amp;web=1&amp;e=c52exU" TargetMode="External"/><Relationship Id="rId23" Type="http://schemas.openxmlformats.org/officeDocument/2006/relationships/hyperlink" Target="../../../../:b:/r/personal/gdcsbac_cscctphcm_onmicrosoft_com/Documents/Documents/H%C3%ACnh%20%E1%BA%A3nh/QU%E1%BA%ACN%203/351%20LVS.pdf?csf=1&amp;web=1&amp;e=Xg53sV" TargetMode="External"/><Relationship Id="rId28" Type="http://schemas.openxmlformats.org/officeDocument/2006/relationships/hyperlink" Target="../../../../:b:/r/personal/gdcsbac_cscctphcm_onmicrosoft_com/Documents/Documents/H%C3%ACnh%20%E1%BA%A3nh/QU%E1%BA%ACN%203/475-451%20HAI%20BA%20TRUNG.pdf?csf=1&amp;web=1&amp;e=70oZHb" TargetMode="External"/><Relationship Id="rId36" Type="http://schemas.openxmlformats.org/officeDocument/2006/relationships/hyperlink" Target="../../../../:b:/r/personal/gdcsbac_cscctphcm_onmicrosoft_com/Documents/Documents/H%C3%ACnh%20%E1%BA%A3nh/QU%E1%BA%ACN%203/264%20LEVANSY.pdf?csf=1&amp;web=1&amp;e=7eEW59" TargetMode="External"/><Relationship Id="rId49" Type="http://schemas.openxmlformats.org/officeDocument/2006/relationships/hyperlink" Target="../../../../:b:/r/personal/gdcsbac_cscctphcm_onmicrosoft_com/Documents/Documents/H%C3%ACnh%20%E1%BA%A3nh/QU%E1%BA%ACN%203/134,134-1%20CMT8.pdf?csf=1&amp;web=1&amp;e=18Udm9" TargetMode="External"/><Relationship Id="rId57" Type="http://schemas.openxmlformats.org/officeDocument/2006/relationships/hyperlink" Target="../../../../:b:/r/personal/gdcsbac_cscctphcm_onmicrosoft_com/Documents/Documents/H%C3%ACnh%20%E1%BA%A3nh/QU%E1%BA%ACN%203/153%20NGUYEN%20THONG.pdf?csf=1&amp;web=1&amp;e=L73k9h" TargetMode="External"/><Relationship Id="rId10" Type="http://schemas.openxmlformats.org/officeDocument/2006/relationships/hyperlink" Target="../../../../:b:/r/personal/gdcsbac_cscctphcm_onmicrosoft_com/Documents/Documents/H%C3%ACnh%20%E1%BA%A3nh/Qu%E1%BA%ADn%208/373%20BMT.pdf?csf=1&amp;web=1&amp;e=TfLRfc" TargetMode="External"/><Relationship Id="rId31" Type="http://schemas.openxmlformats.org/officeDocument/2006/relationships/hyperlink" Target="../../../../:b:/r/personal/gdcsbac_cscctphcm_onmicrosoft_com/Documents/Documents/H%C3%ACnh%20%E1%BA%A3nh/QU%E1%BA%ACN%203/384-290%20NKKN,%2082%20LY%20CHINH%20THANG.pdf?csf=1&amp;web=1&amp;e=rizSBa" TargetMode="External"/><Relationship Id="rId44" Type="http://schemas.openxmlformats.org/officeDocument/2006/relationships/hyperlink" Target="../../../../:b:/r/personal/gdcsbac_cscctphcm_onmicrosoft_com/Documents/Documents/H%C3%ACnh%20%E1%BA%A3nh/QU%E1%BA%ACN%203/359-1%20L%C3%8A%20V%C4%82N%20S%E1%BB%B8.pdf?csf=1&amp;web=1&amp;e=KfyR8D" TargetMode="External"/><Relationship Id="rId52" Type="http://schemas.openxmlformats.org/officeDocument/2006/relationships/hyperlink" Target="../../../../:b:/r/personal/gdcsbac_cscctphcm_onmicrosoft_com/Documents/Documents/H%C3%ACnh%20%E1%BA%A3nh/QU%E1%BA%ACN%203/292%20CMT8.pdf?csf=1&amp;web=1&amp;e=JURDts" TargetMode="External"/><Relationship Id="rId60" Type="http://schemas.openxmlformats.org/officeDocument/2006/relationships/vmlDrawing" Target="../drawings/vmlDrawing1.vml"/><Relationship Id="rId4" Type="http://schemas.openxmlformats.org/officeDocument/2006/relationships/hyperlink" Target="../../../../:b:/r/personal/gdcsbac_cscctphcm_onmicrosoft_com/Documents/Documents/H%C3%ACnh%20%E1%BA%A3nh/Qu%E1%BA%ADn%208/h%E1%BA%BBm%2089%20+107%20ncnghia.pdf?csf=1&amp;web=1&amp;e=wY4KAG" TargetMode="External"/><Relationship Id="rId9" Type="http://schemas.openxmlformats.org/officeDocument/2006/relationships/hyperlink" Target="../../../../:b:/r/personal/gdcsbac_cscctphcm_onmicrosoft_com/Documents/Documents/H%C3%ACnh%20%E1%BA%A3nh/Qu%E1%BA%ADn%208/H%2010%20B%C3%ACnh%20%C4%90%E1%BB%A9c%20.pdf?csf=1&amp;web=1&amp;e=88j21t"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hyperlink" Target="../../../../:b:/r/personal/gdcsbac_cscctphcm_onmicrosoft_com/Documents/Documents/H%C3%ACnh%20%E1%BA%A3nh/Qu%E1%BA%ADn%205/ng%E1%BA%A7m%20h%C3%B3a%20NGUY%E1%BB%84N%20BI%E1%BB%82U%20(%20c%E1%BA%A7u%20ch%E1%BB%AF%20Y%20-%20Nguy%E1%BB%85n%20Tr%C3%A3i%20)%20P1+P2,%20Q5.pdf?csf=1&amp;web=1&amp;e=x5Gx4V"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1CD7E-447E-4E86-B062-D16336FC4738}">
  <sheetPr codeName="Sheet1">
    <tabColor rgb="FFFF0000"/>
  </sheetPr>
  <dimension ref="A1:P36"/>
  <sheetViews>
    <sheetView topLeftCell="B2" workbookViewId="0">
      <selection activeCell="B2" sqref="B2"/>
    </sheetView>
  </sheetViews>
  <sheetFormatPr defaultColWidth="8.75" defaultRowHeight="14.25"/>
  <cols>
    <col min="1" max="1" width="23.75" style="2" customWidth="1"/>
    <col min="2" max="2" width="35.25" style="2" customWidth="1"/>
    <col min="3" max="3" width="38.25" style="2" customWidth="1"/>
    <col min="4" max="4" width="19.625" style="2" customWidth="1"/>
    <col min="5" max="5" width="7.375" style="2" customWidth="1"/>
    <col min="6" max="9" width="14.375" style="2" customWidth="1"/>
    <col min="10" max="10" width="14.75" style="2" customWidth="1"/>
    <col min="11" max="11" width="15.875" style="2" customWidth="1"/>
    <col min="12" max="13" width="16.875" style="2" customWidth="1"/>
    <col min="14" max="14" width="14.125" customWidth="1"/>
    <col min="15" max="15" width="20.375" style="2" customWidth="1"/>
    <col min="16" max="16" width="27.5" style="2" customWidth="1"/>
    <col min="17" max="16384" width="8.75" style="2"/>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42.75">
      <c r="A2" s="2" t="s">
        <v>16</v>
      </c>
      <c r="B2" s="3" t="s">
        <v>17</v>
      </c>
      <c r="C2" s="2" t="s">
        <v>18</v>
      </c>
      <c r="D2" s="2" t="s">
        <v>19</v>
      </c>
      <c r="J2" s="4">
        <v>45497</v>
      </c>
      <c r="K2" s="5" t="s">
        <v>20</v>
      </c>
      <c r="L2" s="5" t="s">
        <v>21</v>
      </c>
      <c r="M2" s="5"/>
      <c r="N2" s="2" t="s">
        <v>22</v>
      </c>
      <c r="P2" s="56" t="str">
        <f>HYPERLINK("https://www.google.com/maps/search/?api=1&amp;query=" &amp; Table2[[#This Row],[vĩ độ]] &amp; ";" &amp; Table2[[#This Row],[kinh độ]], "Xem trên Google Maps")</f>
        <v>Xem trên Google Maps</v>
      </c>
    </row>
    <row r="3" spans="1:16" ht="42.75">
      <c r="A3" s="2" t="s">
        <v>23</v>
      </c>
      <c r="B3" s="3" t="s">
        <v>24</v>
      </c>
      <c r="C3" s="2" t="s">
        <v>25</v>
      </c>
      <c r="D3" s="2" t="s">
        <v>19</v>
      </c>
      <c r="J3" s="4">
        <v>45498</v>
      </c>
      <c r="K3" s="5" t="s">
        <v>26</v>
      </c>
      <c r="L3" s="5" t="s">
        <v>27</v>
      </c>
      <c r="M3" s="5"/>
      <c r="N3" s="2" t="s">
        <v>22</v>
      </c>
      <c r="P3" s="56" t="str">
        <f>HYPERLINK("https://www.google.com/maps/search/?api=1&amp;query=" &amp; Table2[[#This Row],[vĩ độ]] &amp; ";" &amp; Table2[[#This Row],[kinh độ]], "Xem trên Google Maps")</f>
        <v>Xem trên Google Maps</v>
      </c>
    </row>
    <row r="4" spans="1:16" ht="28.5">
      <c r="A4" s="2" t="s">
        <v>28</v>
      </c>
      <c r="B4" s="3" t="s">
        <v>29</v>
      </c>
      <c r="C4" s="2" t="s">
        <v>30</v>
      </c>
      <c r="D4" s="2" t="s">
        <v>19</v>
      </c>
      <c r="J4" s="4">
        <v>45498</v>
      </c>
      <c r="K4" s="5" t="s">
        <v>31</v>
      </c>
      <c r="L4" s="5" t="s">
        <v>32</v>
      </c>
      <c r="M4" s="5"/>
      <c r="N4" s="2" t="s">
        <v>22</v>
      </c>
      <c r="P4" s="56" t="str">
        <f>HYPERLINK("https://www.google.com/maps/search/?api=1&amp;query=" &amp; Table2[[#This Row],[vĩ độ]] &amp; ";" &amp; Table2[[#This Row],[kinh độ]], "Xem trên Google Maps")</f>
        <v>Xem trên Google Maps</v>
      </c>
    </row>
    <row r="5" spans="1:16" ht="28.5">
      <c r="A5" s="2" t="s">
        <v>33</v>
      </c>
      <c r="B5" s="3" t="s">
        <v>34</v>
      </c>
      <c r="C5" s="2" t="s">
        <v>35</v>
      </c>
      <c r="D5" s="2" t="s">
        <v>19</v>
      </c>
      <c r="J5" s="4">
        <v>45498</v>
      </c>
      <c r="K5" s="5" t="s">
        <v>36</v>
      </c>
      <c r="L5" s="5" t="s">
        <v>37</v>
      </c>
      <c r="M5" s="5"/>
      <c r="N5" s="2" t="s">
        <v>22</v>
      </c>
      <c r="P5" s="56" t="str">
        <f>HYPERLINK("https://www.google.com/maps/search/?api=1&amp;query=" &amp; Table2[[#This Row],[vĩ độ]] &amp; ";" &amp; Table2[[#This Row],[kinh độ]], "Xem trên Google Maps")</f>
        <v>Xem trên Google Maps</v>
      </c>
    </row>
    <row r="6" spans="1:16" ht="28.5">
      <c r="A6" s="2" t="s">
        <v>38</v>
      </c>
      <c r="B6" s="3" t="s">
        <v>39</v>
      </c>
      <c r="C6" s="2" t="s">
        <v>40</v>
      </c>
      <c r="D6" s="2" t="s">
        <v>19</v>
      </c>
      <c r="J6" s="4">
        <v>45502</v>
      </c>
      <c r="K6" s="5" t="s">
        <v>41</v>
      </c>
      <c r="L6" s="5" t="s">
        <v>42</v>
      </c>
      <c r="M6" s="5"/>
      <c r="N6" s="2" t="s">
        <v>22</v>
      </c>
      <c r="P6" s="56" t="str">
        <f>HYPERLINK("https://www.google.com/maps/search/?api=1&amp;query=" &amp; Table2[[#This Row],[vĩ độ]] &amp; ";" &amp; Table2[[#This Row],[kinh độ]], "Xem trên Google Maps")</f>
        <v>Xem trên Google Maps</v>
      </c>
    </row>
    <row r="7" spans="1:16" ht="28.5">
      <c r="A7" s="2" t="s">
        <v>43</v>
      </c>
      <c r="B7" s="3" t="s">
        <v>39</v>
      </c>
      <c r="C7" s="2" t="s">
        <v>40</v>
      </c>
      <c r="D7" s="2" t="s">
        <v>19</v>
      </c>
      <c r="J7" s="4">
        <v>45502</v>
      </c>
      <c r="K7" s="5" t="s">
        <v>44</v>
      </c>
      <c r="L7" s="5" t="s">
        <v>45</v>
      </c>
      <c r="M7" s="5"/>
      <c r="N7" s="2" t="s">
        <v>22</v>
      </c>
      <c r="P7" s="56" t="str">
        <f>HYPERLINK("https://www.google.com/maps/search/?api=1&amp;query=" &amp; Table2[[#This Row],[vĩ độ]] &amp; ";" &amp; Table2[[#This Row],[kinh độ]], "Xem trên Google Maps")</f>
        <v>Xem trên Google Maps</v>
      </c>
    </row>
    <row r="8" spans="1:16" ht="42.75">
      <c r="A8" s="2" t="s">
        <v>46</v>
      </c>
      <c r="B8" s="3" t="s">
        <v>47</v>
      </c>
      <c r="C8" s="2" t="s">
        <v>48</v>
      </c>
      <c r="D8" s="2" t="s">
        <v>19</v>
      </c>
      <c r="J8" s="4">
        <v>45502</v>
      </c>
      <c r="K8" s="5" t="s">
        <v>49</v>
      </c>
      <c r="L8" s="5" t="s">
        <v>50</v>
      </c>
      <c r="M8" s="5"/>
      <c r="N8" s="2" t="s">
        <v>22</v>
      </c>
      <c r="P8" s="56" t="str">
        <f>HYPERLINK("https://www.google.com/maps/search/?api=1&amp;query=" &amp; Table2[[#This Row],[vĩ độ]] &amp; ";" &amp; Table2[[#This Row],[kinh độ]], "Xem trên Google Maps")</f>
        <v>Xem trên Google Maps</v>
      </c>
    </row>
    <row r="9" spans="1:16" ht="42.75">
      <c r="A9" s="2" t="s">
        <v>51</v>
      </c>
      <c r="B9" s="3" t="s">
        <v>52</v>
      </c>
      <c r="C9" s="2" t="s">
        <v>53</v>
      </c>
      <c r="D9" s="2" t="s">
        <v>19</v>
      </c>
      <c r="J9" s="4">
        <v>45502</v>
      </c>
      <c r="K9" s="5" t="s">
        <v>54</v>
      </c>
      <c r="L9" s="5" t="s">
        <v>55</v>
      </c>
      <c r="M9" s="5"/>
      <c r="N9" s="2" t="s">
        <v>22</v>
      </c>
      <c r="P9" s="56" t="str">
        <f>HYPERLINK("https://www.google.com/maps/search/?api=1&amp;query=" &amp; Table2[[#This Row],[vĩ độ]] &amp; ";" &amp; Table2[[#This Row],[kinh độ]], "Xem trên Google Maps")</f>
        <v>Xem trên Google Maps</v>
      </c>
    </row>
    <row r="10" spans="1:16" ht="28.5">
      <c r="A10" s="2" t="s">
        <v>56</v>
      </c>
      <c r="B10" s="3" t="s">
        <v>57</v>
      </c>
      <c r="C10" s="2" t="s">
        <v>58</v>
      </c>
      <c r="D10" s="2" t="s">
        <v>19</v>
      </c>
      <c r="J10" s="4">
        <v>45513</v>
      </c>
      <c r="K10" s="5" t="s">
        <v>59</v>
      </c>
      <c r="L10" s="5" t="s">
        <v>60</v>
      </c>
      <c r="M10" s="5"/>
      <c r="N10" s="2" t="s">
        <v>22</v>
      </c>
      <c r="P10" s="56" t="str">
        <f>HYPERLINK("https://www.google.com/maps/search/?api=1&amp;query=" &amp; Table2[[#This Row],[vĩ độ]] &amp; ";" &amp; Table2[[#This Row],[kinh độ]], "Xem trên Google Maps")</f>
        <v>Xem trên Google Maps</v>
      </c>
    </row>
    <row r="11" spans="1:16" ht="42.75">
      <c r="A11" s="2" t="s">
        <v>61</v>
      </c>
      <c r="B11" s="3" t="s">
        <v>24</v>
      </c>
      <c r="C11" s="2" t="s">
        <v>25</v>
      </c>
      <c r="D11" s="2" t="s">
        <v>19</v>
      </c>
      <c r="J11" s="4">
        <v>45517</v>
      </c>
      <c r="K11" s="5" t="s">
        <v>26</v>
      </c>
      <c r="L11" s="5" t="s">
        <v>62</v>
      </c>
      <c r="M11" s="5"/>
      <c r="N11" s="2" t="s">
        <v>22</v>
      </c>
      <c r="P11" s="56" t="str">
        <f>HYPERLINK("https://www.google.com/maps/search/?api=1&amp;query=" &amp; Table2[[#This Row],[vĩ độ]] &amp; ";" &amp; Table2[[#This Row],[kinh độ]], "Xem trên Google Maps")</f>
        <v>Xem trên Google Maps</v>
      </c>
    </row>
    <row r="12" spans="1:16" ht="42.75">
      <c r="A12" s="2" t="s">
        <v>63</v>
      </c>
      <c r="B12" s="3" t="s">
        <v>64</v>
      </c>
      <c r="C12" s="2" t="s">
        <v>65</v>
      </c>
      <c r="D12" s="2" t="s">
        <v>66</v>
      </c>
      <c r="J12" s="4">
        <v>45567</v>
      </c>
      <c r="K12" s="5" t="s">
        <v>67</v>
      </c>
      <c r="L12" s="5" t="s">
        <v>68</v>
      </c>
      <c r="M12" s="5"/>
      <c r="N12" s="2" t="s">
        <v>22</v>
      </c>
      <c r="P12" s="56" t="str">
        <f>HYPERLINK("https://www.google.com/maps/search/?api=1&amp;query=" &amp; Table2[[#This Row],[vĩ độ]] &amp; ";" &amp; Table2[[#This Row],[kinh độ]], "Xem trên Google Maps")</f>
        <v>Xem trên Google Maps</v>
      </c>
    </row>
    <row r="13" spans="1:16" ht="28.5">
      <c r="A13" s="2" t="s">
        <v>69</v>
      </c>
      <c r="B13" s="3" t="s">
        <v>70</v>
      </c>
      <c r="C13" s="2" t="s">
        <v>71</v>
      </c>
      <c r="D13" s="2" t="s">
        <v>66</v>
      </c>
      <c r="J13" s="4">
        <v>45574</v>
      </c>
      <c r="K13" s="5" t="s">
        <v>72</v>
      </c>
      <c r="L13" s="5" t="s">
        <v>73</v>
      </c>
      <c r="M13" s="5"/>
      <c r="N13" s="2" t="s">
        <v>22</v>
      </c>
      <c r="P13" s="56" t="str">
        <f>HYPERLINK("https://www.google.com/maps/search/?api=1&amp;query=" &amp; Table2[[#This Row],[vĩ độ]] &amp; ";" &amp; Table2[[#This Row],[kinh độ]], "Xem trên Google Maps")</f>
        <v>Xem trên Google Maps</v>
      </c>
    </row>
    <row r="14" spans="1:16" ht="42.75">
      <c r="A14" s="2" t="s">
        <v>74</v>
      </c>
      <c r="B14" s="3" t="s">
        <v>75</v>
      </c>
      <c r="C14" s="2" t="s">
        <v>76</v>
      </c>
      <c r="D14" s="2" t="s">
        <v>77</v>
      </c>
      <c r="J14" s="4">
        <v>45583</v>
      </c>
      <c r="K14" s="5" t="s">
        <v>78</v>
      </c>
      <c r="L14" s="5" t="s">
        <v>79</v>
      </c>
      <c r="M14" s="5"/>
      <c r="N14" s="2" t="s">
        <v>22</v>
      </c>
      <c r="P14" s="56" t="str">
        <f>HYPERLINK("https://www.google.com/maps/search/?api=1&amp;query=" &amp; Table2[[#This Row],[vĩ độ]] &amp; ";" &amp; Table2[[#This Row],[kinh độ]], "Xem trên Google Maps")</f>
        <v>Xem trên Google Maps</v>
      </c>
    </row>
    <row r="15" spans="1:16" ht="42.75">
      <c r="A15" s="2" t="s">
        <v>80</v>
      </c>
      <c r="B15" s="3" t="s">
        <v>81</v>
      </c>
      <c r="C15" s="2" t="s">
        <v>82</v>
      </c>
      <c r="D15" s="2" t="s">
        <v>77</v>
      </c>
      <c r="J15" s="4">
        <v>45583</v>
      </c>
      <c r="K15" s="5" t="s">
        <v>83</v>
      </c>
      <c r="L15" s="5" t="s">
        <v>84</v>
      </c>
      <c r="M15" s="5"/>
      <c r="N15" s="2" t="s">
        <v>22</v>
      </c>
      <c r="P15" s="56" t="str">
        <f>HYPERLINK("https://www.google.com/maps/search/?api=1&amp;query=" &amp; Table2[[#This Row],[vĩ độ]] &amp; ";" &amp; Table2[[#This Row],[kinh độ]], "Xem trên Google Maps")</f>
        <v>Xem trên Google Maps</v>
      </c>
    </row>
    <row r="16" spans="1:16" ht="42.75">
      <c r="A16" s="2" t="s">
        <v>85</v>
      </c>
      <c r="B16" s="3" t="s">
        <v>86</v>
      </c>
      <c r="C16" s="2" t="s">
        <v>87</v>
      </c>
      <c r="D16" s="2" t="s">
        <v>77</v>
      </c>
      <c r="J16" s="4">
        <v>45584</v>
      </c>
      <c r="K16" s="5" t="s">
        <v>88</v>
      </c>
      <c r="L16" s="5" t="s">
        <v>89</v>
      </c>
      <c r="M16" s="5"/>
      <c r="N16" s="2" t="s">
        <v>22</v>
      </c>
      <c r="P16" s="56" t="str">
        <f>HYPERLINK("https://www.google.com/maps/search/?api=1&amp;query=" &amp; Table2[[#This Row],[vĩ độ]] &amp; ";" &amp; Table2[[#This Row],[kinh độ]], "Xem trên Google Maps")</f>
        <v>Xem trên Google Maps</v>
      </c>
    </row>
    <row r="17" spans="1:16" ht="42.75">
      <c r="A17" s="2" t="s">
        <v>90</v>
      </c>
      <c r="B17" s="3" t="s">
        <v>91</v>
      </c>
      <c r="C17" s="2" t="s">
        <v>92</v>
      </c>
      <c r="D17" s="2" t="s">
        <v>77</v>
      </c>
      <c r="J17" s="4">
        <v>45584</v>
      </c>
      <c r="K17" s="5" t="s">
        <v>93</v>
      </c>
      <c r="L17" s="5" t="s">
        <v>94</v>
      </c>
      <c r="M17" s="5"/>
      <c r="N17" s="2" t="s">
        <v>22</v>
      </c>
      <c r="P17" s="56" t="str">
        <f>HYPERLINK("https://www.google.com/maps/search/?api=1&amp;query=" &amp; Table2[[#This Row],[vĩ độ]] &amp; ";" &amp; Table2[[#This Row],[kinh độ]], "Xem trên Google Maps")</f>
        <v>Xem trên Google Maps</v>
      </c>
    </row>
    <row r="18" spans="1:16" ht="42.75">
      <c r="A18" s="2" t="s">
        <v>95</v>
      </c>
      <c r="B18" s="3" t="s">
        <v>96</v>
      </c>
      <c r="C18" s="2" t="s">
        <v>97</v>
      </c>
      <c r="D18" s="2" t="s">
        <v>77</v>
      </c>
      <c r="J18" s="4">
        <v>45584</v>
      </c>
      <c r="K18" s="5" t="s">
        <v>98</v>
      </c>
      <c r="L18" s="5" t="s">
        <v>99</v>
      </c>
      <c r="M18" s="5"/>
      <c r="N18" s="2" t="s">
        <v>22</v>
      </c>
      <c r="P18" s="56" t="str">
        <f>HYPERLINK("https://www.google.com/maps/search/?api=1&amp;query=" &amp; Table2[[#This Row],[vĩ độ]] &amp; ";" &amp; Table2[[#This Row],[kinh độ]], "Xem trên Google Maps")</f>
        <v>Xem trên Google Maps</v>
      </c>
    </row>
    <row r="19" spans="1:16" ht="42.75">
      <c r="A19" s="2" t="s">
        <v>100</v>
      </c>
      <c r="B19" s="3" t="s">
        <v>101</v>
      </c>
      <c r="C19" s="2" t="s">
        <v>102</v>
      </c>
      <c r="D19" s="2" t="s">
        <v>77</v>
      </c>
      <c r="J19" s="4">
        <v>45584</v>
      </c>
      <c r="K19" s="5" t="s">
        <v>103</v>
      </c>
      <c r="L19" s="5" t="s">
        <v>104</v>
      </c>
      <c r="M19" s="5"/>
      <c r="N19" s="2" t="s">
        <v>22</v>
      </c>
      <c r="P19" s="56" t="str">
        <f>HYPERLINK("https://www.google.com/maps/search/?api=1&amp;query=" &amp; Table2[[#This Row],[vĩ độ]] &amp; ";" &amp; Table2[[#This Row],[kinh độ]], "Xem trên Google Maps")</f>
        <v>Xem trên Google Maps</v>
      </c>
    </row>
    <row r="20" spans="1:16" ht="28.5">
      <c r="A20" s="2" t="s">
        <v>105</v>
      </c>
      <c r="B20" s="3" t="s">
        <v>106</v>
      </c>
      <c r="C20" s="2">
        <v>21</v>
      </c>
      <c r="D20" s="2" t="s">
        <v>77</v>
      </c>
      <c r="J20" s="4">
        <v>45584</v>
      </c>
      <c r="K20" s="5" t="s">
        <v>107</v>
      </c>
      <c r="L20" s="5" t="s">
        <v>108</v>
      </c>
      <c r="M20" s="5"/>
      <c r="N20" s="2" t="s">
        <v>22</v>
      </c>
      <c r="P20" s="56" t="str">
        <f>HYPERLINK("https://www.google.com/maps/search/?api=1&amp;query=" &amp; Table2[[#This Row],[vĩ độ]] &amp; ";" &amp; Table2[[#This Row],[kinh độ]], "Xem trên Google Maps")</f>
        <v>Xem trên Google Maps</v>
      </c>
    </row>
    <row r="21" spans="1:16" ht="42.75">
      <c r="A21" s="2" t="s">
        <v>109</v>
      </c>
      <c r="B21" s="3" t="s">
        <v>110</v>
      </c>
      <c r="C21" s="2" t="s">
        <v>111</v>
      </c>
      <c r="D21" s="2" t="s">
        <v>77</v>
      </c>
      <c r="J21" s="4">
        <v>45584</v>
      </c>
      <c r="K21" s="5" t="s">
        <v>112</v>
      </c>
      <c r="L21" s="5" t="s">
        <v>113</v>
      </c>
      <c r="M21" s="5"/>
      <c r="N21" s="2" t="s">
        <v>22</v>
      </c>
      <c r="P21" s="56" t="str">
        <f>HYPERLINK("https://www.google.com/maps/search/?api=1&amp;query=" &amp; Table2[[#This Row],[vĩ độ]] &amp; ";" &amp; Table2[[#This Row],[kinh độ]], "Xem trên Google Maps")</f>
        <v>Xem trên Google Maps</v>
      </c>
    </row>
    <row r="22" spans="1:16" ht="42.75">
      <c r="A22" s="2" t="s">
        <v>114</v>
      </c>
      <c r="B22" s="3" t="s">
        <v>115</v>
      </c>
      <c r="C22" s="2" t="s">
        <v>116</v>
      </c>
      <c r="D22" s="2" t="s">
        <v>77</v>
      </c>
      <c r="J22" s="4">
        <v>45584</v>
      </c>
      <c r="K22" s="5" t="s">
        <v>117</v>
      </c>
      <c r="L22" s="5" t="s">
        <v>118</v>
      </c>
      <c r="M22" s="5"/>
      <c r="N22" s="2" t="s">
        <v>22</v>
      </c>
      <c r="P22" s="56" t="str">
        <f>HYPERLINK("https://www.google.com/maps/search/?api=1&amp;query=" &amp; Table2[[#This Row],[vĩ độ]] &amp; ";" &amp; Table2[[#This Row],[kinh độ]], "Xem trên Google Maps")</f>
        <v>Xem trên Google Maps</v>
      </c>
    </row>
    <row r="23" spans="1:16" ht="28.5">
      <c r="A23" s="2" t="s">
        <v>119</v>
      </c>
      <c r="B23" s="3" t="s">
        <v>120</v>
      </c>
      <c r="C23" s="2">
        <v>63</v>
      </c>
      <c r="D23" s="2" t="s">
        <v>77</v>
      </c>
      <c r="J23" s="4">
        <v>45584</v>
      </c>
      <c r="K23" s="5" t="s">
        <v>121</v>
      </c>
      <c r="L23" s="5" t="s">
        <v>122</v>
      </c>
      <c r="M23" s="5"/>
      <c r="N23" s="2" t="s">
        <v>22</v>
      </c>
      <c r="P23" s="56" t="str">
        <f>HYPERLINK("https://www.google.com/maps/search/?api=1&amp;query=" &amp; Table2[[#This Row],[vĩ độ]] &amp; ";" &amp; Table2[[#This Row],[kinh độ]], "Xem trên Google Maps")</f>
        <v>Xem trên Google Maps</v>
      </c>
    </row>
    <row r="24" spans="1:16" ht="42.75">
      <c r="A24" s="2" t="s">
        <v>123</v>
      </c>
      <c r="B24" s="3" t="s">
        <v>124</v>
      </c>
      <c r="C24" s="2" t="s">
        <v>125</v>
      </c>
      <c r="D24" s="2" t="s">
        <v>77</v>
      </c>
      <c r="J24" s="4">
        <v>45584</v>
      </c>
      <c r="K24" s="5" t="s">
        <v>126</v>
      </c>
      <c r="L24" s="5" t="s">
        <v>127</v>
      </c>
      <c r="M24" s="5"/>
      <c r="N24" s="2" t="s">
        <v>22</v>
      </c>
      <c r="P24" s="56" t="str">
        <f>HYPERLINK("https://www.google.com/maps/search/?api=1&amp;query=" &amp; Table2[[#This Row],[vĩ độ]] &amp; ";" &amp; Table2[[#This Row],[kinh độ]], "Xem trên Google Maps")</f>
        <v>Xem trên Google Maps</v>
      </c>
    </row>
    <row r="25" spans="1:16" ht="42.75">
      <c r="A25" s="2" t="s">
        <v>128</v>
      </c>
      <c r="B25" s="3" t="s">
        <v>129</v>
      </c>
      <c r="C25" s="2" t="s">
        <v>130</v>
      </c>
      <c r="D25" s="2" t="s">
        <v>77</v>
      </c>
      <c r="J25" s="4">
        <v>45584</v>
      </c>
      <c r="K25" s="5" t="s">
        <v>131</v>
      </c>
      <c r="L25" s="5" t="s">
        <v>132</v>
      </c>
      <c r="M25" s="5"/>
      <c r="N25" s="2" t="s">
        <v>22</v>
      </c>
      <c r="P25" s="56" t="str">
        <f>HYPERLINK("https://www.google.com/maps/search/?api=1&amp;query=" &amp; Table2[[#This Row],[vĩ độ]] &amp; ";" &amp; Table2[[#This Row],[kinh độ]], "Xem trên Google Maps")</f>
        <v>Xem trên Google Maps</v>
      </c>
    </row>
    <row r="26" spans="1:16" ht="42.75">
      <c r="A26" s="2" t="s">
        <v>133</v>
      </c>
      <c r="B26" s="3" t="s">
        <v>134</v>
      </c>
      <c r="C26" s="2" t="s">
        <v>135</v>
      </c>
      <c r="D26" s="2" t="s">
        <v>77</v>
      </c>
      <c r="J26" s="4">
        <v>45584</v>
      </c>
      <c r="K26" s="5" t="s">
        <v>136</v>
      </c>
      <c r="L26" s="5" t="s">
        <v>137</v>
      </c>
      <c r="M26" s="5"/>
      <c r="N26" s="2" t="s">
        <v>22</v>
      </c>
      <c r="P26" s="56" t="str">
        <f>HYPERLINK("https://www.google.com/maps/search/?api=1&amp;query=" &amp; Table2[[#This Row],[vĩ độ]] &amp; ";" &amp; Table2[[#This Row],[kinh độ]], "Xem trên Google Maps")</f>
        <v>Xem trên Google Maps</v>
      </c>
    </row>
    <row r="27" spans="1:16" ht="42.75">
      <c r="A27" s="2" t="s">
        <v>138</v>
      </c>
      <c r="B27" s="3" t="s">
        <v>139</v>
      </c>
      <c r="C27" s="2" t="s">
        <v>140</v>
      </c>
      <c r="D27" s="2" t="s">
        <v>77</v>
      </c>
      <c r="J27" s="4">
        <v>45584</v>
      </c>
      <c r="K27" s="5" t="s">
        <v>141</v>
      </c>
      <c r="L27" s="5" t="s">
        <v>142</v>
      </c>
      <c r="M27" s="5"/>
      <c r="N27" s="2" t="s">
        <v>22</v>
      </c>
      <c r="P27" s="56" t="str">
        <f>HYPERLINK("https://www.google.com/maps/search/?api=1&amp;query=" &amp; Table2[[#This Row],[vĩ độ]] &amp; ";" &amp; Table2[[#This Row],[kinh độ]], "Xem trên Google Maps")</f>
        <v>Xem trên Google Maps</v>
      </c>
    </row>
    <row r="28" spans="1:16" ht="42.75">
      <c r="A28" s="2" t="s">
        <v>143</v>
      </c>
      <c r="B28" s="3" t="s">
        <v>144</v>
      </c>
      <c r="C28" s="2" t="s">
        <v>145</v>
      </c>
      <c r="D28" s="2" t="s">
        <v>77</v>
      </c>
      <c r="J28" s="4">
        <v>45584</v>
      </c>
      <c r="K28" s="5" t="s">
        <v>146</v>
      </c>
      <c r="L28" s="5" t="s">
        <v>147</v>
      </c>
      <c r="M28" s="5"/>
      <c r="N28" s="2" t="s">
        <v>22</v>
      </c>
      <c r="P28" s="56" t="str">
        <f>HYPERLINK("https://www.google.com/maps/search/?api=1&amp;query=" &amp; Table2[[#This Row],[vĩ độ]] &amp; ";" &amp; Table2[[#This Row],[kinh độ]], "Xem trên Google Maps")</f>
        <v>Xem trên Google Maps</v>
      </c>
    </row>
    <row r="29" spans="1:16" ht="42.75">
      <c r="A29" s="2" t="s">
        <v>148</v>
      </c>
      <c r="B29" s="3" t="s">
        <v>149</v>
      </c>
      <c r="C29" s="2" t="s">
        <v>150</v>
      </c>
      <c r="D29" s="2" t="s">
        <v>77</v>
      </c>
      <c r="J29" s="4">
        <v>45584</v>
      </c>
      <c r="K29" s="5" t="s">
        <v>151</v>
      </c>
      <c r="L29" s="5" t="s">
        <v>152</v>
      </c>
      <c r="M29" s="5"/>
      <c r="N29" s="2" t="s">
        <v>22</v>
      </c>
      <c r="P29" s="56" t="str">
        <f>HYPERLINK("https://www.google.com/maps/search/?api=1&amp;query=" &amp; Table2[[#This Row],[vĩ độ]] &amp; ";" &amp; Table2[[#This Row],[kinh độ]], "Xem trên Google Maps")</f>
        <v>Xem trên Google Maps</v>
      </c>
    </row>
    <row r="30" spans="1:16" ht="42.75">
      <c r="A30" s="2" t="s">
        <v>153</v>
      </c>
      <c r="B30" s="3" t="s">
        <v>154</v>
      </c>
      <c r="C30" s="2" t="s">
        <v>155</v>
      </c>
      <c r="D30" s="2" t="s">
        <v>77</v>
      </c>
      <c r="J30" s="4">
        <v>45584</v>
      </c>
      <c r="K30" s="5" t="s">
        <v>156</v>
      </c>
      <c r="L30" s="5" t="s">
        <v>157</v>
      </c>
      <c r="M30" s="5"/>
      <c r="N30" s="2" t="s">
        <v>22</v>
      </c>
      <c r="P30" s="56" t="str">
        <f>HYPERLINK("https://www.google.com/maps/search/?api=1&amp;query=" &amp; Table2[[#This Row],[vĩ độ]] &amp; ";" &amp; Table2[[#This Row],[kinh độ]], "Xem trên Google Maps")</f>
        <v>Xem trên Google Maps</v>
      </c>
    </row>
    <row r="31" spans="1:16" ht="42.75">
      <c r="A31" s="2" t="s">
        <v>158</v>
      </c>
      <c r="B31" s="3" t="s">
        <v>159</v>
      </c>
      <c r="C31" s="2" t="s">
        <v>160</v>
      </c>
      <c r="D31" s="2" t="s">
        <v>77</v>
      </c>
      <c r="J31" s="4">
        <v>45584</v>
      </c>
      <c r="K31" s="5" t="s">
        <v>161</v>
      </c>
      <c r="L31" s="5" t="s">
        <v>162</v>
      </c>
      <c r="M31" s="5"/>
      <c r="N31" s="2" t="s">
        <v>22</v>
      </c>
      <c r="P31" s="56" t="str">
        <f>HYPERLINK("https://www.google.com/maps/search/?api=1&amp;query=" &amp; Table2[[#This Row],[vĩ độ]] &amp; ";" &amp; Table2[[#This Row],[kinh độ]], "Xem trên Google Maps")</f>
        <v>Xem trên Google Maps</v>
      </c>
    </row>
    <row r="32" spans="1:16" ht="42.75">
      <c r="A32" s="2" t="s">
        <v>163</v>
      </c>
      <c r="B32" s="3" t="s">
        <v>164</v>
      </c>
      <c r="C32" s="2" t="s">
        <v>165</v>
      </c>
      <c r="D32" s="2" t="s">
        <v>77</v>
      </c>
      <c r="J32" s="4">
        <v>45584</v>
      </c>
      <c r="K32" s="5" t="s">
        <v>166</v>
      </c>
      <c r="L32" s="5" t="s">
        <v>167</v>
      </c>
      <c r="M32" s="5"/>
      <c r="N32" s="2" t="s">
        <v>22</v>
      </c>
      <c r="P32" s="56" t="str">
        <f>HYPERLINK("https://www.google.com/maps/search/?api=1&amp;query=" &amp; Table2[[#This Row],[vĩ độ]] &amp; ";" &amp; Table2[[#This Row],[kinh độ]], "Xem trên Google Maps")</f>
        <v>Xem trên Google Maps</v>
      </c>
    </row>
    <row r="33" spans="1:16" ht="42.75">
      <c r="A33" s="2" t="s">
        <v>168</v>
      </c>
      <c r="B33" s="3" t="s">
        <v>169</v>
      </c>
      <c r="C33" s="2" t="s">
        <v>170</v>
      </c>
      <c r="D33" s="2" t="s">
        <v>77</v>
      </c>
      <c r="J33" s="4">
        <v>45584</v>
      </c>
      <c r="K33" s="5" t="s">
        <v>171</v>
      </c>
      <c r="L33" s="5" t="s">
        <v>172</v>
      </c>
      <c r="M33" s="5"/>
      <c r="N33" s="2" t="s">
        <v>22</v>
      </c>
      <c r="P33" s="56" t="str">
        <f>HYPERLINK("https://www.google.com/maps/search/?api=1&amp;query=" &amp; Table2[[#This Row],[vĩ độ]] &amp; ";" &amp; Table2[[#This Row],[kinh độ]], "Xem trên Google Maps")</f>
        <v>Xem trên Google Maps</v>
      </c>
    </row>
    <row r="34" spans="1:16" ht="42.75">
      <c r="A34" s="2" t="s">
        <v>173</v>
      </c>
      <c r="B34" s="3" t="s">
        <v>169</v>
      </c>
      <c r="C34" s="2" t="s">
        <v>170</v>
      </c>
      <c r="D34" s="2" t="s">
        <v>77</v>
      </c>
      <c r="J34" s="4">
        <v>45584</v>
      </c>
      <c r="K34" s="5" t="s">
        <v>171</v>
      </c>
      <c r="L34" s="5" t="s">
        <v>172</v>
      </c>
      <c r="M34" s="5"/>
      <c r="N34" s="2" t="s">
        <v>22</v>
      </c>
      <c r="P34" s="56" t="str">
        <f>HYPERLINK("https://www.google.com/maps/search/?api=1&amp;query=" &amp; Table2[[#This Row],[vĩ độ]] &amp; ";" &amp; Table2[[#This Row],[kinh độ]], "Xem trên Google Maps")</f>
        <v>Xem trên Google Maps</v>
      </c>
    </row>
    <row r="35" spans="1:16" ht="28.5">
      <c r="A35" s="2" t="s">
        <v>174</v>
      </c>
      <c r="B35" s="3" t="s">
        <v>175</v>
      </c>
      <c r="C35" s="2" t="s">
        <v>176</v>
      </c>
      <c r="D35" s="2" t="s">
        <v>66</v>
      </c>
      <c r="J35" s="4">
        <v>45590</v>
      </c>
      <c r="K35" s="5" t="s">
        <v>177</v>
      </c>
      <c r="L35" s="5" t="s">
        <v>178</v>
      </c>
      <c r="M35" s="5"/>
      <c r="N35" s="2" t="s">
        <v>22</v>
      </c>
      <c r="P35" s="56" t="str">
        <f>HYPERLINK("https://www.google.com/maps/search/?api=1&amp;query=" &amp; Table2[[#This Row],[vĩ độ]] &amp; ";" &amp; Table2[[#This Row],[kinh độ]], "Xem trên Google Maps")</f>
        <v>Xem trên Google Maps</v>
      </c>
    </row>
    <row r="36" spans="1:16" ht="28.5">
      <c r="A36" s="2" t="s">
        <v>179</v>
      </c>
      <c r="B36" s="3" t="s">
        <v>180</v>
      </c>
      <c r="C36" s="2" t="s">
        <v>181</v>
      </c>
      <c r="D36" s="2" t="s">
        <v>66</v>
      </c>
      <c r="J36" s="4">
        <v>45590</v>
      </c>
      <c r="K36" s="5" t="s">
        <v>182</v>
      </c>
      <c r="L36" s="5" t="s">
        <v>183</v>
      </c>
      <c r="M36" s="5"/>
      <c r="N36" s="2" t="s">
        <v>22</v>
      </c>
      <c r="P36" s="56" t="str">
        <f>HYPERLINK("https://www.google.com/maps/search/?api=1&amp;query=" &amp; Table2[[#This Row],[vĩ độ]] &amp; ";" &amp; Table2[[#This Row],[kinh độ]], "Xem trên Google Maps")</f>
        <v>Xem trên Google Maps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F08A-A6BA-4542-83CB-E029EC4D434D}">
  <dimension ref="A1:L184"/>
  <sheetViews>
    <sheetView workbookViewId="0">
      <pane ySplit="1" topLeftCell="A180" activePane="bottomLeft" state="frozen"/>
      <selection pane="bottomLeft" activeCell="H178" sqref="H178"/>
    </sheetView>
  </sheetViews>
  <sheetFormatPr defaultColWidth="9" defaultRowHeight="24.75" customHeight="1"/>
  <cols>
    <col min="1" max="1" width="5.25" style="84" customWidth="1"/>
    <col min="2" max="2" width="18.625" style="84" customWidth="1"/>
    <col min="3" max="3" width="16.875" style="84" customWidth="1"/>
    <col min="4" max="4" width="14.25" style="84" customWidth="1"/>
    <col min="5" max="5" width="18.25" style="110" customWidth="1"/>
    <col min="6" max="6" width="7.125" style="84" bestFit="1" customWidth="1"/>
    <col min="7" max="7" width="15.375" style="84" customWidth="1"/>
    <col min="8" max="8" width="28.5" style="133" customWidth="1"/>
    <col min="9" max="9" width="6.375" style="2" bestFit="1" customWidth="1"/>
    <col min="10" max="10" width="69.125" style="2" bestFit="1" customWidth="1"/>
    <col min="11" max="11" width="8.125" style="2" customWidth="1"/>
    <col min="12" max="12" width="21.5" style="2" bestFit="1" customWidth="1"/>
    <col min="13" max="16384" width="9" style="2"/>
  </cols>
  <sheetData>
    <row r="1" spans="1:12" s="81" customFormat="1" ht="24" customHeight="1">
      <c r="A1" s="82" t="s">
        <v>184</v>
      </c>
      <c r="B1" s="82" t="s">
        <v>185</v>
      </c>
      <c r="C1" s="82" t="s">
        <v>186</v>
      </c>
      <c r="D1" s="82" t="s">
        <v>187</v>
      </c>
      <c r="E1" s="86" t="s">
        <v>4</v>
      </c>
      <c r="F1" s="86" t="s">
        <v>3</v>
      </c>
      <c r="G1" s="83" t="s">
        <v>188</v>
      </c>
      <c r="H1" s="127" t="s">
        <v>189</v>
      </c>
      <c r="I1" s="174" t="s">
        <v>3</v>
      </c>
      <c r="J1" s="174" t="s">
        <v>4</v>
      </c>
      <c r="K1" s="174">
        <v>28</v>
      </c>
      <c r="L1" s="174" t="s">
        <v>190</v>
      </c>
    </row>
    <row r="2" spans="1:12" s="102" customFormat="1" ht="33">
      <c r="A2" s="79">
        <v>1</v>
      </c>
      <c r="B2" s="87" t="s">
        <v>191</v>
      </c>
      <c r="C2" s="85">
        <v>45845</v>
      </c>
      <c r="D2" s="79" t="s">
        <v>192</v>
      </c>
      <c r="E2" s="119" t="s">
        <v>193</v>
      </c>
      <c r="F2" s="79">
        <v>1</v>
      </c>
      <c r="G2" s="80" t="s">
        <v>194</v>
      </c>
      <c r="H2" s="128"/>
      <c r="I2" s="103">
        <v>1</v>
      </c>
      <c r="J2" s="104" t="s">
        <v>195</v>
      </c>
      <c r="K2" s="103">
        <v>4</v>
      </c>
      <c r="L2" s="104" t="s">
        <v>196</v>
      </c>
    </row>
    <row r="3" spans="1:12" s="102" customFormat="1" ht="24.75" customHeight="1">
      <c r="A3" s="79">
        <v>2</v>
      </c>
      <c r="B3" s="79" t="s">
        <v>197</v>
      </c>
      <c r="C3" s="85">
        <v>45937</v>
      </c>
      <c r="D3" s="79" t="s">
        <v>198</v>
      </c>
      <c r="E3" s="106" t="s">
        <v>199</v>
      </c>
      <c r="F3" s="79">
        <v>5</v>
      </c>
      <c r="G3" s="80" t="s">
        <v>200</v>
      </c>
      <c r="H3" s="128"/>
      <c r="I3" s="103">
        <v>3</v>
      </c>
      <c r="J3" s="104" t="s">
        <v>201</v>
      </c>
      <c r="K3" s="103">
        <v>3</v>
      </c>
      <c r="L3" s="104" t="s">
        <v>196</v>
      </c>
    </row>
    <row r="4" spans="1:12" s="102" customFormat="1" ht="24.75" customHeight="1">
      <c r="A4" s="79">
        <v>3</v>
      </c>
      <c r="B4" s="79" t="s">
        <v>202</v>
      </c>
      <c r="C4" s="85">
        <v>45937</v>
      </c>
      <c r="D4" s="79" t="s">
        <v>203</v>
      </c>
      <c r="E4" s="106" t="s">
        <v>204</v>
      </c>
      <c r="F4" s="79">
        <v>8</v>
      </c>
      <c r="G4" s="80" t="s">
        <v>200</v>
      </c>
      <c r="H4" s="128"/>
      <c r="I4" s="103">
        <v>5</v>
      </c>
      <c r="J4" s="104" t="s">
        <v>205</v>
      </c>
      <c r="K4" s="103">
        <v>3</v>
      </c>
      <c r="L4" s="104" t="s">
        <v>206</v>
      </c>
    </row>
    <row r="5" spans="1:12" s="102" customFormat="1" ht="24.75" customHeight="1">
      <c r="A5" s="79">
        <v>4</v>
      </c>
      <c r="B5" s="79" t="s">
        <v>207</v>
      </c>
      <c r="C5" s="85" t="s">
        <v>208</v>
      </c>
      <c r="D5" s="79" t="s">
        <v>192</v>
      </c>
      <c r="E5" s="106" t="s">
        <v>209</v>
      </c>
      <c r="F5" s="79">
        <v>8</v>
      </c>
      <c r="G5" s="80" t="s">
        <v>200</v>
      </c>
      <c r="H5" s="128"/>
      <c r="I5" s="103">
        <v>8</v>
      </c>
      <c r="J5" s="104" t="s">
        <v>210</v>
      </c>
      <c r="K5" s="103">
        <v>3</v>
      </c>
      <c r="L5" s="104" t="s">
        <v>206</v>
      </c>
    </row>
    <row r="6" spans="1:12" s="102" customFormat="1" ht="24.75" customHeight="1">
      <c r="A6" s="79">
        <v>5</v>
      </c>
      <c r="B6" s="79" t="s">
        <v>211</v>
      </c>
      <c r="C6" s="85" t="s">
        <v>212</v>
      </c>
      <c r="D6" s="79" t="s">
        <v>213</v>
      </c>
      <c r="E6" s="108" t="s">
        <v>214</v>
      </c>
      <c r="F6" s="79">
        <v>10</v>
      </c>
      <c r="G6" s="80" t="s">
        <v>215</v>
      </c>
      <c r="H6" s="128"/>
      <c r="I6" s="103">
        <v>10</v>
      </c>
      <c r="J6" s="104" t="s">
        <v>216</v>
      </c>
      <c r="K6" s="103">
        <v>3</v>
      </c>
      <c r="L6" s="104" t="s">
        <v>217</v>
      </c>
    </row>
    <row r="7" spans="1:12" s="102" customFormat="1" ht="24.75" customHeight="1">
      <c r="A7" s="79">
        <v>6</v>
      </c>
      <c r="B7" s="87" t="s">
        <v>218</v>
      </c>
      <c r="C7" s="85" t="s">
        <v>212</v>
      </c>
      <c r="D7" s="80" t="s">
        <v>219</v>
      </c>
      <c r="E7" s="109" t="s">
        <v>220</v>
      </c>
      <c r="F7" s="105">
        <v>3</v>
      </c>
      <c r="G7" s="80" t="s">
        <v>194</v>
      </c>
      <c r="H7" s="128"/>
      <c r="I7" s="103">
        <v>11</v>
      </c>
      <c r="J7" s="104" t="s">
        <v>221</v>
      </c>
      <c r="K7" s="103">
        <v>4</v>
      </c>
      <c r="L7" s="104" t="s">
        <v>217</v>
      </c>
    </row>
    <row r="8" spans="1:12" s="102" customFormat="1" ht="24.75" customHeight="1">
      <c r="A8" s="79">
        <v>7</v>
      </c>
      <c r="B8" s="87" t="s">
        <v>222</v>
      </c>
      <c r="C8" s="85" t="s">
        <v>212</v>
      </c>
      <c r="D8" s="80" t="s">
        <v>223</v>
      </c>
      <c r="E8" s="109" t="s">
        <v>220</v>
      </c>
      <c r="F8" s="105">
        <v>3</v>
      </c>
      <c r="G8" s="80" t="s">
        <v>194</v>
      </c>
      <c r="H8" s="128"/>
      <c r="I8" s="103" t="s">
        <v>224</v>
      </c>
      <c r="J8" s="104" t="s">
        <v>225</v>
      </c>
      <c r="K8" s="103">
        <v>3</v>
      </c>
      <c r="L8" s="104" t="s">
        <v>226</v>
      </c>
    </row>
    <row r="9" spans="1:12" s="102" customFormat="1" ht="24.75" customHeight="1">
      <c r="A9" s="79">
        <v>8</v>
      </c>
      <c r="B9" s="79" t="s">
        <v>227</v>
      </c>
      <c r="C9" s="85" t="s">
        <v>228</v>
      </c>
      <c r="D9" s="79" t="s">
        <v>229</v>
      </c>
      <c r="E9" s="106" t="s">
        <v>199</v>
      </c>
      <c r="F9" s="79">
        <v>5</v>
      </c>
      <c r="G9" s="80" t="s">
        <v>200</v>
      </c>
      <c r="H9" s="128"/>
      <c r="I9" s="103" t="s">
        <v>230</v>
      </c>
      <c r="J9" s="104" t="s">
        <v>231</v>
      </c>
      <c r="K9" s="103">
        <v>5</v>
      </c>
      <c r="L9" s="104" t="s">
        <v>226</v>
      </c>
    </row>
    <row r="10" spans="1:12" ht="24.75" customHeight="1">
      <c r="A10" s="79">
        <v>9</v>
      </c>
      <c r="B10" s="79" t="s">
        <v>232</v>
      </c>
      <c r="C10" s="85" t="s">
        <v>233</v>
      </c>
      <c r="D10" s="79" t="s">
        <v>213</v>
      </c>
      <c r="E10" s="108" t="s">
        <v>234</v>
      </c>
      <c r="F10" s="79">
        <v>10</v>
      </c>
      <c r="G10" s="80" t="s">
        <v>215</v>
      </c>
      <c r="H10" s="123"/>
    </row>
    <row r="11" spans="1:12" ht="24.75" customHeight="1">
      <c r="A11" s="79">
        <v>10</v>
      </c>
      <c r="B11" s="87" t="s">
        <v>235</v>
      </c>
      <c r="C11" s="85" t="s">
        <v>233</v>
      </c>
      <c r="D11" s="80" t="s">
        <v>236</v>
      </c>
      <c r="E11" s="109" t="s">
        <v>237</v>
      </c>
      <c r="F11" s="105">
        <v>3</v>
      </c>
      <c r="G11" s="80" t="s">
        <v>194</v>
      </c>
      <c r="H11" s="123"/>
    </row>
    <row r="12" spans="1:12" ht="24.75" customHeight="1">
      <c r="A12" s="79">
        <v>11</v>
      </c>
      <c r="B12" s="87" t="s">
        <v>238</v>
      </c>
      <c r="C12" s="85">
        <v>45665</v>
      </c>
      <c r="D12" s="80" t="s">
        <v>239</v>
      </c>
      <c r="E12" s="109" t="s">
        <v>240</v>
      </c>
      <c r="F12" s="105" t="s">
        <v>224</v>
      </c>
      <c r="G12" s="80" t="s">
        <v>241</v>
      </c>
      <c r="H12" s="123"/>
    </row>
    <row r="13" spans="1:12" ht="24.75" customHeight="1">
      <c r="A13" s="79">
        <v>12</v>
      </c>
      <c r="B13" s="79" t="s">
        <v>242</v>
      </c>
      <c r="C13" s="85">
        <v>45816</v>
      </c>
      <c r="D13" s="79" t="s">
        <v>243</v>
      </c>
      <c r="E13" s="109" t="s">
        <v>240</v>
      </c>
      <c r="F13" s="105" t="s">
        <v>224</v>
      </c>
      <c r="G13" s="80" t="s">
        <v>241</v>
      </c>
      <c r="H13" s="123"/>
    </row>
    <row r="14" spans="1:12" ht="24.75" customHeight="1">
      <c r="A14" s="79">
        <v>13</v>
      </c>
      <c r="B14" s="87" t="s">
        <v>244</v>
      </c>
      <c r="C14" s="85">
        <v>45969</v>
      </c>
      <c r="D14" s="80" t="s">
        <v>236</v>
      </c>
      <c r="E14" s="109" t="s">
        <v>220</v>
      </c>
      <c r="F14" s="105">
        <v>3</v>
      </c>
      <c r="G14" s="80" t="s">
        <v>194</v>
      </c>
      <c r="H14" s="123"/>
    </row>
    <row r="15" spans="1:12" ht="33.75" customHeight="1">
      <c r="A15" s="79">
        <v>14</v>
      </c>
      <c r="B15" s="79" t="s">
        <v>245</v>
      </c>
      <c r="C15" s="85">
        <v>45999</v>
      </c>
      <c r="D15" s="80" t="s">
        <v>246</v>
      </c>
      <c r="E15" s="106" t="s">
        <v>247</v>
      </c>
      <c r="F15" s="79">
        <v>8</v>
      </c>
      <c r="G15" s="80" t="s">
        <v>200</v>
      </c>
      <c r="H15" s="123"/>
    </row>
    <row r="16" spans="1:12" ht="24.75" customHeight="1">
      <c r="A16" s="79">
        <v>15</v>
      </c>
      <c r="B16" s="79" t="s">
        <v>248</v>
      </c>
      <c r="C16" s="85">
        <v>45999</v>
      </c>
      <c r="D16" s="80" t="s">
        <v>249</v>
      </c>
      <c r="E16" s="106" t="s">
        <v>250</v>
      </c>
      <c r="F16" s="79">
        <v>1</v>
      </c>
      <c r="G16" s="80" t="s">
        <v>194</v>
      </c>
      <c r="H16" s="123"/>
    </row>
    <row r="17" spans="1:8" ht="24.75" customHeight="1">
      <c r="A17" s="79">
        <v>16</v>
      </c>
      <c r="B17" s="79" t="s">
        <v>251</v>
      </c>
      <c r="C17" s="85" t="s">
        <v>252</v>
      </c>
      <c r="D17" s="79" t="s">
        <v>213</v>
      </c>
      <c r="E17" s="106" t="s">
        <v>253</v>
      </c>
      <c r="F17" s="79">
        <v>11</v>
      </c>
      <c r="G17" s="80" t="s">
        <v>215</v>
      </c>
      <c r="H17" s="123" t="s">
        <v>254</v>
      </c>
    </row>
    <row r="18" spans="1:8" ht="24.75" customHeight="1">
      <c r="A18" s="79">
        <v>17</v>
      </c>
      <c r="B18" s="79" t="s">
        <v>255</v>
      </c>
      <c r="C18" s="85" t="s">
        <v>252</v>
      </c>
      <c r="D18" s="79" t="s">
        <v>256</v>
      </c>
      <c r="E18" s="106" t="s">
        <v>257</v>
      </c>
      <c r="F18" s="79">
        <v>10</v>
      </c>
      <c r="G18" s="80" t="s">
        <v>215</v>
      </c>
      <c r="H18" s="123" t="s">
        <v>254</v>
      </c>
    </row>
    <row r="19" spans="1:8" ht="24.75" customHeight="1">
      <c r="A19" s="79">
        <v>18</v>
      </c>
      <c r="B19" s="79" t="s">
        <v>244</v>
      </c>
      <c r="C19" s="85" t="s">
        <v>258</v>
      </c>
      <c r="D19" s="79" t="s">
        <v>259</v>
      </c>
      <c r="E19" s="106" t="s">
        <v>220</v>
      </c>
      <c r="F19" s="79">
        <v>3</v>
      </c>
      <c r="G19" s="80" t="s">
        <v>194</v>
      </c>
      <c r="H19" s="123"/>
    </row>
    <row r="20" spans="1:8" ht="33">
      <c r="A20" s="79">
        <v>19</v>
      </c>
      <c r="B20" s="79" t="s">
        <v>251</v>
      </c>
      <c r="C20" s="85" t="s">
        <v>258</v>
      </c>
      <c r="D20" s="79" t="s">
        <v>260</v>
      </c>
      <c r="E20" s="106" t="s">
        <v>253</v>
      </c>
      <c r="F20" s="79">
        <v>11</v>
      </c>
      <c r="G20" s="80" t="s">
        <v>215</v>
      </c>
      <c r="H20" s="123" t="s">
        <v>261</v>
      </c>
    </row>
    <row r="21" spans="1:8" ht="33">
      <c r="A21" s="79">
        <v>20</v>
      </c>
      <c r="B21" s="79" t="s">
        <v>255</v>
      </c>
      <c r="C21" s="85" t="s">
        <v>258</v>
      </c>
      <c r="D21" s="79" t="s">
        <v>249</v>
      </c>
      <c r="E21" s="106" t="s">
        <v>257</v>
      </c>
      <c r="F21" s="79">
        <v>10</v>
      </c>
      <c r="G21" s="80" t="s">
        <v>215</v>
      </c>
      <c r="H21" s="123" t="s">
        <v>262</v>
      </c>
    </row>
    <row r="22" spans="1:8" ht="24.75" customHeight="1">
      <c r="A22" s="79">
        <v>21</v>
      </c>
      <c r="B22" s="79" t="s">
        <v>263</v>
      </c>
      <c r="C22" s="79" t="s">
        <v>264</v>
      </c>
      <c r="D22" s="79" t="s">
        <v>265</v>
      </c>
      <c r="E22" s="106" t="s">
        <v>266</v>
      </c>
      <c r="F22" s="79">
        <v>5</v>
      </c>
      <c r="G22" s="80" t="s">
        <v>200</v>
      </c>
      <c r="H22" s="123"/>
    </row>
    <row r="23" spans="1:8" ht="24.75" customHeight="1">
      <c r="A23" s="79">
        <v>22</v>
      </c>
      <c r="B23" s="79" t="s">
        <v>267</v>
      </c>
      <c r="C23" s="85" t="s">
        <v>264</v>
      </c>
      <c r="D23" s="80" t="s">
        <v>268</v>
      </c>
      <c r="E23" s="106" t="s">
        <v>209</v>
      </c>
      <c r="F23" s="79">
        <v>8</v>
      </c>
      <c r="G23" s="80" t="s">
        <v>200</v>
      </c>
      <c r="H23" s="123"/>
    </row>
    <row r="24" spans="1:8" ht="24.75" customHeight="1">
      <c r="A24" s="79">
        <v>23</v>
      </c>
      <c r="B24" s="79" t="s">
        <v>269</v>
      </c>
      <c r="C24" s="85" t="s">
        <v>264</v>
      </c>
      <c r="D24" s="80" t="s">
        <v>270</v>
      </c>
      <c r="E24" s="106" t="s">
        <v>271</v>
      </c>
      <c r="F24" s="79" t="s">
        <v>230</v>
      </c>
      <c r="G24" s="80" t="s">
        <v>272</v>
      </c>
      <c r="H24" s="123"/>
    </row>
    <row r="25" spans="1:8" ht="24.75" customHeight="1">
      <c r="A25" s="79">
        <v>24</v>
      </c>
      <c r="B25" s="79" t="s">
        <v>273</v>
      </c>
      <c r="C25" s="85" t="s">
        <v>264</v>
      </c>
      <c r="D25" s="80" t="s">
        <v>223</v>
      </c>
      <c r="E25" s="106" t="s">
        <v>274</v>
      </c>
      <c r="F25" s="79" t="s">
        <v>230</v>
      </c>
      <c r="G25" s="80" t="s">
        <v>272</v>
      </c>
      <c r="H25" s="123"/>
    </row>
    <row r="26" spans="1:8" ht="24.75" customHeight="1">
      <c r="A26" s="79">
        <v>25</v>
      </c>
      <c r="B26" s="79" t="s">
        <v>275</v>
      </c>
      <c r="C26" s="79" t="s">
        <v>276</v>
      </c>
      <c r="D26" s="79" t="s">
        <v>277</v>
      </c>
      <c r="E26" s="106" t="s">
        <v>240</v>
      </c>
      <c r="F26" s="79" t="s">
        <v>224</v>
      </c>
      <c r="G26" s="80" t="s">
        <v>241</v>
      </c>
      <c r="H26" s="123"/>
    </row>
    <row r="27" spans="1:8" ht="24.75" customHeight="1">
      <c r="A27" s="79">
        <v>26</v>
      </c>
      <c r="B27" s="79" t="s">
        <v>278</v>
      </c>
      <c r="C27" s="79" t="s">
        <v>276</v>
      </c>
      <c r="D27" s="79" t="s">
        <v>279</v>
      </c>
      <c r="E27" s="106" t="s">
        <v>250</v>
      </c>
      <c r="F27" s="79">
        <v>1</v>
      </c>
      <c r="G27" s="80" t="s">
        <v>194</v>
      </c>
      <c r="H27" s="123"/>
    </row>
    <row r="28" spans="1:8" ht="38.25" customHeight="1">
      <c r="A28" s="79">
        <v>27</v>
      </c>
      <c r="B28" s="79" t="s">
        <v>280</v>
      </c>
      <c r="C28" s="79" t="s">
        <v>281</v>
      </c>
      <c r="D28" s="79" t="s">
        <v>246</v>
      </c>
      <c r="E28" s="106" t="s">
        <v>282</v>
      </c>
      <c r="F28" s="79">
        <v>3</v>
      </c>
      <c r="G28" s="80" t="s">
        <v>194</v>
      </c>
      <c r="H28" s="123"/>
    </row>
    <row r="29" spans="1:8" ht="24.75" customHeight="1">
      <c r="A29" s="79">
        <v>28</v>
      </c>
      <c r="B29" s="79" t="s">
        <v>283</v>
      </c>
      <c r="C29" s="79" t="s">
        <v>281</v>
      </c>
      <c r="D29" s="79" t="s">
        <v>249</v>
      </c>
      <c r="E29" s="106" t="s">
        <v>257</v>
      </c>
      <c r="F29" s="79">
        <v>10</v>
      </c>
      <c r="G29" s="80" t="s">
        <v>215</v>
      </c>
      <c r="H29" s="123"/>
    </row>
    <row r="30" spans="1:8" ht="24.75" customHeight="1">
      <c r="A30" s="79">
        <v>29</v>
      </c>
      <c r="B30" s="79" t="s">
        <v>284</v>
      </c>
      <c r="C30" s="85" t="s">
        <v>285</v>
      </c>
      <c r="D30" s="80" t="s">
        <v>286</v>
      </c>
      <c r="E30" s="106" t="s">
        <v>287</v>
      </c>
      <c r="F30" s="79">
        <v>5</v>
      </c>
      <c r="G30" s="80" t="s">
        <v>200</v>
      </c>
      <c r="H30" s="123"/>
    </row>
    <row r="31" spans="1:8" ht="24.75" customHeight="1">
      <c r="A31" s="79">
        <v>30</v>
      </c>
      <c r="B31" s="79" t="s">
        <v>288</v>
      </c>
      <c r="C31" s="85" t="s">
        <v>285</v>
      </c>
      <c r="D31" s="85" t="s">
        <v>203</v>
      </c>
      <c r="E31" s="106" t="s">
        <v>287</v>
      </c>
      <c r="F31" s="79">
        <v>5</v>
      </c>
      <c r="G31" s="80" t="s">
        <v>200</v>
      </c>
      <c r="H31" s="123"/>
    </row>
    <row r="32" spans="1:8" ht="24.75" customHeight="1">
      <c r="A32" s="79">
        <v>31</v>
      </c>
      <c r="B32" s="79" t="s">
        <v>289</v>
      </c>
      <c r="C32" s="85" t="s">
        <v>285</v>
      </c>
      <c r="D32" s="79" t="s">
        <v>290</v>
      </c>
      <c r="E32" s="106" t="s">
        <v>209</v>
      </c>
      <c r="F32" s="79">
        <v>8</v>
      </c>
      <c r="G32" s="80" t="s">
        <v>200</v>
      </c>
      <c r="H32" s="123"/>
    </row>
    <row r="33" spans="1:8" ht="24.75" customHeight="1">
      <c r="A33" s="79">
        <v>32</v>
      </c>
      <c r="B33" s="79" t="s">
        <v>291</v>
      </c>
      <c r="C33" s="85" t="s">
        <v>292</v>
      </c>
      <c r="D33" s="79" t="s">
        <v>236</v>
      </c>
      <c r="E33" s="106" t="s">
        <v>293</v>
      </c>
      <c r="F33" s="79">
        <v>3</v>
      </c>
      <c r="G33" s="80" t="s">
        <v>194</v>
      </c>
      <c r="H33" s="123"/>
    </row>
    <row r="34" spans="1:8" ht="24.75" customHeight="1">
      <c r="A34" s="79">
        <v>33</v>
      </c>
      <c r="B34" s="79" t="s">
        <v>294</v>
      </c>
      <c r="C34" s="85" t="s">
        <v>292</v>
      </c>
      <c r="D34" s="79" t="s">
        <v>268</v>
      </c>
      <c r="E34" s="106" t="s">
        <v>220</v>
      </c>
      <c r="F34" s="79">
        <v>3</v>
      </c>
      <c r="G34" s="80" t="s">
        <v>194</v>
      </c>
      <c r="H34" s="123"/>
    </row>
    <row r="35" spans="1:8" ht="24.75" customHeight="1">
      <c r="A35" s="79">
        <v>34</v>
      </c>
      <c r="B35" s="79" t="s">
        <v>295</v>
      </c>
      <c r="C35" s="85" t="s">
        <v>292</v>
      </c>
      <c r="D35" s="79" t="s">
        <v>279</v>
      </c>
      <c r="E35" s="106" t="s">
        <v>296</v>
      </c>
      <c r="F35" s="79">
        <v>1</v>
      </c>
      <c r="G35" s="80" t="s">
        <v>194</v>
      </c>
      <c r="H35" s="123"/>
    </row>
    <row r="36" spans="1:8" ht="24.75" customHeight="1">
      <c r="A36" s="79">
        <v>35</v>
      </c>
      <c r="B36" s="79" t="s">
        <v>297</v>
      </c>
      <c r="C36" s="85">
        <v>45725</v>
      </c>
      <c r="D36" s="80" t="s">
        <v>286</v>
      </c>
      <c r="E36" s="106" t="s">
        <v>298</v>
      </c>
      <c r="F36" s="79">
        <v>8</v>
      </c>
      <c r="G36" s="80" t="s">
        <v>200</v>
      </c>
      <c r="H36" s="123"/>
    </row>
    <row r="37" spans="1:8" ht="24.75" customHeight="1">
      <c r="A37" s="79">
        <v>36</v>
      </c>
      <c r="B37" s="79" t="s">
        <v>299</v>
      </c>
      <c r="C37" s="85">
        <v>45725</v>
      </c>
      <c r="D37" s="79" t="s">
        <v>203</v>
      </c>
      <c r="E37" s="106" t="s">
        <v>300</v>
      </c>
      <c r="F37" s="79">
        <v>8</v>
      </c>
      <c r="G37" s="80" t="s">
        <v>200</v>
      </c>
      <c r="H37" s="123"/>
    </row>
    <row r="38" spans="1:8" ht="24.75" customHeight="1">
      <c r="A38" s="79">
        <v>37</v>
      </c>
      <c r="B38" s="79" t="s">
        <v>301</v>
      </c>
      <c r="C38" s="85">
        <v>45725</v>
      </c>
      <c r="D38" s="79" t="s">
        <v>290</v>
      </c>
      <c r="E38" s="106" t="s">
        <v>199</v>
      </c>
      <c r="F38" s="79">
        <v>5</v>
      </c>
      <c r="G38" s="80" t="s">
        <v>200</v>
      </c>
      <c r="H38" s="123"/>
    </row>
    <row r="39" spans="1:8" ht="24.75" customHeight="1">
      <c r="A39" s="79">
        <v>38</v>
      </c>
      <c r="B39" s="79" t="s">
        <v>302</v>
      </c>
      <c r="C39" s="85">
        <v>45756</v>
      </c>
      <c r="D39" s="79" t="s">
        <v>303</v>
      </c>
      <c r="E39" s="106" t="s">
        <v>304</v>
      </c>
      <c r="F39" s="79" t="s">
        <v>224</v>
      </c>
      <c r="G39" s="80" t="s">
        <v>241</v>
      </c>
      <c r="H39" s="123"/>
    </row>
    <row r="40" spans="1:8" ht="24.75" customHeight="1">
      <c r="A40" s="79">
        <v>39</v>
      </c>
      <c r="B40" s="79" t="s">
        <v>305</v>
      </c>
      <c r="C40" s="85">
        <v>45878</v>
      </c>
      <c r="D40" s="79" t="s">
        <v>286</v>
      </c>
      <c r="E40" s="106" t="s">
        <v>306</v>
      </c>
      <c r="F40" s="79">
        <v>1</v>
      </c>
      <c r="G40" s="80" t="s">
        <v>194</v>
      </c>
      <c r="H40" s="123"/>
    </row>
    <row r="41" spans="1:8" ht="24.75" customHeight="1">
      <c r="A41" s="79">
        <v>40</v>
      </c>
      <c r="B41" s="79" t="s">
        <v>307</v>
      </c>
      <c r="C41" s="85">
        <v>45878</v>
      </c>
      <c r="D41" s="79" t="s">
        <v>308</v>
      </c>
      <c r="E41" s="106" t="s">
        <v>309</v>
      </c>
      <c r="F41" s="79">
        <v>3</v>
      </c>
      <c r="G41" s="80" t="s">
        <v>194</v>
      </c>
      <c r="H41" s="123"/>
    </row>
    <row r="42" spans="1:8" ht="24.75" customHeight="1">
      <c r="A42" s="79">
        <v>41</v>
      </c>
      <c r="B42" s="79" t="s">
        <v>310</v>
      </c>
      <c r="C42" s="85">
        <v>45909</v>
      </c>
      <c r="D42" s="79" t="s">
        <v>246</v>
      </c>
      <c r="E42" s="106" t="s">
        <v>311</v>
      </c>
      <c r="F42" s="79">
        <v>1</v>
      </c>
      <c r="G42" s="80" t="s">
        <v>194</v>
      </c>
      <c r="H42" s="123"/>
    </row>
    <row r="43" spans="1:8" ht="24.75" customHeight="1">
      <c r="A43" s="79">
        <v>42</v>
      </c>
      <c r="B43" s="79" t="s">
        <v>312</v>
      </c>
      <c r="C43" s="85">
        <v>45970</v>
      </c>
      <c r="D43" s="79" t="s">
        <v>313</v>
      </c>
      <c r="E43" s="106" t="s">
        <v>314</v>
      </c>
      <c r="F43" s="79">
        <v>11</v>
      </c>
      <c r="G43" s="80" t="s">
        <v>215</v>
      </c>
      <c r="H43" s="123"/>
    </row>
    <row r="44" spans="1:8" ht="24.75" customHeight="1">
      <c r="A44" s="79">
        <v>43</v>
      </c>
      <c r="B44" s="79" t="s">
        <v>315</v>
      </c>
      <c r="C44" s="85">
        <v>46000</v>
      </c>
      <c r="D44" s="79" t="s">
        <v>316</v>
      </c>
      <c r="E44" s="106" t="s">
        <v>300</v>
      </c>
      <c r="F44" s="79">
        <v>8</v>
      </c>
      <c r="G44" s="80" t="s">
        <v>200</v>
      </c>
      <c r="H44" s="123"/>
    </row>
    <row r="45" spans="1:8" ht="24.75" customHeight="1">
      <c r="A45" s="79">
        <v>44</v>
      </c>
      <c r="B45" s="79" t="s">
        <v>317</v>
      </c>
      <c r="C45" s="85" t="s">
        <v>318</v>
      </c>
      <c r="D45" s="79" t="s">
        <v>316</v>
      </c>
      <c r="E45" s="106" t="s">
        <v>300</v>
      </c>
      <c r="F45" s="79">
        <v>8</v>
      </c>
      <c r="G45" s="80" t="s">
        <v>200</v>
      </c>
      <c r="H45" s="123"/>
    </row>
    <row r="46" spans="1:8" ht="24.75" customHeight="1">
      <c r="A46" s="79">
        <v>45</v>
      </c>
      <c r="B46" s="79" t="s">
        <v>319</v>
      </c>
      <c r="C46" s="85" t="s">
        <v>320</v>
      </c>
      <c r="D46" s="79" t="s">
        <v>246</v>
      </c>
      <c r="E46" s="106" t="s">
        <v>214</v>
      </c>
      <c r="F46" s="79">
        <v>10</v>
      </c>
      <c r="G46" s="80" t="s">
        <v>215</v>
      </c>
      <c r="H46" s="123"/>
    </row>
    <row r="47" spans="1:8" ht="24.75" customHeight="1">
      <c r="A47" s="79">
        <v>46</v>
      </c>
      <c r="B47" s="79" t="s">
        <v>321</v>
      </c>
      <c r="C47" s="79" t="s">
        <v>322</v>
      </c>
      <c r="D47" s="79" t="s">
        <v>198</v>
      </c>
      <c r="E47" s="106" t="s">
        <v>323</v>
      </c>
      <c r="F47" s="79">
        <v>1</v>
      </c>
      <c r="G47" s="80" t="s">
        <v>324</v>
      </c>
      <c r="H47" s="123"/>
    </row>
    <row r="48" spans="1:8" ht="24.75" customHeight="1">
      <c r="A48" s="79">
        <v>48</v>
      </c>
      <c r="B48" s="79" t="s">
        <v>325</v>
      </c>
      <c r="C48" s="79" t="s">
        <v>326</v>
      </c>
      <c r="D48" s="79" t="s">
        <v>246</v>
      </c>
      <c r="E48" s="106" t="s">
        <v>314</v>
      </c>
      <c r="F48" s="79">
        <v>11</v>
      </c>
      <c r="G48" s="80" t="s">
        <v>215</v>
      </c>
      <c r="H48" s="123"/>
    </row>
    <row r="49" spans="1:8" ht="24.75" customHeight="1">
      <c r="A49" s="79">
        <v>49</v>
      </c>
      <c r="B49" s="79" t="s">
        <v>327</v>
      </c>
      <c r="C49" s="79" t="s">
        <v>328</v>
      </c>
      <c r="D49" s="79" t="s">
        <v>246</v>
      </c>
      <c r="E49" s="106" t="s">
        <v>329</v>
      </c>
      <c r="F49" s="79">
        <v>11</v>
      </c>
      <c r="G49" s="80" t="s">
        <v>215</v>
      </c>
      <c r="H49" s="123"/>
    </row>
    <row r="50" spans="1:8" ht="24.75" customHeight="1">
      <c r="A50" s="79">
        <v>50</v>
      </c>
      <c r="B50" s="79" t="s">
        <v>330</v>
      </c>
      <c r="C50" s="79" t="s">
        <v>328</v>
      </c>
      <c r="D50" s="79" t="s">
        <v>331</v>
      </c>
      <c r="E50" s="106" t="s">
        <v>253</v>
      </c>
      <c r="F50" s="79">
        <v>11</v>
      </c>
      <c r="G50" s="80" t="s">
        <v>215</v>
      </c>
      <c r="H50" s="123"/>
    </row>
    <row r="51" spans="1:8" ht="24.75" customHeight="1">
      <c r="A51" s="79">
        <v>51</v>
      </c>
      <c r="B51" s="79" t="s">
        <v>332</v>
      </c>
      <c r="C51" s="79" t="s">
        <v>333</v>
      </c>
      <c r="D51" s="79" t="s">
        <v>246</v>
      </c>
      <c r="E51" s="106" t="s">
        <v>253</v>
      </c>
      <c r="F51" s="79">
        <v>11</v>
      </c>
      <c r="G51" s="80" t="s">
        <v>215</v>
      </c>
      <c r="H51" s="123"/>
    </row>
    <row r="52" spans="1:8" ht="24.75" customHeight="1">
      <c r="A52" s="79">
        <v>52</v>
      </c>
      <c r="B52" s="79" t="s">
        <v>334</v>
      </c>
      <c r="C52" s="85" t="s">
        <v>333</v>
      </c>
      <c r="D52" s="79" t="s">
        <v>290</v>
      </c>
      <c r="E52" s="106" t="s">
        <v>266</v>
      </c>
      <c r="F52" s="79">
        <v>5</v>
      </c>
      <c r="G52" s="80" t="s">
        <v>200</v>
      </c>
      <c r="H52" s="123"/>
    </row>
    <row r="53" spans="1:8" ht="24.75" customHeight="1">
      <c r="A53" s="79">
        <v>53</v>
      </c>
      <c r="B53" s="79" t="s">
        <v>335</v>
      </c>
      <c r="C53" s="79" t="s">
        <v>336</v>
      </c>
      <c r="D53" s="79" t="s">
        <v>286</v>
      </c>
      <c r="E53" s="106" t="s">
        <v>323</v>
      </c>
      <c r="F53" s="79">
        <v>1</v>
      </c>
      <c r="G53" s="80" t="s">
        <v>324</v>
      </c>
      <c r="H53" s="123"/>
    </row>
    <row r="54" spans="1:8" ht="24.75" customHeight="1">
      <c r="A54" s="79">
        <v>54</v>
      </c>
      <c r="B54" s="79" t="s">
        <v>337</v>
      </c>
      <c r="C54" s="79" t="s">
        <v>336</v>
      </c>
      <c r="D54" s="79" t="s">
        <v>290</v>
      </c>
      <c r="E54" s="106" t="s">
        <v>323</v>
      </c>
      <c r="F54" s="79">
        <v>1</v>
      </c>
      <c r="G54" s="80" t="s">
        <v>324</v>
      </c>
      <c r="H54" s="123"/>
    </row>
    <row r="55" spans="1:8" ht="24.75" customHeight="1">
      <c r="A55" s="79">
        <v>55</v>
      </c>
      <c r="B55" s="111" t="s">
        <v>338</v>
      </c>
      <c r="C55" s="79" t="s">
        <v>339</v>
      </c>
      <c r="D55" s="79" t="s">
        <v>340</v>
      </c>
      <c r="E55" s="106" t="s">
        <v>341</v>
      </c>
      <c r="F55" s="79" t="s">
        <v>224</v>
      </c>
      <c r="G55" s="80" t="s">
        <v>241</v>
      </c>
      <c r="H55" s="123"/>
    </row>
    <row r="56" spans="1:8" ht="24.75" customHeight="1">
      <c r="A56" s="79">
        <v>56</v>
      </c>
      <c r="B56" s="79" t="s">
        <v>342</v>
      </c>
      <c r="C56" s="112" t="s">
        <v>343</v>
      </c>
      <c r="D56" s="79" t="s">
        <v>344</v>
      </c>
      <c r="E56" s="106" t="s">
        <v>214</v>
      </c>
      <c r="F56" s="79">
        <v>10</v>
      </c>
      <c r="G56" s="80" t="s">
        <v>215</v>
      </c>
      <c r="H56" s="123"/>
    </row>
    <row r="57" spans="1:8" ht="24.75" customHeight="1">
      <c r="A57" s="79">
        <v>57</v>
      </c>
      <c r="B57" s="79" t="s">
        <v>345</v>
      </c>
      <c r="C57" s="112">
        <v>45698</v>
      </c>
      <c r="D57" s="79" t="s">
        <v>331</v>
      </c>
      <c r="E57" s="106" t="s">
        <v>266</v>
      </c>
      <c r="F57" s="79">
        <v>5</v>
      </c>
      <c r="G57" s="80" t="s">
        <v>200</v>
      </c>
      <c r="H57" s="123"/>
    </row>
    <row r="58" spans="1:8" ht="24.75" customHeight="1">
      <c r="A58" s="79">
        <v>58</v>
      </c>
      <c r="B58" s="79" t="s">
        <v>346</v>
      </c>
      <c r="C58" s="112">
        <v>45698</v>
      </c>
      <c r="D58" s="79" t="s">
        <v>347</v>
      </c>
      <c r="E58" s="106" t="s">
        <v>266</v>
      </c>
      <c r="F58" s="79">
        <v>5</v>
      </c>
      <c r="G58" s="80" t="s">
        <v>200</v>
      </c>
      <c r="H58" s="123"/>
    </row>
    <row r="59" spans="1:8" ht="24.75" customHeight="1">
      <c r="A59" s="79">
        <v>59</v>
      </c>
      <c r="B59" s="79" t="s">
        <v>348</v>
      </c>
      <c r="C59" s="112" t="s">
        <v>349</v>
      </c>
      <c r="D59" s="79" t="s">
        <v>350</v>
      </c>
      <c r="E59" s="106" t="s">
        <v>234</v>
      </c>
      <c r="F59" s="79">
        <v>10</v>
      </c>
      <c r="G59" s="80" t="s">
        <v>215</v>
      </c>
      <c r="H59" s="123"/>
    </row>
    <row r="60" spans="1:8" ht="24.75" customHeight="1">
      <c r="A60" s="79">
        <v>60</v>
      </c>
      <c r="B60" s="79" t="s">
        <v>351</v>
      </c>
      <c r="C60" s="112" t="s">
        <v>349</v>
      </c>
      <c r="D60" s="79" t="s">
        <v>344</v>
      </c>
      <c r="E60" s="106" t="s">
        <v>234</v>
      </c>
      <c r="F60" s="79">
        <v>10</v>
      </c>
      <c r="G60" s="80" t="s">
        <v>215</v>
      </c>
      <c r="H60" s="123"/>
    </row>
    <row r="61" spans="1:8" ht="24.75" customHeight="1">
      <c r="A61" s="79">
        <v>61</v>
      </c>
      <c r="B61" s="79" t="s">
        <v>352</v>
      </c>
      <c r="C61" s="85">
        <v>45667</v>
      </c>
      <c r="D61" s="79" t="s">
        <v>340</v>
      </c>
      <c r="E61" s="106" t="s">
        <v>304</v>
      </c>
      <c r="F61" s="79" t="s">
        <v>224</v>
      </c>
      <c r="G61" s="80" t="s">
        <v>241</v>
      </c>
      <c r="H61" s="123"/>
    </row>
    <row r="62" spans="1:8" ht="24.75" customHeight="1">
      <c r="A62" s="79">
        <v>62</v>
      </c>
      <c r="B62" s="79" t="s">
        <v>353</v>
      </c>
      <c r="C62" s="112" t="s">
        <v>354</v>
      </c>
      <c r="D62" s="79" t="s">
        <v>355</v>
      </c>
      <c r="E62" s="106" t="s">
        <v>314</v>
      </c>
      <c r="F62" s="79">
        <v>11</v>
      </c>
      <c r="G62" s="80" t="s">
        <v>215</v>
      </c>
      <c r="H62" s="123"/>
    </row>
    <row r="63" spans="1:8" ht="33" customHeight="1">
      <c r="A63" s="79">
        <v>63</v>
      </c>
      <c r="B63" s="79" t="s">
        <v>356</v>
      </c>
      <c r="C63" s="112">
        <v>45910</v>
      </c>
      <c r="D63" s="79" t="s">
        <v>347</v>
      </c>
      <c r="E63" s="106" t="s">
        <v>199</v>
      </c>
      <c r="F63" s="79">
        <v>5</v>
      </c>
      <c r="G63" s="80" t="s">
        <v>200</v>
      </c>
      <c r="H63" s="123"/>
    </row>
    <row r="64" spans="1:8" ht="24.75" customHeight="1">
      <c r="A64" s="79">
        <v>64</v>
      </c>
      <c r="B64" s="79" t="s">
        <v>357</v>
      </c>
      <c r="C64" s="112" t="s">
        <v>358</v>
      </c>
      <c r="D64" s="79" t="s">
        <v>236</v>
      </c>
      <c r="E64" s="106" t="s">
        <v>257</v>
      </c>
      <c r="F64" s="79">
        <v>10</v>
      </c>
      <c r="G64" s="80" t="s">
        <v>215</v>
      </c>
      <c r="H64" s="123"/>
    </row>
    <row r="65" spans="1:8" ht="24.75" customHeight="1">
      <c r="A65" s="79">
        <v>65</v>
      </c>
      <c r="B65" s="79" t="s">
        <v>359</v>
      </c>
      <c r="C65" s="79" t="s">
        <v>360</v>
      </c>
      <c r="D65" s="79" t="s">
        <v>236</v>
      </c>
      <c r="E65" s="106" t="s">
        <v>361</v>
      </c>
      <c r="F65" s="79">
        <v>1</v>
      </c>
      <c r="G65" s="80" t="s">
        <v>324</v>
      </c>
      <c r="H65" s="123"/>
    </row>
    <row r="66" spans="1:8" ht="24.75" customHeight="1">
      <c r="A66" s="79">
        <v>66</v>
      </c>
      <c r="B66" s="79" t="s">
        <v>362</v>
      </c>
      <c r="C66" s="112" t="s">
        <v>360</v>
      </c>
      <c r="D66" s="79" t="s">
        <v>268</v>
      </c>
      <c r="E66" s="106" t="s">
        <v>199</v>
      </c>
      <c r="F66" s="79">
        <v>5</v>
      </c>
      <c r="G66" s="80" t="s">
        <v>200</v>
      </c>
      <c r="H66" s="123"/>
    </row>
    <row r="67" spans="1:8" ht="24.75" customHeight="1">
      <c r="A67" s="79">
        <v>66</v>
      </c>
      <c r="B67" s="79" t="s">
        <v>363</v>
      </c>
      <c r="C67" s="112" t="s">
        <v>360</v>
      </c>
      <c r="D67" s="79" t="s">
        <v>364</v>
      </c>
      <c r="E67" s="106" t="s">
        <v>323</v>
      </c>
      <c r="F67" s="79">
        <v>1</v>
      </c>
      <c r="G67" s="80" t="s">
        <v>324</v>
      </c>
      <c r="H67" s="123"/>
    </row>
    <row r="68" spans="1:8" ht="24.75" customHeight="1">
      <c r="A68" s="79">
        <v>67</v>
      </c>
      <c r="B68" s="79" t="s">
        <v>365</v>
      </c>
      <c r="C68" s="112" t="s">
        <v>360</v>
      </c>
      <c r="D68" s="79" t="s">
        <v>366</v>
      </c>
      <c r="E68" s="106" t="s">
        <v>323</v>
      </c>
      <c r="F68" s="79">
        <v>1</v>
      </c>
      <c r="G68" s="80" t="s">
        <v>324</v>
      </c>
      <c r="H68" s="123"/>
    </row>
    <row r="69" spans="1:8" ht="24.75" customHeight="1">
      <c r="A69" s="79">
        <v>68</v>
      </c>
      <c r="B69" s="79" t="s">
        <v>367</v>
      </c>
      <c r="C69" s="112" t="s">
        <v>354</v>
      </c>
      <c r="D69" s="79" t="s">
        <v>366</v>
      </c>
      <c r="E69" s="106" t="s">
        <v>329</v>
      </c>
      <c r="F69" s="79">
        <v>11</v>
      </c>
      <c r="G69" s="80" t="s">
        <v>215</v>
      </c>
      <c r="H69" s="123"/>
    </row>
    <row r="70" spans="1:8" ht="24.75" customHeight="1">
      <c r="A70" s="79">
        <v>69</v>
      </c>
      <c r="B70" s="79" t="s">
        <v>368</v>
      </c>
      <c r="C70" s="79" t="s">
        <v>369</v>
      </c>
      <c r="D70" s="79" t="s">
        <v>286</v>
      </c>
      <c r="E70" s="106" t="s">
        <v>209</v>
      </c>
      <c r="F70" s="79">
        <v>8</v>
      </c>
      <c r="G70" s="80" t="s">
        <v>200</v>
      </c>
      <c r="H70" s="123"/>
    </row>
    <row r="71" spans="1:8" ht="24.75" customHeight="1">
      <c r="A71" s="79">
        <v>70</v>
      </c>
      <c r="B71" s="79" t="s">
        <v>370</v>
      </c>
      <c r="C71" s="79" t="s">
        <v>371</v>
      </c>
      <c r="D71" s="79" t="s">
        <v>372</v>
      </c>
      <c r="E71" s="106" t="s">
        <v>373</v>
      </c>
      <c r="F71" s="79">
        <v>8</v>
      </c>
      <c r="G71" s="80" t="s">
        <v>200</v>
      </c>
      <c r="H71" s="123"/>
    </row>
    <row r="72" spans="1:8" ht="24.75" customHeight="1">
      <c r="A72" s="79">
        <v>71</v>
      </c>
      <c r="B72" s="79" t="s">
        <v>374</v>
      </c>
      <c r="C72" s="79" t="s">
        <v>375</v>
      </c>
      <c r="D72" s="79" t="s">
        <v>286</v>
      </c>
      <c r="E72" s="106" t="s">
        <v>287</v>
      </c>
      <c r="F72" s="79">
        <v>5</v>
      </c>
      <c r="G72" s="80" t="s">
        <v>200</v>
      </c>
      <c r="H72" s="123"/>
    </row>
    <row r="73" spans="1:8" ht="36.75" customHeight="1">
      <c r="A73" s="79">
        <v>72</v>
      </c>
      <c r="B73" s="79" t="s">
        <v>376</v>
      </c>
      <c r="C73" s="79" t="s">
        <v>375</v>
      </c>
      <c r="D73" s="79" t="s">
        <v>203</v>
      </c>
      <c r="E73" s="106" t="s">
        <v>377</v>
      </c>
      <c r="F73" s="79">
        <v>5</v>
      </c>
      <c r="G73" s="80" t="s">
        <v>200</v>
      </c>
      <c r="H73" s="123"/>
    </row>
    <row r="74" spans="1:8" ht="24.75" customHeight="1">
      <c r="A74" s="79">
        <v>73</v>
      </c>
      <c r="B74" s="79" t="s">
        <v>378</v>
      </c>
      <c r="C74" s="112" t="s">
        <v>379</v>
      </c>
      <c r="D74" s="79" t="s">
        <v>366</v>
      </c>
      <c r="E74" s="106" t="s">
        <v>329</v>
      </c>
      <c r="F74" s="79">
        <v>11</v>
      </c>
      <c r="G74" s="80" t="s">
        <v>215</v>
      </c>
      <c r="H74" s="123"/>
    </row>
    <row r="75" spans="1:8" ht="24.75" customHeight="1">
      <c r="A75" s="79">
        <v>74</v>
      </c>
      <c r="B75" s="79" t="s">
        <v>380</v>
      </c>
      <c r="C75" s="112" t="s">
        <v>375</v>
      </c>
      <c r="D75" s="79" t="s">
        <v>364</v>
      </c>
      <c r="E75" s="106" t="s">
        <v>314</v>
      </c>
      <c r="F75" s="79">
        <v>11</v>
      </c>
      <c r="G75" s="80" t="s">
        <v>215</v>
      </c>
      <c r="H75" s="123" t="s">
        <v>381</v>
      </c>
    </row>
    <row r="76" spans="1:8" ht="24.75" customHeight="1">
      <c r="A76" s="79">
        <v>75</v>
      </c>
      <c r="B76" s="79" t="s">
        <v>382</v>
      </c>
      <c r="C76" s="112" t="s">
        <v>375</v>
      </c>
      <c r="D76" s="79" t="s">
        <v>366</v>
      </c>
      <c r="E76" s="106" t="s">
        <v>329</v>
      </c>
      <c r="F76" s="79">
        <v>11</v>
      </c>
      <c r="G76" s="80" t="s">
        <v>215</v>
      </c>
      <c r="H76" s="123" t="s">
        <v>383</v>
      </c>
    </row>
    <row r="77" spans="1:8" ht="24.75" customHeight="1">
      <c r="A77" s="79">
        <v>76</v>
      </c>
      <c r="B77" s="79" t="s">
        <v>384</v>
      </c>
      <c r="C77" s="112" t="s">
        <v>375</v>
      </c>
      <c r="D77" s="79" t="s">
        <v>350</v>
      </c>
      <c r="E77" s="106" t="s">
        <v>234</v>
      </c>
      <c r="F77" s="79">
        <v>10</v>
      </c>
      <c r="G77" s="80" t="s">
        <v>215</v>
      </c>
      <c r="H77" s="123" t="s">
        <v>383</v>
      </c>
    </row>
    <row r="78" spans="1:8" ht="24.75" customHeight="1">
      <c r="A78" s="79">
        <v>77</v>
      </c>
      <c r="B78" s="79" t="s">
        <v>385</v>
      </c>
      <c r="C78" s="79" t="s">
        <v>386</v>
      </c>
      <c r="D78" s="79" t="s">
        <v>387</v>
      </c>
      <c r="E78" s="106" t="s">
        <v>300</v>
      </c>
      <c r="F78" s="79">
        <v>8</v>
      </c>
      <c r="G78" s="80" t="s">
        <v>200</v>
      </c>
      <c r="H78" s="123"/>
    </row>
    <row r="79" spans="1:8" ht="24.75" customHeight="1">
      <c r="A79" s="79">
        <v>77</v>
      </c>
      <c r="B79" s="79" t="s">
        <v>388</v>
      </c>
      <c r="C79" s="79" t="s">
        <v>386</v>
      </c>
      <c r="D79" s="79" t="s">
        <v>203</v>
      </c>
      <c r="E79" s="106" t="s">
        <v>300</v>
      </c>
      <c r="F79" s="79">
        <v>8</v>
      </c>
      <c r="G79" s="80" t="s">
        <v>200</v>
      </c>
      <c r="H79" s="123"/>
    </row>
    <row r="80" spans="1:8" ht="29.25" customHeight="1">
      <c r="A80" s="79">
        <v>78</v>
      </c>
      <c r="B80" s="112" t="s">
        <v>389</v>
      </c>
      <c r="C80" s="79" t="s">
        <v>386</v>
      </c>
      <c r="D80" s="79" t="s">
        <v>290</v>
      </c>
      <c r="E80" s="106" t="s">
        <v>377</v>
      </c>
      <c r="F80" s="79">
        <v>5</v>
      </c>
      <c r="G80" s="80" t="s">
        <v>200</v>
      </c>
      <c r="H80" s="123"/>
    </row>
    <row r="81" spans="1:8" ht="24.75" customHeight="1">
      <c r="A81" s="79">
        <v>79</v>
      </c>
      <c r="B81" s="112" t="s">
        <v>390</v>
      </c>
      <c r="C81" s="79" t="s">
        <v>391</v>
      </c>
      <c r="D81" s="79" t="s">
        <v>392</v>
      </c>
      <c r="E81" s="106" t="s">
        <v>266</v>
      </c>
      <c r="F81" s="79">
        <v>5</v>
      </c>
      <c r="G81" s="80" t="s">
        <v>200</v>
      </c>
      <c r="H81" s="123"/>
    </row>
    <row r="82" spans="1:8" ht="24.75" customHeight="1">
      <c r="A82" s="79">
        <v>80</v>
      </c>
      <c r="B82" s="79" t="s">
        <v>393</v>
      </c>
      <c r="C82" s="85">
        <v>45727</v>
      </c>
      <c r="D82" s="79" t="s">
        <v>392</v>
      </c>
      <c r="E82" s="106" t="s">
        <v>373</v>
      </c>
      <c r="F82" s="79">
        <v>8</v>
      </c>
      <c r="G82" s="80" t="s">
        <v>200</v>
      </c>
      <c r="H82" s="123"/>
    </row>
    <row r="83" spans="1:8" ht="33" customHeight="1">
      <c r="A83" s="79">
        <v>81</v>
      </c>
      <c r="B83" s="79" t="s">
        <v>394</v>
      </c>
      <c r="C83" s="85">
        <v>45727</v>
      </c>
      <c r="D83" s="79" t="s">
        <v>203</v>
      </c>
      <c r="E83" s="106" t="s">
        <v>395</v>
      </c>
      <c r="F83" s="79">
        <v>8</v>
      </c>
      <c r="G83" s="80" t="s">
        <v>200</v>
      </c>
      <c r="H83" s="123"/>
    </row>
    <row r="84" spans="1:8" ht="24.75" customHeight="1">
      <c r="A84" s="79">
        <v>82</v>
      </c>
      <c r="B84" s="79" t="s">
        <v>396</v>
      </c>
      <c r="C84" s="112" t="s">
        <v>397</v>
      </c>
      <c r="D84" s="79" t="s">
        <v>236</v>
      </c>
      <c r="E84" s="106" t="s">
        <v>257</v>
      </c>
      <c r="F84" s="79">
        <v>10</v>
      </c>
      <c r="G84" s="80" t="s">
        <v>215</v>
      </c>
      <c r="H84" s="123"/>
    </row>
    <row r="85" spans="1:8" ht="24.75" customHeight="1">
      <c r="A85" s="79">
        <v>83</v>
      </c>
      <c r="B85" s="79" t="s">
        <v>398</v>
      </c>
      <c r="C85" s="112" t="s">
        <v>399</v>
      </c>
      <c r="D85" s="79" t="s">
        <v>236</v>
      </c>
      <c r="E85" s="106" t="s">
        <v>214</v>
      </c>
      <c r="F85" s="79">
        <v>10</v>
      </c>
      <c r="G85" s="80" t="s">
        <v>215</v>
      </c>
      <c r="H85" s="123"/>
    </row>
    <row r="86" spans="1:8" ht="24.75" customHeight="1">
      <c r="A86" s="79">
        <v>84</v>
      </c>
      <c r="B86" s="79" t="s">
        <v>400</v>
      </c>
      <c r="C86" s="85">
        <v>45788</v>
      </c>
      <c r="D86" s="79" t="s">
        <v>203</v>
      </c>
      <c r="E86" s="106" t="s">
        <v>287</v>
      </c>
      <c r="F86" s="79">
        <v>5</v>
      </c>
      <c r="G86" s="80" t="s">
        <v>200</v>
      </c>
      <c r="H86" s="123"/>
    </row>
    <row r="87" spans="1:8" ht="24.75" customHeight="1">
      <c r="A87" s="79">
        <v>85</v>
      </c>
      <c r="B87" s="79" t="s">
        <v>401</v>
      </c>
      <c r="C87" s="85">
        <v>45819</v>
      </c>
      <c r="D87" s="79" t="s">
        <v>203</v>
      </c>
      <c r="E87" s="106" t="s">
        <v>209</v>
      </c>
      <c r="F87" s="79">
        <v>8</v>
      </c>
      <c r="G87" s="80" t="s">
        <v>200</v>
      </c>
      <c r="H87" s="123"/>
    </row>
    <row r="88" spans="1:8" ht="33" customHeight="1">
      <c r="A88" s="79">
        <v>86</v>
      </c>
      <c r="B88" s="79" t="s">
        <v>402</v>
      </c>
      <c r="C88" s="85">
        <v>45819</v>
      </c>
      <c r="D88" s="79" t="s">
        <v>403</v>
      </c>
      <c r="E88" s="106" t="s">
        <v>240</v>
      </c>
      <c r="F88" s="79" t="s">
        <v>224</v>
      </c>
      <c r="G88" s="80" t="s">
        <v>241</v>
      </c>
      <c r="H88" s="123"/>
    </row>
    <row r="89" spans="1:8" ht="24.75" customHeight="1">
      <c r="A89" s="79">
        <v>87</v>
      </c>
      <c r="B89" s="79" t="s">
        <v>398</v>
      </c>
      <c r="C89" s="112" t="s">
        <v>399</v>
      </c>
      <c r="D89" s="79" t="s">
        <v>236</v>
      </c>
      <c r="E89" s="106" t="s">
        <v>214</v>
      </c>
      <c r="F89" s="79">
        <v>10</v>
      </c>
      <c r="G89" s="80" t="s">
        <v>215</v>
      </c>
      <c r="H89" s="123"/>
    </row>
    <row r="90" spans="1:8" ht="24.75" customHeight="1">
      <c r="A90" s="79">
        <v>88</v>
      </c>
      <c r="B90" s="79" t="s">
        <v>404</v>
      </c>
      <c r="C90" s="112" t="s">
        <v>405</v>
      </c>
      <c r="D90" s="79" t="s">
        <v>406</v>
      </c>
      <c r="E90" s="106" t="s">
        <v>407</v>
      </c>
      <c r="F90" s="79">
        <v>10</v>
      </c>
      <c r="G90" s="80" t="s">
        <v>215</v>
      </c>
      <c r="H90" s="123" t="s">
        <v>408</v>
      </c>
    </row>
    <row r="91" spans="1:8" ht="24.75" customHeight="1">
      <c r="A91" s="79">
        <v>89</v>
      </c>
      <c r="B91" s="79" t="s">
        <v>409</v>
      </c>
      <c r="C91" s="112" t="s">
        <v>405</v>
      </c>
      <c r="D91" s="79" t="s">
        <v>290</v>
      </c>
      <c r="E91" s="106" t="s">
        <v>410</v>
      </c>
      <c r="F91" s="79">
        <v>11</v>
      </c>
      <c r="G91" s="80" t="s">
        <v>215</v>
      </c>
      <c r="H91" s="123" t="s">
        <v>408</v>
      </c>
    </row>
    <row r="92" spans="1:8" ht="24.75" customHeight="1">
      <c r="A92" s="79">
        <v>90</v>
      </c>
      <c r="B92" s="79" t="s">
        <v>411</v>
      </c>
      <c r="C92" s="112" t="s">
        <v>405</v>
      </c>
      <c r="D92" s="79" t="s">
        <v>290</v>
      </c>
      <c r="E92" s="106" t="s">
        <v>412</v>
      </c>
      <c r="F92" s="87" t="s">
        <v>413</v>
      </c>
      <c r="G92" s="80" t="s">
        <v>215</v>
      </c>
      <c r="H92" s="123" t="s">
        <v>414</v>
      </c>
    </row>
    <row r="93" spans="1:8" ht="24.75" customHeight="1">
      <c r="A93" s="79">
        <v>91</v>
      </c>
      <c r="B93" s="79" t="s">
        <v>415</v>
      </c>
      <c r="C93" s="112" t="s">
        <v>416</v>
      </c>
      <c r="D93" s="79" t="s">
        <v>417</v>
      </c>
      <c r="E93" s="106" t="s">
        <v>314</v>
      </c>
      <c r="F93" s="87" t="s">
        <v>418</v>
      </c>
      <c r="G93" s="80" t="s">
        <v>215</v>
      </c>
      <c r="H93" s="123" t="s">
        <v>419</v>
      </c>
    </row>
    <row r="94" spans="1:8" ht="16.5">
      <c r="A94" s="79">
        <v>92</v>
      </c>
      <c r="B94" s="79" t="s">
        <v>420</v>
      </c>
      <c r="C94" s="112" t="s">
        <v>416</v>
      </c>
      <c r="D94" s="79" t="s">
        <v>421</v>
      </c>
      <c r="E94" s="106" t="s">
        <v>422</v>
      </c>
      <c r="F94" s="87" t="s">
        <v>418</v>
      </c>
      <c r="G94" s="80" t="s">
        <v>215</v>
      </c>
      <c r="H94" s="123" t="s">
        <v>423</v>
      </c>
    </row>
    <row r="95" spans="1:8" ht="16.5">
      <c r="A95" s="79">
        <v>93</v>
      </c>
      <c r="B95" s="79" t="s">
        <v>424</v>
      </c>
      <c r="C95" s="85">
        <v>45941</v>
      </c>
      <c r="D95" s="79" t="s">
        <v>290</v>
      </c>
      <c r="E95" s="106" t="s">
        <v>287</v>
      </c>
      <c r="F95" s="88">
        <v>5</v>
      </c>
      <c r="G95" s="80" t="s">
        <v>200</v>
      </c>
      <c r="H95" s="123"/>
    </row>
    <row r="96" spans="1:8" ht="16.5">
      <c r="A96" s="79">
        <v>94</v>
      </c>
      <c r="B96" s="79" t="s">
        <v>425</v>
      </c>
      <c r="C96" s="85">
        <v>45941</v>
      </c>
      <c r="D96" s="79" t="s">
        <v>426</v>
      </c>
      <c r="E96" s="106" t="s">
        <v>287</v>
      </c>
      <c r="F96" s="79">
        <v>5</v>
      </c>
      <c r="G96" s="80" t="s">
        <v>200</v>
      </c>
      <c r="H96" s="123"/>
    </row>
    <row r="97" spans="1:8" ht="16.5">
      <c r="A97" s="79">
        <v>95</v>
      </c>
      <c r="B97" s="79" t="s">
        <v>427</v>
      </c>
      <c r="C97" s="85">
        <v>45972</v>
      </c>
      <c r="D97" s="79" t="s">
        <v>392</v>
      </c>
      <c r="E97" s="106" t="s">
        <v>199</v>
      </c>
      <c r="F97" s="79">
        <v>5</v>
      </c>
      <c r="G97" s="80" t="s">
        <v>200</v>
      </c>
      <c r="H97" s="123"/>
    </row>
    <row r="98" spans="1:8" ht="16.5">
      <c r="A98" s="79">
        <v>96</v>
      </c>
      <c r="B98" s="79" t="s">
        <v>428</v>
      </c>
      <c r="C98" s="85">
        <v>45972</v>
      </c>
      <c r="D98" s="79" t="s">
        <v>203</v>
      </c>
      <c r="E98" s="106" t="s">
        <v>300</v>
      </c>
      <c r="F98" s="79">
        <v>8</v>
      </c>
      <c r="G98" s="80" t="s">
        <v>200</v>
      </c>
      <c r="H98" s="123"/>
    </row>
    <row r="99" spans="1:8" ht="16.5">
      <c r="A99" s="79">
        <v>97</v>
      </c>
      <c r="B99" s="79" t="s">
        <v>429</v>
      </c>
      <c r="C99" s="85">
        <v>46002</v>
      </c>
      <c r="D99" s="79" t="s">
        <v>392</v>
      </c>
      <c r="E99" s="106" t="s">
        <v>300</v>
      </c>
      <c r="F99" s="79">
        <v>8</v>
      </c>
      <c r="G99" s="80" t="s">
        <v>200</v>
      </c>
      <c r="H99" s="123"/>
    </row>
    <row r="100" spans="1:8" ht="16.5">
      <c r="A100" s="79">
        <v>98</v>
      </c>
      <c r="B100" s="79" t="s">
        <v>430</v>
      </c>
      <c r="C100" s="85">
        <v>46002</v>
      </c>
      <c r="D100" s="79" t="s">
        <v>203</v>
      </c>
      <c r="E100" s="106" t="s">
        <v>199</v>
      </c>
      <c r="F100" s="79">
        <v>5</v>
      </c>
      <c r="G100" s="80" t="s">
        <v>200</v>
      </c>
      <c r="H100" s="123"/>
    </row>
    <row r="101" spans="1:8" ht="16.5">
      <c r="A101" s="79">
        <v>99</v>
      </c>
      <c r="B101" s="79" t="s">
        <v>431</v>
      </c>
      <c r="C101" s="112" t="s">
        <v>432</v>
      </c>
      <c r="D101" s="79" t="s">
        <v>433</v>
      </c>
      <c r="E101" s="106" t="s">
        <v>257</v>
      </c>
      <c r="F101" s="87" t="s">
        <v>434</v>
      </c>
      <c r="G101" s="80" t="s">
        <v>215</v>
      </c>
      <c r="H101" s="123"/>
    </row>
    <row r="102" spans="1:8" ht="16.5">
      <c r="A102" s="79">
        <v>100</v>
      </c>
      <c r="B102" s="79" t="s">
        <v>435</v>
      </c>
      <c r="C102" s="112" t="s">
        <v>432</v>
      </c>
      <c r="D102" s="79" t="s">
        <v>436</v>
      </c>
      <c r="E102" s="106" t="s">
        <v>407</v>
      </c>
      <c r="F102" s="87" t="s">
        <v>434</v>
      </c>
      <c r="G102" s="80" t="s">
        <v>215</v>
      </c>
      <c r="H102" s="123"/>
    </row>
    <row r="103" spans="1:8" ht="33">
      <c r="A103" s="79">
        <v>101</v>
      </c>
      <c r="B103" s="79" t="s">
        <v>437</v>
      </c>
      <c r="C103" s="112" t="s">
        <v>432</v>
      </c>
      <c r="D103" s="79" t="s">
        <v>223</v>
      </c>
      <c r="E103" s="106" t="s">
        <v>438</v>
      </c>
      <c r="F103" s="87" t="s">
        <v>418</v>
      </c>
      <c r="G103" s="80" t="s">
        <v>215</v>
      </c>
      <c r="H103" s="123"/>
    </row>
    <row r="104" spans="1:8" ht="16.5">
      <c r="A104" s="79">
        <v>102</v>
      </c>
      <c r="B104" s="79"/>
      <c r="C104" s="112" t="s">
        <v>439</v>
      </c>
      <c r="D104" s="79" t="s">
        <v>440</v>
      </c>
      <c r="E104" s="106" t="s">
        <v>240</v>
      </c>
      <c r="F104" s="87" t="s">
        <v>224</v>
      </c>
      <c r="G104" s="80" t="s">
        <v>241</v>
      </c>
      <c r="H104" s="123"/>
    </row>
    <row r="105" spans="1:8" ht="16.5">
      <c r="A105" s="79">
        <v>103</v>
      </c>
      <c r="B105" s="79"/>
      <c r="C105" s="112" t="s">
        <v>439</v>
      </c>
      <c r="D105" s="79" t="s">
        <v>441</v>
      </c>
      <c r="E105" s="106" t="s">
        <v>274</v>
      </c>
      <c r="F105" s="87"/>
      <c r="G105" s="80" t="s">
        <v>272</v>
      </c>
      <c r="H105" s="123"/>
    </row>
    <row r="106" spans="1:8" ht="16.5">
      <c r="A106" s="79">
        <v>104</v>
      </c>
      <c r="B106" s="79" t="s">
        <v>442</v>
      </c>
      <c r="C106" s="112" t="s">
        <v>443</v>
      </c>
      <c r="D106" s="79" t="s">
        <v>444</v>
      </c>
      <c r="E106" s="106"/>
      <c r="F106" s="79">
        <v>5</v>
      </c>
      <c r="G106" s="80" t="s">
        <v>200</v>
      </c>
      <c r="H106" s="123"/>
    </row>
    <row r="107" spans="1:8" ht="16.5">
      <c r="A107" s="79">
        <v>105</v>
      </c>
      <c r="B107" s="79" t="s">
        <v>445</v>
      </c>
      <c r="C107" s="79" t="s">
        <v>446</v>
      </c>
      <c r="D107" s="79" t="s">
        <v>447</v>
      </c>
      <c r="E107" s="106" t="s">
        <v>448</v>
      </c>
      <c r="F107" s="79">
        <v>3</v>
      </c>
      <c r="G107" s="80" t="s">
        <v>324</v>
      </c>
      <c r="H107" s="123"/>
    </row>
    <row r="108" spans="1:8" ht="16.5">
      <c r="A108" s="79">
        <v>106</v>
      </c>
      <c r="B108" s="79" t="s">
        <v>449</v>
      </c>
      <c r="C108" s="79" t="s">
        <v>450</v>
      </c>
      <c r="D108" s="79" t="s">
        <v>451</v>
      </c>
      <c r="E108" s="106"/>
      <c r="F108" s="79" t="s">
        <v>224</v>
      </c>
      <c r="G108" s="80" t="s">
        <v>241</v>
      </c>
      <c r="H108" s="123"/>
    </row>
    <row r="109" spans="1:8" ht="16.5">
      <c r="A109" s="79">
        <v>107</v>
      </c>
      <c r="B109" s="79" t="s">
        <v>452</v>
      </c>
      <c r="C109" s="79" t="s">
        <v>446</v>
      </c>
      <c r="D109" s="79" t="s">
        <v>453</v>
      </c>
      <c r="E109" s="106" t="s">
        <v>448</v>
      </c>
      <c r="F109" s="79">
        <v>3</v>
      </c>
      <c r="G109" s="80" t="s">
        <v>324</v>
      </c>
      <c r="H109" s="123"/>
    </row>
    <row r="110" spans="1:8" ht="16.5">
      <c r="A110" s="79">
        <v>108</v>
      </c>
      <c r="B110" s="79" t="s">
        <v>454</v>
      </c>
      <c r="C110" s="79" t="s">
        <v>446</v>
      </c>
      <c r="D110" s="79" t="s">
        <v>290</v>
      </c>
      <c r="E110" s="106" t="s">
        <v>209</v>
      </c>
      <c r="F110" s="79">
        <v>8</v>
      </c>
      <c r="G110" s="80" t="s">
        <v>200</v>
      </c>
      <c r="H110" s="123"/>
    </row>
    <row r="111" spans="1:8" ht="33">
      <c r="A111" s="79">
        <v>109</v>
      </c>
      <c r="B111" s="79" t="s">
        <v>455</v>
      </c>
      <c r="C111" s="79" t="s">
        <v>456</v>
      </c>
      <c r="D111" s="79" t="s">
        <v>457</v>
      </c>
      <c r="E111" s="106" t="s">
        <v>458</v>
      </c>
      <c r="F111" s="79">
        <v>1</v>
      </c>
      <c r="G111" s="80" t="s">
        <v>324</v>
      </c>
      <c r="H111" s="123"/>
    </row>
    <row r="112" spans="1:8" ht="33">
      <c r="A112" s="79">
        <v>110</v>
      </c>
      <c r="B112" s="79" t="s">
        <v>459</v>
      </c>
      <c r="C112" s="79" t="s">
        <v>456</v>
      </c>
      <c r="D112" s="79" t="s">
        <v>453</v>
      </c>
      <c r="E112" s="106" t="s">
        <v>458</v>
      </c>
      <c r="F112" s="79">
        <v>1</v>
      </c>
      <c r="G112" s="80" t="s">
        <v>324</v>
      </c>
      <c r="H112" s="123"/>
    </row>
    <row r="113" spans="1:8" ht="33">
      <c r="A113" s="79">
        <v>111</v>
      </c>
      <c r="B113" s="79" t="s">
        <v>460</v>
      </c>
      <c r="C113" s="79" t="s">
        <v>456</v>
      </c>
      <c r="D113" s="79" t="s">
        <v>461</v>
      </c>
      <c r="E113" s="106" t="s">
        <v>458</v>
      </c>
      <c r="F113" s="79">
        <v>1</v>
      </c>
      <c r="G113" s="80" t="s">
        <v>324</v>
      </c>
      <c r="H113" s="123"/>
    </row>
    <row r="114" spans="1:8" ht="16.5">
      <c r="A114" s="79">
        <v>112</v>
      </c>
      <c r="B114" s="79" t="s">
        <v>462</v>
      </c>
      <c r="C114" s="79" t="s">
        <v>456</v>
      </c>
      <c r="D114" s="79" t="s">
        <v>463</v>
      </c>
      <c r="E114" s="106" t="s">
        <v>199</v>
      </c>
      <c r="F114" s="79">
        <v>5</v>
      </c>
      <c r="G114" s="80" t="s">
        <v>200</v>
      </c>
      <c r="H114" s="123"/>
    </row>
    <row r="115" spans="1:8" ht="16.5">
      <c r="A115" s="79">
        <v>113</v>
      </c>
      <c r="B115" s="79" t="s">
        <v>464</v>
      </c>
      <c r="C115" s="79" t="s">
        <v>465</v>
      </c>
      <c r="D115" s="79" t="s">
        <v>259</v>
      </c>
      <c r="E115" s="106" t="s">
        <v>287</v>
      </c>
      <c r="F115" s="79">
        <v>5</v>
      </c>
      <c r="G115" s="80" t="s">
        <v>200</v>
      </c>
      <c r="H115" s="123"/>
    </row>
    <row r="116" spans="1:8" ht="16.5">
      <c r="A116" s="79">
        <v>114</v>
      </c>
      <c r="B116" s="79" t="s">
        <v>466</v>
      </c>
      <c r="C116" s="79" t="s">
        <v>465</v>
      </c>
      <c r="D116" s="79" t="s">
        <v>467</v>
      </c>
      <c r="E116" s="106" t="s">
        <v>250</v>
      </c>
      <c r="F116" s="79">
        <v>1</v>
      </c>
      <c r="G116" s="80" t="s">
        <v>324</v>
      </c>
      <c r="H116" s="123"/>
    </row>
    <row r="117" spans="1:8" ht="16.5">
      <c r="A117" s="79">
        <v>115</v>
      </c>
      <c r="B117" s="79" t="s">
        <v>468</v>
      </c>
      <c r="C117" s="79" t="s">
        <v>465</v>
      </c>
      <c r="D117" s="79" t="s">
        <v>364</v>
      </c>
      <c r="E117" s="106" t="s">
        <v>469</v>
      </c>
      <c r="F117" s="79">
        <v>3</v>
      </c>
      <c r="G117" s="80" t="s">
        <v>324</v>
      </c>
      <c r="H117" s="123"/>
    </row>
    <row r="118" spans="1:8" ht="16.5">
      <c r="A118" s="79">
        <v>116</v>
      </c>
      <c r="B118" s="79" t="s">
        <v>470</v>
      </c>
      <c r="C118" s="112" t="s">
        <v>471</v>
      </c>
      <c r="D118" s="79" t="s">
        <v>270</v>
      </c>
      <c r="E118" s="106" t="s">
        <v>214</v>
      </c>
      <c r="F118" s="87" t="s">
        <v>434</v>
      </c>
      <c r="G118" s="80" t="s">
        <v>215</v>
      </c>
      <c r="H118" s="123"/>
    </row>
    <row r="119" spans="1:8" ht="16.5">
      <c r="A119" s="79">
        <v>117</v>
      </c>
      <c r="B119" s="79" t="s">
        <v>472</v>
      </c>
      <c r="C119" s="112" t="s">
        <v>473</v>
      </c>
      <c r="D119" s="79" t="s">
        <v>286</v>
      </c>
      <c r="E119" s="106" t="s">
        <v>253</v>
      </c>
      <c r="F119" s="79">
        <v>11</v>
      </c>
      <c r="G119" s="80" t="s">
        <v>215</v>
      </c>
      <c r="H119" s="123"/>
    </row>
    <row r="120" spans="1:8" ht="16.5">
      <c r="A120" s="79">
        <v>118</v>
      </c>
      <c r="B120" s="79" t="s">
        <v>474</v>
      </c>
      <c r="C120" s="85">
        <v>45973</v>
      </c>
      <c r="D120" s="79" t="s">
        <v>286</v>
      </c>
      <c r="E120" s="106" t="s">
        <v>300</v>
      </c>
      <c r="F120" s="79">
        <v>8</v>
      </c>
      <c r="G120" s="80" t="s">
        <v>200</v>
      </c>
      <c r="H120" s="128"/>
    </row>
    <row r="121" spans="1:8" ht="16.5">
      <c r="A121" s="79">
        <v>119</v>
      </c>
      <c r="B121" s="79" t="s">
        <v>475</v>
      </c>
      <c r="C121" s="79" t="s">
        <v>476</v>
      </c>
      <c r="D121" s="79" t="s">
        <v>246</v>
      </c>
      <c r="E121" s="106" t="s">
        <v>266</v>
      </c>
      <c r="F121" s="79">
        <v>5</v>
      </c>
      <c r="G121" s="80" t="s">
        <v>200</v>
      </c>
      <c r="H121" s="123"/>
    </row>
    <row r="122" spans="1:8" ht="16.5">
      <c r="A122" s="79">
        <v>120</v>
      </c>
      <c r="B122" s="85" t="s">
        <v>477</v>
      </c>
      <c r="C122" s="79" t="s">
        <v>478</v>
      </c>
      <c r="D122" s="79" t="s">
        <v>246</v>
      </c>
      <c r="E122" s="106" t="s">
        <v>287</v>
      </c>
      <c r="F122" s="79">
        <v>5</v>
      </c>
      <c r="G122" s="80" t="s">
        <v>200</v>
      </c>
      <c r="H122" s="123"/>
    </row>
    <row r="123" spans="1:8" ht="16.5">
      <c r="A123" s="79">
        <v>121</v>
      </c>
      <c r="B123" s="79" t="s">
        <v>479</v>
      </c>
      <c r="C123" s="79" t="s">
        <v>478</v>
      </c>
      <c r="D123" s="79" t="s">
        <v>480</v>
      </c>
      <c r="E123" s="106" t="s">
        <v>209</v>
      </c>
      <c r="F123" s="79">
        <v>8</v>
      </c>
      <c r="G123" s="80" t="s">
        <v>200</v>
      </c>
      <c r="H123" s="123"/>
    </row>
    <row r="124" spans="1:8" ht="16.5">
      <c r="A124" s="79">
        <v>122</v>
      </c>
      <c r="B124" s="79" t="s">
        <v>481</v>
      </c>
      <c r="C124" s="79" t="s">
        <v>482</v>
      </c>
      <c r="D124" s="79" t="s">
        <v>286</v>
      </c>
      <c r="E124" s="106" t="s">
        <v>209</v>
      </c>
      <c r="F124" s="79">
        <v>8</v>
      </c>
      <c r="G124" s="80" t="s">
        <v>200</v>
      </c>
      <c r="H124" s="123"/>
    </row>
    <row r="125" spans="1:8" ht="16.5">
      <c r="A125" s="79">
        <v>123</v>
      </c>
      <c r="B125" s="79" t="s">
        <v>483</v>
      </c>
      <c r="C125" s="112" t="s">
        <v>484</v>
      </c>
      <c r="D125" s="79" t="s">
        <v>286</v>
      </c>
      <c r="E125" s="106" t="s">
        <v>314</v>
      </c>
      <c r="F125" s="79">
        <v>11</v>
      </c>
      <c r="G125" s="80" t="s">
        <v>215</v>
      </c>
      <c r="H125" s="123" t="s">
        <v>485</v>
      </c>
    </row>
    <row r="126" spans="1:8" ht="33">
      <c r="A126" s="79">
        <v>124</v>
      </c>
      <c r="B126" s="79" t="s">
        <v>486</v>
      </c>
      <c r="C126" s="112" t="s">
        <v>487</v>
      </c>
      <c r="D126" s="79" t="s">
        <v>355</v>
      </c>
      <c r="E126" s="106" t="s">
        <v>488</v>
      </c>
      <c r="F126" s="79">
        <v>10</v>
      </c>
      <c r="G126" s="80" t="s">
        <v>215</v>
      </c>
      <c r="H126" s="123" t="s">
        <v>489</v>
      </c>
    </row>
    <row r="127" spans="1:8" ht="16.5">
      <c r="A127" s="79">
        <v>125</v>
      </c>
      <c r="B127" s="79" t="s">
        <v>490</v>
      </c>
      <c r="C127" s="112" t="s">
        <v>491</v>
      </c>
      <c r="D127" s="79" t="s">
        <v>246</v>
      </c>
      <c r="E127" s="106" t="s">
        <v>257</v>
      </c>
      <c r="F127" s="79">
        <v>10</v>
      </c>
      <c r="G127" s="80" t="s">
        <v>215</v>
      </c>
      <c r="H127" s="123" t="s">
        <v>492</v>
      </c>
    </row>
    <row r="128" spans="1:8" ht="16.5">
      <c r="A128" s="79">
        <v>126</v>
      </c>
      <c r="B128" s="79" t="s">
        <v>493</v>
      </c>
      <c r="C128" s="112" t="s">
        <v>491</v>
      </c>
      <c r="D128" s="79" t="s">
        <v>246</v>
      </c>
      <c r="E128" s="106" t="s">
        <v>257</v>
      </c>
      <c r="F128" s="79">
        <v>10</v>
      </c>
      <c r="G128" s="80" t="s">
        <v>215</v>
      </c>
      <c r="H128" s="123" t="s">
        <v>494</v>
      </c>
    </row>
    <row r="129" spans="1:8" ht="16.5">
      <c r="A129" s="79"/>
      <c r="B129" s="79" t="s">
        <v>495</v>
      </c>
      <c r="C129" s="112" t="s">
        <v>491</v>
      </c>
      <c r="D129" s="79" t="s">
        <v>290</v>
      </c>
      <c r="E129" s="106" t="s">
        <v>373</v>
      </c>
      <c r="F129" s="79">
        <v>8</v>
      </c>
      <c r="G129" s="80" t="s">
        <v>200</v>
      </c>
      <c r="H129" s="123"/>
    </row>
    <row r="130" spans="1:8" ht="16.5">
      <c r="A130" s="79">
        <v>127</v>
      </c>
      <c r="B130" s="79" t="s">
        <v>496</v>
      </c>
      <c r="C130" s="112" t="s">
        <v>497</v>
      </c>
      <c r="D130" s="79" t="s">
        <v>350</v>
      </c>
      <c r="E130" s="106" t="s">
        <v>214</v>
      </c>
      <c r="F130" s="79">
        <v>10</v>
      </c>
      <c r="G130" s="80" t="s">
        <v>215</v>
      </c>
      <c r="H130" s="123" t="s">
        <v>498</v>
      </c>
    </row>
    <row r="131" spans="1:8" ht="16.5">
      <c r="A131" s="79">
        <v>128</v>
      </c>
      <c r="B131" s="79" t="s">
        <v>499</v>
      </c>
      <c r="C131" s="112" t="s">
        <v>500</v>
      </c>
      <c r="D131" s="79" t="s">
        <v>350</v>
      </c>
      <c r="E131" s="106" t="s">
        <v>214</v>
      </c>
      <c r="F131" s="79">
        <v>10</v>
      </c>
      <c r="G131" s="80" t="s">
        <v>215</v>
      </c>
      <c r="H131" s="123" t="s">
        <v>501</v>
      </c>
    </row>
    <row r="132" spans="1:8" ht="16.5">
      <c r="A132" s="79">
        <v>129</v>
      </c>
      <c r="B132" s="79" t="s">
        <v>502</v>
      </c>
      <c r="C132" s="112" t="s">
        <v>503</v>
      </c>
      <c r="D132" s="79" t="s">
        <v>350</v>
      </c>
      <c r="E132" s="106" t="s">
        <v>214</v>
      </c>
      <c r="F132" s="79">
        <v>10</v>
      </c>
      <c r="G132" s="80" t="s">
        <v>215</v>
      </c>
      <c r="H132" s="123" t="s">
        <v>504</v>
      </c>
    </row>
    <row r="133" spans="1:8" ht="16.5">
      <c r="A133" s="79">
        <v>130</v>
      </c>
      <c r="B133" s="84" t="s">
        <v>505</v>
      </c>
      <c r="C133" s="85">
        <v>46143</v>
      </c>
      <c r="D133" s="79" t="s">
        <v>286</v>
      </c>
      <c r="E133" s="106" t="s">
        <v>300</v>
      </c>
      <c r="F133" s="79">
        <v>8</v>
      </c>
      <c r="G133" s="80" t="s">
        <v>200</v>
      </c>
      <c r="H133" s="123"/>
    </row>
    <row r="134" spans="1:8" ht="16.5">
      <c r="A134" s="79">
        <v>131</v>
      </c>
      <c r="B134" s="79" t="s">
        <v>506</v>
      </c>
      <c r="C134" s="112" t="s">
        <v>507</v>
      </c>
      <c r="D134" s="79" t="s">
        <v>350</v>
      </c>
      <c r="E134" s="106" t="s">
        <v>214</v>
      </c>
      <c r="F134" s="79">
        <v>10</v>
      </c>
      <c r="G134" s="80" t="s">
        <v>215</v>
      </c>
      <c r="H134" s="123" t="s">
        <v>501</v>
      </c>
    </row>
    <row r="135" spans="1:8" ht="24.75" customHeight="1">
      <c r="A135" s="79">
        <v>132</v>
      </c>
      <c r="B135" s="79" t="s">
        <v>508</v>
      </c>
      <c r="C135" s="112" t="s">
        <v>509</v>
      </c>
      <c r="D135" s="79" t="s">
        <v>290</v>
      </c>
      <c r="E135" s="106" t="s">
        <v>287</v>
      </c>
      <c r="F135" s="79">
        <v>5</v>
      </c>
      <c r="G135" s="80" t="s">
        <v>200</v>
      </c>
      <c r="H135" s="123" t="s">
        <v>510</v>
      </c>
    </row>
    <row r="136" spans="1:8" ht="16.5">
      <c r="A136" s="79">
        <v>133</v>
      </c>
      <c r="B136" s="79" t="s">
        <v>511</v>
      </c>
      <c r="C136" s="112" t="s">
        <v>512</v>
      </c>
      <c r="D136" s="79" t="s">
        <v>350</v>
      </c>
      <c r="E136" s="106" t="s">
        <v>253</v>
      </c>
      <c r="F136" s="79">
        <v>11</v>
      </c>
      <c r="G136" s="80" t="s">
        <v>215</v>
      </c>
      <c r="H136" s="123" t="s">
        <v>513</v>
      </c>
    </row>
    <row r="137" spans="1:8" ht="16.5">
      <c r="A137" s="79">
        <v>133</v>
      </c>
      <c r="B137" s="79" t="s">
        <v>514</v>
      </c>
      <c r="C137" s="112" t="s">
        <v>512</v>
      </c>
      <c r="D137" s="79" t="s">
        <v>344</v>
      </c>
      <c r="E137" s="106" t="s">
        <v>253</v>
      </c>
      <c r="F137" s="79">
        <v>11</v>
      </c>
      <c r="G137" s="80" t="s">
        <v>215</v>
      </c>
      <c r="H137" s="123" t="s">
        <v>501</v>
      </c>
    </row>
    <row r="138" spans="1:8" ht="24.75" customHeight="1">
      <c r="A138" s="79">
        <v>134</v>
      </c>
      <c r="B138" s="79" t="s">
        <v>515</v>
      </c>
      <c r="C138" s="112" t="s">
        <v>516</v>
      </c>
      <c r="D138" s="79" t="s">
        <v>517</v>
      </c>
      <c r="E138" s="106" t="s">
        <v>304</v>
      </c>
      <c r="F138" s="79" t="s">
        <v>224</v>
      </c>
      <c r="G138" s="80" t="s">
        <v>241</v>
      </c>
      <c r="H138" s="123" t="s">
        <v>518</v>
      </c>
    </row>
    <row r="139" spans="1:8" ht="24.75" customHeight="1">
      <c r="A139" s="79">
        <v>135</v>
      </c>
      <c r="B139" s="79" t="s">
        <v>519</v>
      </c>
      <c r="C139" s="112" t="s">
        <v>520</v>
      </c>
      <c r="D139" s="79" t="s">
        <v>521</v>
      </c>
      <c r="E139" s="106" t="s">
        <v>522</v>
      </c>
      <c r="F139" s="79" t="s">
        <v>230</v>
      </c>
      <c r="G139" s="80" t="s">
        <v>272</v>
      </c>
      <c r="H139" s="123" t="s">
        <v>523</v>
      </c>
    </row>
    <row r="140" spans="1:8" ht="24.75" customHeight="1">
      <c r="A140" s="79">
        <v>136</v>
      </c>
      <c r="B140" s="79" t="s">
        <v>524</v>
      </c>
      <c r="C140" s="112" t="s">
        <v>520</v>
      </c>
      <c r="D140" s="79" t="s">
        <v>344</v>
      </c>
      <c r="E140" s="106" t="s">
        <v>271</v>
      </c>
      <c r="F140" s="79" t="s">
        <v>230</v>
      </c>
      <c r="G140" s="80" t="s">
        <v>272</v>
      </c>
      <c r="H140" s="123" t="s">
        <v>523</v>
      </c>
    </row>
    <row r="141" spans="1:8" ht="24.75" customHeight="1">
      <c r="A141" s="79">
        <v>137</v>
      </c>
      <c r="B141" s="79" t="s">
        <v>525</v>
      </c>
      <c r="C141" s="112" t="s">
        <v>520</v>
      </c>
      <c r="D141" s="79" t="s">
        <v>526</v>
      </c>
      <c r="E141" s="106" t="s">
        <v>271</v>
      </c>
      <c r="F141" s="79" t="s">
        <v>230</v>
      </c>
      <c r="G141" s="80" t="s">
        <v>272</v>
      </c>
      <c r="H141" s="123" t="s">
        <v>523</v>
      </c>
    </row>
    <row r="142" spans="1:8" ht="50.25" customHeight="1">
      <c r="A142" s="79">
        <v>137</v>
      </c>
      <c r="B142" s="79" t="s">
        <v>527</v>
      </c>
      <c r="C142" s="112" t="s">
        <v>520</v>
      </c>
      <c r="D142" s="79" t="s">
        <v>279</v>
      </c>
      <c r="E142" s="106" t="s">
        <v>274</v>
      </c>
      <c r="F142" s="79" t="s">
        <v>230</v>
      </c>
      <c r="G142" s="80" t="s">
        <v>272</v>
      </c>
      <c r="H142" s="123" t="s">
        <v>528</v>
      </c>
    </row>
    <row r="143" spans="1:8" ht="24.75" customHeight="1">
      <c r="A143" s="79">
        <v>138</v>
      </c>
      <c r="B143" s="79" t="s">
        <v>529</v>
      </c>
      <c r="C143" s="112" t="s">
        <v>530</v>
      </c>
      <c r="D143" s="79" t="s">
        <v>426</v>
      </c>
      <c r="E143" s="106" t="s">
        <v>266</v>
      </c>
      <c r="F143" s="79">
        <v>5</v>
      </c>
      <c r="G143" s="80" t="s">
        <v>200</v>
      </c>
      <c r="H143" s="123"/>
    </row>
    <row r="144" spans="1:8" ht="24.75" customHeight="1">
      <c r="A144" s="79">
        <v>139</v>
      </c>
      <c r="B144" s="79" t="s">
        <v>531</v>
      </c>
      <c r="C144" s="112" t="s">
        <v>530</v>
      </c>
      <c r="D144" s="79" t="s">
        <v>532</v>
      </c>
      <c r="E144" s="106" t="s">
        <v>300</v>
      </c>
      <c r="F144" s="79">
        <v>8</v>
      </c>
      <c r="G144" s="80" t="s">
        <v>200</v>
      </c>
      <c r="H144" s="123"/>
    </row>
    <row r="145" spans="1:8" ht="24.75" customHeight="1">
      <c r="A145" s="120">
        <v>140</v>
      </c>
      <c r="B145" s="120" t="s">
        <v>533</v>
      </c>
      <c r="C145" s="121" t="s">
        <v>534</v>
      </c>
      <c r="D145" s="120" t="s">
        <v>246</v>
      </c>
      <c r="E145" s="108" t="s">
        <v>257</v>
      </c>
      <c r="F145" s="120">
        <v>10</v>
      </c>
      <c r="G145" s="122" t="s">
        <v>215</v>
      </c>
      <c r="H145" s="129" t="s">
        <v>535</v>
      </c>
    </row>
    <row r="146" spans="1:8" ht="24.75" customHeight="1">
      <c r="A146" s="79">
        <v>141</v>
      </c>
      <c r="B146" s="120" t="s">
        <v>536</v>
      </c>
      <c r="C146" s="120" t="s">
        <v>534</v>
      </c>
      <c r="D146" s="120" t="s">
        <v>532</v>
      </c>
      <c r="E146" s="108" t="s">
        <v>266</v>
      </c>
      <c r="F146" s="120">
        <v>5</v>
      </c>
      <c r="G146" s="120" t="s">
        <v>200</v>
      </c>
      <c r="H146" s="130"/>
    </row>
    <row r="147" spans="1:8" ht="24.75" customHeight="1">
      <c r="A147" s="80">
        <v>142</v>
      </c>
      <c r="B147" s="79" t="s">
        <v>537</v>
      </c>
      <c r="C147" s="79" t="s">
        <v>534</v>
      </c>
      <c r="D147" s="79" t="s">
        <v>426</v>
      </c>
      <c r="E147" s="106" t="s">
        <v>266</v>
      </c>
      <c r="F147" s="79">
        <v>5</v>
      </c>
      <c r="G147" s="79" t="s">
        <v>200</v>
      </c>
      <c r="H147" s="131"/>
    </row>
    <row r="148" spans="1:8" ht="24.75" customHeight="1">
      <c r="A148" s="79">
        <v>143</v>
      </c>
      <c r="B148" s="124" t="s">
        <v>511</v>
      </c>
      <c r="C148" s="125" t="s">
        <v>538</v>
      </c>
      <c r="D148" s="124" t="s">
        <v>246</v>
      </c>
      <c r="E148" s="126" t="s">
        <v>253</v>
      </c>
      <c r="F148" s="124">
        <v>11</v>
      </c>
      <c r="G148" s="124" t="s">
        <v>215</v>
      </c>
      <c r="H148" s="132" t="s">
        <v>539</v>
      </c>
    </row>
    <row r="149" spans="1:8" ht="24.75" customHeight="1">
      <c r="A149" s="79">
        <v>144</v>
      </c>
      <c r="B149" s="79" t="s">
        <v>540</v>
      </c>
      <c r="C149" s="112" t="s">
        <v>538</v>
      </c>
      <c r="D149" s="79" t="s">
        <v>532</v>
      </c>
      <c r="E149" s="106" t="s">
        <v>209</v>
      </c>
      <c r="F149" s="79">
        <v>8</v>
      </c>
      <c r="G149" s="80" t="s">
        <v>200</v>
      </c>
      <c r="H149" s="132"/>
    </row>
    <row r="150" spans="1:8" ht="24.75" customHeight="1">
      <c r="A150" s="79">
        <v>145</v>
      </c>
      <c r="B150" s="79" t="s">
        <v>541</v>
      </c>
      <c r="C150" s="112" t="s">
        <v>538</v>
      </c>
      <c r="D150" s="79" t="s">
        <v>426</v>
      </c>
      <c r="E150" s="106" t="s">
        <v>300</v>
      </c>
      <c r="F150" s="79">
        <v>8</v>
      </c>
      <c r="G150" s="80" t="s">
        <v>200</v>
      </c>
      <c r="H150" s="132"/>
    </row>
    <row r="151" spans="1:8" ht="24.75" customHeight="1">
      <c r="A151" s="79">
        <v>146</v>
      </c>
      <c r="B151" s="79" t="s">
        <v>542</v>
      </c>
      <c r="C151" s="112" t="s">
        <v>543</v>
      </c>
      <c r="D151" s="79" t="s">
        <v>350</v>
      </c>
      <c r="E151" s="106" t="s">
        <v>287</v>
      </c>
      <c r="F151" s="79">
        <v>5</v>
      </c>
      <c r="G151" s="80" t="s">
        <v>200</v>
      </c>
      <c r="H151" s="132"/>
    </row>
    <row r="152" spans="1:8" ht="24.75" customHeight="1">
      <c r="A152" s="79">
        <v>147</v>
      </c>
      <c r="B152" s="124" t="s">
        <v>544</v>
      </c>
      <c r="C152" s="125" t="s">
        <v>545</v>
      </c>
      <c r="D152" s="124" t="s">
        <v>392</v>
      </c>
      <c r="E152" s="126" t="s">
        <v>373</v>
      </c>
      <c r="F152" s="124">
        <v>8</v>
      </c>
      <c r="G152" s="80" t="s">
        <v>200</v>
      </c>
      <c r="H152" s="132"/>
    </row>
    <row r="153" spans="1:8" ht="24.75" customHeight="1">
      <c r="A153" s="79">
        <v>148</v>
      </c>
      <c r="B153" s="124" t="s">
        <v>546</v>
      </c>
      <c r="C153" s="125" t="s">
        <v>545</v>
      </c>
      <c r="D153" s="124" t="s">
        <v>547</v>
      </c>
      <c r="E153" s="126" t="s">
        <v>373</v>
      </c>
      <c r="F153" s="124">
        <v>8</v>
      </c>
      <c r="G153" s="80" t="s">
        <v>200</v>
      </c>
      <c r="H153" s="132"/>
    </row>
    <row r="154" spans="1:8" ht="31.5" customHeight="1">
      <c r="A154" s="79">
        <v>149</v>
      </c>
      <c r="B154" s="124" t="s">
        <v>548</v>
      </c>
      <c r="C154" s="125" t="s">
        <v>549</v>
      </c>
      <c r="D154" s="124" t="s">
        <v>246</v>
      </c>
      <c r="E154" s="126" t="s">
        <v>253</v>
      </c>
      <c r="F154" s="124">
        <v>11</v>
      </c>
      <c r="G154" s="124" t="s">
        <v>215</v>
      </c>
      <c r="H154" s="132" t="s">
        <v>550</v>
      </c>
    </row>
    <row r="155" spans="1:8" ht="31.5" customHeight="1">
      <c r="A155" s="79">
        <v>150</v>
      </c>
      <c r="B155" s="79" t="s">
        <v>551</v>
      </c>
      <c r="C155" s="112" t="s">
        <v>549</v>
      </c>
      <c r="D155" s="79" t="s">
        <v>552</v>
      </c>
      <c r="E155" s="106" t="s">
        <v>257</v>
      </c>
      <c r="F155" s="79">
        <v>10</v>
      </c>
      <c r="G155" s="79" t="s">
        <v>215</v>
      </c>
      <c r="H155" s="135"/>
    </row>
    <row r="156" spans="1:8" ht="24.75" customHeight="1">
      <c r="A156" s="79">
        <v>151</v>
      </c>
      <c r="B156" s="120" t="s">
        <v>553</v>
      </c>
      <c r="C156" s="112">
        <v>46055</v>
      </c>
      <c r="D156" s="120" t="s">
        <v>286</v>
      </c>
      <c r="E156" s="108" t="s">
        <v>199</v>
      </c>
      <c r="F156" s="120">
        <v>5</v>
      </c>
      <c r="G156" s="79" t="s">
        <v>200</v>
      </c>
      <c r="H156" s="135"/>
    </row>
    <row r="157" spans="1:8" ht="24.75" customHeight="1">
      <c r="A157" s="79">
        <v>152</v>
      </c>
      <c r="B157" s="79" t="s">
        <v>554</v>
      </c>
      <c r="C157" s="112" t="s">
        <v>555</v>
      </c>
      <c r="D157" s="79" t="s">
        <v>290</v>
      </c>
      <c r="E157" s="134" t="s">
        <v>373</v>
      </c>
      <c r="F157" s="80">
        <v>8</v>
      </c>
      <c r="G157" s="79" t="s">
        <v>200</v>
      </c>
      <c r="H157" s="135"/>
    </row>
    <row r="158" spans="1:8" ht="24.75" customHeight="1">
      <c r="A158" s="79">
        <v>153</v>
      </c>
      <c r="B158" s="79" t="s">
        <v>556</v>
      </c>
      <c r="C158" s="112" t="s">
        <v>557</v>
      </c>
      <c r="D158" s="79" t="s">
        <v>286</v>
      </c>
      <c r="E158" s="134" t="s">
        <v>300</v>
      </c>
      <c r="F158" s="80">
        <v>8</v>
      </c>
      <c r="G158" s="79" t="s">
        <v>200</v>
      </c>
      <c r="H158" s="135"/>
    </row>
    <row r="159" spans="1:8" ht="32.25" customHeight="1">
      <c r="A159" s="79">
        <v>154</v>
      </c>
      <c r="B159" s="79" t="s">
        <v>558</v>
      </c>
      <c r="C159" s="112" t="s">
        <v>559</v>
      </c>
      <c r="D159" s="79" t="s">
        <v>344</v>
      </c>
      <c r="E159" s="106" t="s">
        <v>560</v>
      </c>
      <c r="F159" s="87" t="s">
        <v>413</v>
      </c>
      <c r="G159" s="79" t="s">
        <v>215</v>
      </c>
      <c r="H159" s="135" t="s">
        <v>561</v>
      </c>
    </row>
    <row r="160" spans="1:8" ht="60" customHeight="1">
      <c r="A160" s="79">
        <v>155</v>
      </c>
      <c r="B160" s="79" t="s">
        <v>562</v>
      </c>
      <c r="C160" s="112" t="s">
        <v>563</v>
      </c>
      <c r="D160" s="79" t="s">
        <v>246</v>
      </c>
      <c r="E160" s="106" t="s">
        <v>214</v>
      </c>
      <c r="F160" s="87" t="s">
        <v>434</v>
      </c>
      <c r="G160" s="79" t="s">
        <v>215</v>
      </c>
      <c r="H160" s="135" t="s">
        <v>564</v>
      </c>
    </row>
    <row r="161" spans="1:8" ht="60" customHeight="1">
      <c r="A161" s="79">
        <v>156</v>
      </c>
      <c r="B161" s="120" t="s">
        <v>565</v>
      </c>
      <c r="C161" s="121" t="s">
        <v>566</v>
      </c>
      <c r="D161" s="120" t="s">
        <v>246</v>
      </c>
      <c r="E161" s="108" t="s">
        <v>234</v>
      </c>
      <c r="F161" s="136" t="s">
        <v>434</v>
      </c>
      <c r="G161" s="120" t="s">
        <v>215</v>
      </c>
      <c r="H161" s="137" t="s">
        <v>567</v>
      </c>
    </row>
    <row r="162" spans="1:8" ht="24.75" customHeight="1">
      <c r="A162" s="80">
        <v>157</v>
      </c>
      <c r="B162" s="79" t="s">
        <v>568</v>
      </c>
      <c r="C162" s="79" t="s">
        <v>569</v>
      </c>
      <c r="D162" s="79" t="s">
        <v>392</v>
      </c>
      <c r="E162" s="106" t="s">
        <v>209</v>
      </c>
      <c r="F162" s="79">
        <v>8</v>
      </c>
      <c r="G162" s="79" t="s">
        <v>200</v>
      </c>
      <c r="H162" s="131"/>
    </row>
    <row r="163" spans="1:8" ht="24.75" customHeight="1">
      <c r="A163" s="122">
        <v>158</v>
      </c>
      <c r="B163" s="120" t="s">
        <v>570</v>
      </c>
      <c r="C163" s="138">
        <v>46084</v>
      </c>
      <c r="D163" s="120" t="s">
        <v>246</v>
      </c>
      <c r="E163" s="108" t="s">
        <v>300</v>
      </c>
      <c r="F163" s="120">
        <v>8</v>
      </c>
      <c r="G163" s="120" t="s">
        <v>200</v>
      </c>
      <c r="H163" s="130"/>
    </row>
    <row r="164" spans="1:8" ht="24.75" customHeight="1">
      <c r="A164" s="79">
        <v>159</v>
      </c>
      <c r="B164" s="79" t="s">
        <v>571</v>
      </c>
      <c r="C164" s="112" t="s">
        <v>572</v>
      </c>
      <c r="D164" s="79" t="s">
        <v>552</v>
      </c>
      <c r="E164" s="106"/>
      <c r="F164" s="87" t="s">
        <v>434</v>
      </c>
      <c r="G164" s="79" t="s">
        <v>215</v>
      </c>
      <c r="H164" s="123" t="s">
        <v>573</v>
      </c>
    </row>
    <row r="165" spans="1:8" ht="24.75" customHeight="1">
      <c r="A165" s="122">
        <v>160</v>
      </c>
      <c r="B165" s="120" t="s">
        <v>571</v>
      </c>
      <c r="C165" s="121" t="s">
        <v>572</v>
      </c>
      <c r="D165" s="120" t="s">
        <v>574</v>
      </c>
      <c r="E165" s="108"/>
      <c r="F165" s="136" t="s">
        <v>418</v>
      </c>
      <c r="G165" s="120" t="s">
        <v>215</v>
      </c>
      <c r="H165" s="129" t="s">
        <v>573</v>
      </c>
    </row>
    <row r="166" spans="1:8" ht="24.75" customHeight="1">
      <c r="A166" s="79">
        <v>161</v>
      </c>
      <c r="B166" s="79" t="s">
        <v>575</v>
      </c>
      <c r="C166" s="121" t="s">
        <v>572</v>
      </c>
      <c r="D166" s="79" t="s">
        <v>249</v>
      </c>
      <c r="E166" s="106" t="s">
        <v>576</v>
      </c>
      <c r="F166" s="79">
        <v>8</v>
      </c>
      <c r="G166" s="79" t="s">
        <v>200</v>
      </c>
      <c r="H166" s="131" t="s">
        <v>577</v>
      </c>
    </row>
    <row r="167" spans="1:8" ht="24.75" customHeight="1">
      <c r="A167" s="79">
        <v>163</v>
      </c>
      <c r="B167" s="79" t="s">
        <v>578</v>
      </c>
      <c r="C167" s="85">
        <v>46115</v>
      </c>
      <c r="D167" s="79" t="s">
        <v>579</v>
      </c>
      <c r="E167" s="106" t="s">
        <v>522</v>
      </c>
      <c r="F167" s="79" t="s">
        <v>230</v>
      </c>
      <c r="G167" s="79" t="s">
        <v>272</v>
      </c>
      <c r="H167" s="131" t="s">
        <v>580</v>
      </c>
    </row>
    <row r="168" spans="1:8" ht="24.75" customHeight="1">
      <c r="A168" s="79">
        <v>164</v>
      </c>
      <c r="B168" s="79" t="s">
        <v>581</v>
      </c>
      <c r="C168" s="85">
        <v>46115</v>
      </c>
      <c r="D168" s="79" t="s">
        <v>582</v>
      </c>
      <c r="E168" s="106" t="s">
        <v>522</v>
      </c>
      <c r="F168" s="79" t="s">
        <v>230</v>
      </c>
      <c r="G168" s="79" t="s">
        <v>272</v>
      </c>
      <c r="H168" s="131" t="s">
        <v>577</v>
      </c>
    </row>
    <row r="169" spans="1:8" ht="24.75" customHeight="1">
      <c r="A169" s="79">
        <v>165</v>
      </c>
      <c r="B169" s="79" t="s">
        <v>583</v>
      </c>
      <c r="C169" s="85">
        <v>46145</v>
      </c>
      <c r="D169" s="79" t="s">
        <v>579</v>
      </c>
      <c r="E169" s="106" t="s">
        <v>522</v>
      </c>
      <c r="F169" s="79" t="s">
        <v>230</v>
      </c>
      <c r="G169" s="79" t="s">
        <v>272</v>
      </c>
      <c r="H169" s="131"/>
    </row>
    <row r="170" spans="1:8" ht="24.75" customHeight="1">
      <c r="A170" s="79">
        <v>167</v>
      </c>
      <c r="B170" s="79" t="s">
        <v>584</v>
      </c>
      <c r="C170" s="139" t="s">
        <v>585</v>
      </c>
      <c r="D170" s="79" t="s">
        <v>586</v>
      </c>
      <c r="E170" s="106" t="s">
        <v>587</v>
      </c>
      <c r="F170" s="87" t="s">
        <v>588</v>
      </c>
      <c r="G170" s="79" t="s">
        <v>324</v>
      </c>
      <c r="H170" s="130" t="s">
        <v>589</v>
      </c>
    </row>
    <row r="171" spans="1:8" ht="24.75" customHeight="1">
      <c r="A171" s="79">
        <v>168</v>
      </c>
      <c r="B171" s="120" t="s">
        <v>590</v>
      </c>
      <c r="C171" s="140" t="s">
        <v>585</v>
      </c>
      <c r="D171" s="120" t="s">
        <v>586</v>
      </c>
      <c r="E171" s="108" t="s">
        <v>587</v>
      </c>
      <c r="F171" s="136" t="s">
        <v>588</v>
      </c>
      <c r="G171" s="122" t="s">
        <v>324</v>
      </c>
      <c r="H171" s="131" t="s">
        <v>591</v>
      </c>
    </row>
    <row r="172" spans="1:8" ht="24.75" customHeight="1">
      <c r="A172" s="79"/>
      <c r="B172" s="79" t="s">
        <v>592</v>
      </c>
      <c r="C172" s="121">
        <v>46298</v>
      </c>
      <c r="D172" s="79" t="s">
        <v>426</v>
      </c>
      <c r="E172" s="106" t="s">
        <v>593</v>
      </c>
      <c r="F172" s="79">
        <v>5</v>
      </c>
      <c r="G172" s="79" t="s">
        <v>200</v>
      </c>
      <c r="H172" s="131" t="s">
        <v>594</v>
      </c>
    </row>
    <row r="173" spans="1:8" ht="24.75" customHeight="1">
      <c r="A173" s="79">
        <v>166</v>
      </c>
      <c r="B173" s="79" t="s">
        <v>595</v>
      </c>
      <c r="C173" s="85">
        <v>46329</v>
      </c>
      <c r="D173" s="120" t="s">
        <v>596</v>
      </c>
      <c r="E173" s="106" t="s">
        <v>234</v>
      </c>
      <c r="F173" s="79">
        <v>10</v>
      </c>
      <c r="G173" s="79" t="s">
        <v>215</v>
      </c>
      <c r="H173" s="131" t="s">
        <v>597</v>
      </c>
    </row>
    <row r="174" spans="1:8" ht="24.75" customHeight="1">
      <c r="A174" s="79">
        <v>169</v>
      </c>
      <c r="B174" s="79" t="s">
        <v>598</v>
      </c>
      <c r="C174" s="85">
        <v>46359</v>
      </c>
      <c r="D174" s="79" t="s">
        <v>290</v>
      </c>
      <c r="E174" s="106" t="s">
        <v>209</v>
      </c>
      <c r="F174" s="79">
        <v>8</v>
      </c>
      <c r="G174" s="79" t="s">
        <v>200</v>
      </c>
      <c r="H174" s="141" t="s">
        <v>599</v>
      </c>
    </row>
    <row r="175" spans="1:8" ht="24.75" customHeight="1">
      <c r="A175" s="79">
        <v>171</v>
      </c>
      <c r="B175" s="79" t="s">
        <v>600</v>
      </c>
      <c r="C175" s="85" t="s">
        <v>601</v>
      </c>
      <c r="D175" s="79" t="s">
        <v>286</v>
      </c>
      <c r="E175" s="106" t="s">
        <v>373</v>
      </c>
      <c r="F175" s="79">
        <v>8</v>
      </c>
      <c r="G175" s="79" t="s">
        <v>200</v>
      </c>
      <c r="H175" s="141" t="s">
        <v>602</v>
      </c>
    </row>
    <row r="176" spans="1:8" ht="24.75" customHeight="1">
      <c r="A176" s="79">
        <v>172</v>
      </c>
      <c r="B176" s="79" t="s">
        <v>603</v>
      </c>
      <c r="C176" s="85" t="s">
        <v>604</v>
      </c>
      <c r="D176" s="120" t="s">
        <v>286</v>
      </c>
      <c r="E176" s="106" t="s">
        <v>266</v>
      </c>
      <c r="F176" s="79">
        <v>5</v>
      </c>
      <c r="G176" s="79" t="s">
        <v>200</v>
      </c>
      <c r="H176" s="141" t="s">
        <v>605</v>
      </c>
    </row>
    <row r="177" spans="1:8" ht="24.75" customHeight="1">
      <c r="A177" s="79">
        <v>173</v>
      </c>
      <c r="B177" s="120" t="s">
        <v>606</v>
      </c>
      <c r="C177" s="142" t="s">
        <v>607</v>
      </c>
      <c r="D177" s="120" t="s">
        <v>236</v>
      </c>
      <c r="E177" s="143" t="s">
        <v>214</v>
      </c>
      <c r="F177" s="120">
        <v>10</v>
      </c>
      <c r="G177" s="120" t="s">
        <v>215</v>
      </c>
      <c r="H177" s="130" t="s">
        <v>608</v>
      </c>
    </row>
    <row r="178" spans="1:8" ht="24.75" customHeight="1">
      <c r="A178" s="79">
        <v>173</v>
      </c>
      <c r="B178" s="120" t="s">
        <v>609</v>
      </c>
      <c r="C178" s="142" t="s">
        <v>610</v>
      </c>
      <c r="D178" s="120" t="s">
        <v>236</v>
      </c>
      <c r="E178" s="143" t="s">
        <v>257</v>
      </c>
      <c r="F178" s="120">
        <v>10</v>
      </c>
      <c r="G178" s="120" t="s">
        <v>215</v>
      </c>
      <c r="H178" s="130" t="s">
        <v>611</v>
      </c>
    </row>
    <row r="179" spans="1:8" ht="24.75" customHeight="1">
      <c r="A179" s="80">
        <v>175</v>
      </c>
      <c r="B179" s="79" t="s">
        <v>612</v>
      </c>
      <c r="C179" s="85">
        <v>46269</v>
      </c>
      <c r="D179" s="120" t="s">
        <v>286</v>
      </c>
      <c r="E179" s="106" t="s">
        <v>300</v>
      </c>
      <c r="F179" s="79">
        <v>8</v>
      </c>
      <c r="G179" s="79" t="s">
        <v>200</v>
      </c>
      <c r="H179" s="131" t="s">
        <v>613</v>
      </c>
    </row>
    <row r="180" spans="1:8" ht="24.75" customHeight="1">
      <c r="A180" s="80">
        <v>176</v>
      </c>
      <c r="B180" s="79" t="s">
        <v>614</v>
      </c>
      <c r="C180" s="121" t="s">
        <v>615</v>
      </c>
      <c r="D180" s="120" t="s">
        <v>350</v>
      </c>
      <c r="E180" s="106" t="s">
        <v>253</v>
      </c>
      <c r="F180" s="136" t="s">
        <v>418</v>
      </c>
      <c r="G180" s="120" t="s">
        <v>215</v>
      </c>
      <c r="H180" s="129"/>
    </row>
    <row r="181" spans="1:8" ht="43.5" customHeight="1">
      <c r="A181" s="80">
        <v>177</v>
      </c>
      <c r="B181" s="79" t="s">
        <v>616</v>
      </c>
      <c r="C181" s="121" t="s">
        <v>615</v>
      </c>
      <c r="D181" s="120"/>
      <c r="E181" s="106" t="s">
        <v>253</v>
      </c>
      <c r="F181" s="136" t="s">
        <v>418</v>
      </c>
      <c r="G181" s="120" t="s">
        <v>215</v>
      </c>
      <c r="H181" s="131" t="s">
        <v>617</v>
      </c>
    </row>
    <row r="182" spans="1:8" ht="24.75" customHeight="1">
      <c r="A182" s="80">
        <v>178</v>
      </c>
      <c r="B182" s="79" t="s">
        <v>618</v>
      </c>
      <c r="C182" s="79" t="s">
        <v>619</v>
      </c>
      <c r="D182" s="120" t="s">
        <v>586</v>
      </c>
      <c r="E182" s="106" t="s">
        <v>373</v>
      </c>
      <c r="F182" s="79">
        <v>8</v>
      </c>
      <c r="G182" s="79" t="s">
        <v>200</v>
      </c>
      <c r="H182" s="131" t="s">
        <v>620</v>
      </c>
    </row>
    <row r="183" spans="1:8" ht="24.75" customHeight="1">
      <c r="A183" s="80">
        <v>179</v>
      </c>
      <c r="B183" s="79" t="s">
        <v>621</v>
      </c>
      <c r="C183" s="121" t="s">
        <v>622</v>
      </c>
      <c r="D183" s="120"/>
      <c r="E183" s="106" t="s">
        <v>253</v>
      </c>
      <c r="F183" s="136" t="s">
        <v>418</v>
      </c>
      <c r="G183" s="120" t="s">
        <v>215</v>
      </c>
      <c r="H183" s="130"/>
    </row>
    <row r="184" spans="1:8" ht="24.75" customHeight="1">
      <c r="A184" s="80">
        <v>180</v>
      </c>
      <c r="B184" s="120" t="s">
        <v>623</v>
      </c>
      <c r="C184" s="142" t="s">
        <v>622</v>
      </c>
      <c r="D184" s="120"/>
      <c r="E184" s="143" t="s">
        <v>257</v>
      </c>
      <c r="F184" s="120">
        <v>10</v>
      </c>
      <c r="G184" s="120" t="s">
        <v>215</v>
      </c>
      <c r="H184" s="130"/>
    </row>
  </sheetData>
  <autoFilter ref="A1:H151" xr:uid="{1D16F08A-A6BA-4542-83CB-E029EC4D434D}"/>
  <sortState xmlns:xlrd2="http://schemas.microsoft.com/office/spreadsheetml/2017/richdata2" ref="A2:H134">
    <sortCondition ref="A2:A13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69DA-69D0-4FDB-A887-0BF3462AFAB6}">
  <sheetPr filterMode="1"/>
  <dimension ref="A1:I106"/>
  <sheetViews>
    <sheetView workbookViewId="0">
      <pane ySplit="4" topLeftCell="A38" activePane="bottomLeft" state="frozen"/>
      <selection pane="bottomLeft" activeCell="D38" sqref="D38"/>
    </sheetView>
  </sheetViews>
  <sheetFormatPr defaultColWidth="9" defaultRowHeight="14.25"/>
  <cols>
    <col min="1" max="1" width="3.875" style="2" bestFit="1" customWidth="1"/>
    <col min="2" max="2" width="22.125" style="2" customWidth="1"/>
    <col min="3" max="3" width="20.5" style="2" customWidth="1"/>
    <col min="4" max="4" width="11" style="2" customWidth="1"/>
    <col min="5" max="5" width="20.875" style="2" customWidth="1"/>
    <col min="6" max="6" width="24.75" style="2" customWidth="1"/>
    <col min="7" max="7" width="18.625" style="2" customWidth="1"/>
    <col min="8" max="8" width="12.875" style="2" customWidth="1"/>
    <col min="9" max="9" width="17.5" style="2" customWidth="1"/>
    <col min="10" max="16384" width="9" style="2"/>
  </cols>
  <sheetData>
    <row r="1" spans="1:9" ht="28.5" customHeight="1">
      <c r="A1" s="227" t="s">
        <v>624</v>
      </c>
      <c r="B1" s="227"/>
      <c r="C1" s="227"/>
      <c r="D1" s="227"/>
      <c r="E1" s="227"/>
      <c r="F1" s="227"/>
      <c r="G1" s="227"/>
      <c r="H1" s="227"/>
      <c r="I1" s="227"/>
    </row>
    <row r="2" spans="1:9" s="101" customFormat="1" ht="15" customHeight="1">
      <c r="A2" s="100" t="s">
        <v>625</v>
      </c>
      <c r="B2" s="100" t="s">
        <v>625</v>
      </c>
      <c r="C2" s="100" t="s">
        <v>625</v>
      </c>
      <c r="D2" s="100" t="s">
        <v>625</v>
      </c>
      <c r="E2" s="100" t="s">
        <v>625</v>
      </c>
      <c r="F2" s="100" t="s">
        <v>625</v>
      </c>
      <c r="G2" s="228" t="s">
        <v>626</v>
      </c>
      <c r="H2" s="228"/>
      <c r="I2" s="228"/>
    </row>
    <row r="3" spans="1:9" s="81" customFormat="1" ht="57">
      <c r="A3" s="94" t="s">
        <v>184</v>
      </c>
      <c r="B3" s="95" t="s">
        <v>627</v>
      </c>
      <c r="C3" s="95" t="s">
        <v>628</v>
      </c>
      <c r="D3" s="95" t="s">
        <v>629</v>
      </c>
      <c r="E3" s="95" t="s">
        <v>630</v>
      </c>
      <c r="F3" s="95" t="s">
        <v>631</v>
      </c>
      <c r="G3" s="95" t="s">
        <v>632</v>
      </c>
      <c r="H3" s="95" t="s">
        <v>189</v>
      </c>
      <c r="I3" s="95" t="s">
        <v>633</v>
      </c>
    </row>
    <row r="4" spans="1:9">
      <c r="A4" s="96" t="s">
        <v>625</v>
      </c>
      <c r="B4" s="91" t="s">
        <v>625</v>
      </c>
      <c r="C4" s="91" t="s">
        <v>625</v>
      </c>
      <c r="D4" s="91" t="s">
        <v>625</v>
      </c>
      <c r="E4" s="91" t="s">
        <v>625</v>
      </c>
      <c r="F4" s="91" t="s">
        <v>625</v>
      </c>
      <c r="G4" s="91" t="s">
        <v>625</v>
      </c>
      <c r="H4" s="91" t="s">
        <v>625</v>
      </c>
      <c r="I4" s="91" t="s">
        <v>625</v>
      </c>
    </row>
    <row r="5" spans="1:9" ht="45" hidden="1">
      <c r="A5" s="93">
        <v>1</v>
      </c>
      <c r="B5" s="89" t="s">
        <v>634</v>
      </c>
      <c r="C5" s="89" t="s">
        <v>635</v>
      </c>
      <c r="D5" s="97" t="s">
        <v>636</v>
      </c>
      <c r="E5" s="89" t="s">
        <v>637</v>
      </c>
      <c r="F5" s="89" t="s">
        <v>638</v>
      </c>
      <c r="G5"/>
      <c r="H5" s="89" t="s">
        <v>625</v>
      </c>
      <c r="I5" s="89" t="s">
        <v>639</v>
      </c>
    </row>
    <row r="6" spans="1:9" ht="30" hidden="1">
      <c r="A6" s="93">
        <v>2</v>
      </c>
      <c r="B6" s="89" t="s">
        <v>640</v>
      </c>
      <c r="C6" s="89" t="s">
        <v>641</v>
      </c>
      <c r="D6" s="97" t="s">
        <v>636</v>
      </c>
      <c r="E6" s="89" t="s">
        <v>637</v>
      </c>
      <c r="F6" s="89" t="s">
        <v>638</v>
      </c>
      <c r="G6" s="89" t="s">
        <v>625</v>
      </c>
      <c r="H6" s="89" t="s">
        <v>625</v>
      </c>
      <c r="I6" s="89" t="s">
        <v>639</v>
      </c>
    </row>
    <row r="7" spans="1:9" ht="45" hidden="1">
      <c r="A7" s="93">
        <v>3</v>
      </c>
      <c r="B7" s="89" t="s">
        <v>642</v>
      </c>
      <c r="C7" s="89" t="s">
        <v>643</v>
      </c>
      <c r="D7" s="97" t="s">
        <v>636</v>
      </c>
      <c r="E7" s="89" t="s">
        <v>637</v>
      </c>
      <c r="F7" s="89" t="s">
        <v>638</v>
      </c>
      <c r="G7" s="89" t="s">
        <v>625</v>
      </c>
      <c r="H7" s="89" t="s">
        <v>625</v>
      </c>
      <c r="I7" s="89" t="s">
        <v>639</v>
      </c>
    </row>
    <row r="8" spans="1:9" ht="30" hidden="1">
      <c r="A8" s="93">
        <v>4</v>
      </c>
      <c r="B8" s="89" t="s">
        <v>644</v>
      </c>
      <c r="C8" s="89" t="s">
        <v>645</v>
      </c>
      <c r="D8" s="97" t="s">
        <v>636</v>
      </c>
      <c r="E8" s="89" t="s">
        <v>637</v>
      </c>
      <c r="F8" s="89" t="s">
        <v>638</v>
      </c>
      <c r="G8" s="89" t="s">
        <v>625</v>
      </c>
      <c r="H8" s="89" t="s">
        <v>625</v>
      </c>
      <c r="I8" s="89" t="s">
        <v>639</v>
      </c>
    </row>
    <row r="9" spans="1:9" ht="30" hidden="1">
      <c r="A9" s="93">
        <v>5</v>
      </c>
      <c r="B9" s="89" t="s">
        <v>646</v>
      </c>
      <c r="C9" s="89" t="s">
        <v>647</v>
      </c>
      <c r="D9" s="97" t="s">
        <v>636</v>
      </c>
      <c r="E9" s="89" t="s">
        <v>648</v>
      </c>
      <c r="F9" s="89" t="s">
        <v>638</v>
      </c>
      <c r="G9" s="89" t="s">
        <v>625</v>
      </c>
      <c r="H9" s="89" t="s">
        <v>649</v>
      </c>
      <c r="I9" s="89" t="s">
        <v>650</v>
      </c>
    </row>
    <row r="10" spans="1:9" ht="60" hidden="1">
      <c r="A10" s="93">
        <v>6</v>
      </c>
      <c r="B10" s="89" t="s">
        <v>651</v>
      </c>
      <c r="C10" s="89" t="s">
        <v>652</v>
      </c>
      <c r="D10" s="97" t="s">
        <v>636</v>
      </c>
      <c r="E10" s="89" t="s">
        <v>648</v>
      </c>
      <c r="F10" s="89" t="s">
        <v>638</v>
      </c>
      <c r="G10" s="89" t="s">
        <v>625</v>
      </c>
      <c r="H10" s="89" t="s">
        <v>649</v>
      </c>
      <c r="I10" s="89" t="s">
        <v>650</v>
      </c>
    </row>
    <row r="11" spans="1:9" ht="30" hidden="1">
      <c r="A11" s="93">
        <v>7</v>
      </c>
      <c r="B11" s="89" t="s">
        <v>653</v>
      </c>
      <c r="C11" s="89" t="s">
        <v>654</v>
      </c>
      <c r="D11" s="97" t="s">
        <v>636</v>
      </c>
      <c r="E11" s="89" t="s">
        <v>648</v>
      </c>
      <c r="F11" s="89" t="s">
        <v>638</v>
      </c>
      <c r="G11" s="89" t="s">
        <v>625</v>
      </c>
      <c r="H11" s="89" t="s">
        <v>649</v>
      </c>
      <c r="I11" s="89" t="s">
        <v>650</v>
      </c>
    </row>
    <row r="12" spans="1:9" ht="30" hidden="1">
      <c r="A12" s="93">
        <v>8</v>
      </c>
      <c r="B12" s="89" t="s">
        <v>655</v>
      </c>
      <c r="C12" s="89" t="s">
        <v>656</v>
      </c>
      <c r="D12" s="97" t="s">
        <v>636</v>
      </c>
      <c r="E12" s="89" t="s">
        <v>648</v>
      </c>
      <c r="F12" s="89" t="s">
        <v>638</v>
      </c>
      <c r="G12" s="89" t="s">
        <v>625</v>
      </c>
      <c r="H12" s="89" t="s">
        <v>649</v>
      </c>
      <c r="I12" s="89" t="s">
        <v>650</v>
      </c>
    </row>
    <row r="13" spans="1:9" ht="15" hidden="1">
      <c r="A13" s="93">
        <v>9</v>
      </c>
      <c r="B13" s="89" t="s">
        <v>657</v>
      </c>
      <c r="C13" s="89" t="s">
        <v>658</v>
      </c>
      <c r="D13" s="97" t="s">
        <v>636</v>
      </c>
      <c r="E13" s="89" t="s">
        <v>648</v>
      </c>
      <c r="F13" s="89" t="s">
        <v>638</v>
      </c>
      <c r="G13" s="89" t="s">
        <v>625</v>
      </c>
      <c r="H13" s="89" t="s">
        <v>649</v>
      </c>
      <c r="I13" s="89" t="s">
        <v>650</v>
      </c>
    </row>
    <row r="14" spans="1:9" ht="45" hidden="1">
      <c r="A14" s="93">
        <v>10</v>
      </c>
      <c r="B14" s="89" t="s">
        <v>659</v>
      </c>
      <c r="C14" s="89" t="s">
        <v>660</v>
      </c>
      <c r="D14" s="97" t="s">
        <v>636</v>
      </c>
      <c r="E14" s="89" t="s">
        <v>648</v>
      </c>
      <c r="F14" s="89" t="s">
        <v>638</v>
      </c>
      <c r="G14" s="89" t="s">
        <v>625</v>
      </c>
      <c r="H14" s="89" t="s">
        <v>649</v>
      </c>
      <c r="I14" s="89" t="s">
        <v>661</v>
      </c>
    </row>
    <row r="15" spans="1:9" ht="75" hidden="1">
      <c r="A15" s="93">
        <v>11</v>
      </c>
      <c r="B15" s="89" t="s">
        <v>662</v>
      </c>
      <c r="C15" s="89" t="s">
        <v>663</v>
      </c>
      <c r="D15" s="97" t="s">
        <v>636</v>
      </c>
      <c r="E15" s="90" t="s">
        <v>664</v>
      </c>
      <c r="F15" s="89" t="s">
        <v>638</v>
      </c>
      <c r="G15" s="89" t="s">
        <v>625</v>
      </c>
      <c r="H15" s="89" t="s">
        <v>625</v>
      </c>
      <c r="I15" s="89" t="s">
        <v>661</v>
      </c>
    </row>
    <row r="16" spans="1:9" ht="75" hidden="1">
      <c r="A16" s="93">
        <v>12</v>
      </c>
      <c r="B16" s="89" t="s">
        <v>665</v>
      </c>
      <c r="C16" s="89" t="s">
        <v>666</v>
      </c>
      <c r="D16" s="97" t="s">
        <v>636</v>
      </c>
      <c r="E16" s="90" t="s">
        <v>667</v>
      </c>
      <c r="F16" s="89" t="s">
        <v>638</v>
      </c>
      <c r="G16" s="89" t="s">
        <v>625</v>
      </c>
      <c r="H16" s="89" t="s">
        <v>625</v>
      </c>
      <c r="I16" s="89" t="s">
        <v>625</v>
      </c>
    </row>
    <row r="17" spans="1:9" ht="30">
      <c r="A17" s="93">
        <v>13</v>
      </c>
      <c r="B17" s="89" t="s">
        <v>296</v>
      </c>
      <c r="C17" s="89" t="s">
        <v>668</v>
      </c>
      <c r="D17" s="97" t="s">
        <v>669</v>
      </c>
      <c r="E17" s="89" t="s">
        <v>670</v>
      </c>
      <c r="F17" s="89" t="s">
        <v>638</v>
      </c>
      <c r="G17" s="89" t="s">
        <v>671</v>
      </c>
      <c r="H17" s="89" t="s">
        <v>649</v>
      </c>
      <c r="I17" s="89" t="s">
        <v>625</v>
      </c>
    </row>
    <row r="18" spans="1:9" ht="60">
      <c r="A18" s="93">
        <v>14</v>
      </c>
      <c r="B18" s="89" t="s">
        <v>250</v>
      </c>
      <c r="C18" s="89" t="s">
        <v>672</v>
      </c>
      <c r="D18" s="97" t="s">
        <v>669</v>
      </c>
      <c r="E18" s="89" t="s">
        <v>670</v>
      </c>
      <c r="F18" s="89" t="s">
        <v>638</v>
      </c>
      <c r="G18" s="89" t="s">
        <v>671</v>
      </c>
      <c r="H18" s="89" t="s">
        <v>649</v>
      </c>
      <c r="I18" s="89" t="s">
        <v>625</v>
      </c>
    </row>
    <row r="19" spans="1:9" ht="45">
      <c r="A19" s="93">
        <v>15</v>
      </c>
      <c r="B19" s="89" t="s">
        <v>306</v>
      </c>
      <c r="C19" s="89" t="s">
        <v>673</v>
      </c>
      <c r="D19" s="97" t="s">
        <v>669</v>
      </c>
      <c r="E19" s="89" t="s">
        <v>670</v>
      </c>
      <c r="F19" s="89" t="s">
        <v>638</v>
      </c>
      <c r="G19" s="89" t="s">
        <v>671</v>
      </c>
      <c r="H19" s="89" t="s">
        <v>649</v>
      </c>
      <c r="I19" s="89" t="s">
        <v>625</v>
      </c>
    </row>
    <row r="20" spans="1:9" ht="45">
      <c r="A20" s="93">
        <v>16</v>
      </c>
      <c r="B20" s="89" t="s">
        <v>674</v>
      </c>
      <c r="C20" s="89" t="s">
        <v>675</v>
      </c>
      <c r="D20" s="97" t="s">
        <v>669</v>
      </c>
      <c r="E20" s="89" t="s">
        <v>670</v>
      </c>
      <c r="F20" s="89" t="s">
        <v>638</v>
      </c>
      <c r="G20" s="89" t="s">
        <v>671</v>
      </c>
      <c r="H20" s="89" t="s">
        <v>649</v>
      </c>
      <c r="I20" s="89" t="s">
        <v>625</v>
      </c>
    </row>
    <row r="21" spans="1:9" ht="30">
      <c r="A21" s="93">
        <v>17</v>
      </c>
      <c r="B21" s="89" t="s">
        <v>237</v>
      </c>
      <c r="C21" s="89" t="s">
        <v>676</v>
      </c>
      <c r="D21" s="97" t="s">
        <v>677</v>
      </c>
      <c r="E21" s="89" t="s">
        <v>670</v>
      </c>
      <c r="F21" s="89" t="s">
        <v>638</v>
      </c>
      <c r="G21" s="89" t="s">
        <v>625</v>
      </c>
      <c r="H21" s="89" t="s">
        <v>625</v>
      </c>
      <c r="I21" s="89" t="s">
        <v>625</v>
      </c>
    </row>
    <row r="22" spans="1:9" ht="30">
      <c r="A22" s="93">
        <v>18</v>
      </c>
      <c r="B22" s="89" t="s">
        <v>220</v>
      </c>
      <c r="C22" s="89" t="s">
        <v>678</v>
      </c>
      <c r="D22" s="97" t="s">
        <v>677</v>
      </c>
      <c r="E22" s="89" t="s">
        <v>670</v>
      </c>
      <c r="F22" s="89" t="s">
        <v>638</v>
      </c>
      <c r="G22" s="89" t="s">
        <v>625</v>
      </c>
      <c r="H22" s="89" t="s">
        <v>625</v>
      </c>
      <c r="I22" s="89" t="s">
        <v>625</v>
      </c>
    </row>
    <row r="23" spans="1:9" ht="30">
      <c r="A23" s="93">
        <v>19</v>
      </c>
      <c r="B23" s="89" t="s">
        <v>309</v>
      </c>
      <c r="C23" s="89" t="s">
        <v>679</v>
      </c>
      <c r="D23" s="97" t="s">
        <v>677</v>
      </c>
      <c r="E23" s="89" t="s">
        <v>670</v>
      </c>
      <c r="F23" s="89" t="s">
        <v>638</v>
      </c>
      <c r="G23" s="89" t="s">
        <v>625</v>
      </c>
      <c r="H23" s="89" t="s">
        <v>625</v>
      </c>
      <c r="I23" s="89" t="s">
        <v>625</v>
      </c>
    </row>
    <row r="24" spans="1:9" ht="30" hidden="1">
      <c r="A24" s="93">
        <v>20</v>
      </c>
      <c r="B24" s="89" t="s">
        <v>680</v>
      </c>
      <c r="C24" s="89" t="s">
        <v>681</v>
      </c>
      <c r="D24" s="97" t="s">
        <v>682</v>
      </c>
      <c r="E24" s="89" t="s">
        <v>637</v>
      </c>
      <c r="F24" s="89" t="s">
        <v>638</v>
      </c>
      <c r="G24" s="89" t="s">
        <v>625</v>
      </c>
      <c r="H24" s="89" t="s">
        <v>625</v>
      </c>
      <c r="I24" s="89" t="s">
        <v>625</v>
      </c>
    </row>
    <row r="25" spans="1:9" ht="15" hidden="1">
      <c r="A25" s="93">
        <v>21</v>
      </c>
      <c r="B25" s="89" t="s">
        <v>683</v>
      </c>
      <c r="C25" s="89" t="s">
        <v>684</v>
      </c>
      <c r="D25" s="97" t="s">
        <v>682</v>
      </c>
      <c r="E25" s="89" t="s">
        <v>637</v>
      </c>
      <c r="F25" s="89" t="s">
        <v>638</v>
      </c>
      <c r="G25" s="89" t="s">
        <v>625</v>
      </c>
      <c r="H25" s="89" t="s">
        <v>625</v>
      </c>
      <c r="I25" s="89" t="s">
        <v>625</v>
      </c>
    </row>
    <row r="26" spans="1:9" ht="30" hidden="1">
      <c r="A26" s="93">
        <v>22</v>
      </c>
      <c r="B26" s="89" t="s">
        <v>685</v>
      </c>
      <c r="C26" s="89" t="s">
        <v>686</v>
      </c>
      <c r="D26" s="97" t="s">
        <v>682</v>
      </c>
      <c r="E26" s="89" t="s">
        <v>637</v>
      </c>
      <c r="F26" s="89" t="s">
        <v>638</v>
      </c>
      <c r="G26" s="89" t="s">
        <v>625</v>
      </c>
      <c r="H26" s="89" t="s">
        <v>625</v>
      </c>
      <c r="I26" s="89" t="s">
        <v>625</v>
      </c>
    </row>
    <row r="27" spans="1:9" ht="30">
      <c r="A27" s="93">
        <v>23</v>
      </c>
      <c r="B27" s="89" t="s">
        <v>199</v>
      </c>
      <c r="C27" s="89" t="s">
        <v>687</v>
      </c>
      <c r="D27" s="97" t="s">
        <v>688</v>
      </c>
      <c r="E27" s="89" t="s">
        <v>670</v>
      </c>
      <c r="F27" s="89" t="s">
        <v>689</v>
      </c>
      <c r="G27" s="89" t="s">
        <v>671</v>
      </c>
      <c r="H27" s="89" t="s">
        <v>649</v>
      </c>
      <c r="I27" s="89" t="s">
        <v>625</v>
      </c>
    </row>
    <row r="28" spans="1:9" ht="30">
      <c r="A28" s="93">
        <v>24</v>
      </c>
      <c r="B28" s="89" t="s">
        <v>287</v>
      </c>
      <c r="C28" s="89" t="s">
        <v>690</v>
      </c>
      <c r="D28" s="97" t="s">
        <v>688</v>
      </c>
      <c r="E28" s="89" t="s">
        <v>670</v>
      </c>
      <c r="F28" s="89" t="s">
        <v>689</v>
      </c>
      <c r="G28" s="89" t="s">
        <v>671</v>
      </c>
      <c r="H28" s="89" t="s">
        <v>649</v>
      </c>
      <c r="I28" s="89" t="s">
        <v>625</v>
      </c>
    </row>
    <row r="29" spans="1:9" ht="30">
      <c r="A29" s="93">
        <v>25</v>
      </c>
      <c r="B29" s="89" t="s">
        <v>266</v>
      </c>
      <c r="C29" s="89" t="s">
        <v>691</v>
      </c>
      <c r="D29" s="97" t="s">
        <v>688</v>
      </c>
      <c r="E29" s="89" t="s">
        <v>670</v>
      </c>
      <c r="F29" s="89" t="s">
        <v>689</v>
      </c>
      <c r="G29" s="89" t="s">
        <v>671</v>
      </c>
      <c r="H29" s="89" t="s">
        <v>649</v>
      </c>
      <c r="I29" s="89" t="s">
        <v>625</v>
      </c>
    </row>
    <row r="30" spans="1:9" ht="15" hidden="1">
      <c r="A30" s="93">
        <v>26</v>
      </c>
      <c r="B30" s="89" t="s">
        <v>692</v>
      </c>
      <c r="C30" s="89" t="s">
        <v>693</v>
      </c>
      <c r="D30" s="97" t="s">
        <v>694</v>
      </c>
      <c r="E30" s="89" t="s">
        <v>695</v>
      </c>
      <c r="F30" s="89" t="s">
        <v>689</v>
      </c>
      <c r="G30" s="89" t="s">
        <v>625</v>
      </c>
      <c r="H30" s="89" t="s">
        <v>625</v>
      </c>
      <c r="I30" s="89" t="s">
        <v>625</v>
      </c>
    </row>
    <row r="31" spans="1:9" ht="15" hidden="1">
      <c r="A31" s="93">
        <v>27</v>
      </c>
      <c r="B31" s="89" t="s">
        <v>696</v>
      </c>
      <c r="C31" s="89" t="s">
        <v>697</v>
      </c>
      <c r="D31" s="97" t="s">
        <v>694</v>
      </c>
      <c r="E31" s="89" t="s">
        <v>695</v>
      </c>
      <c r="F31" s="89" t="s">
        <v>689</v>
      </c>
      <c r="G31" s="89" t="s">
        <v>625</v>
      </c>
      <c r="H31" s="89" t="s">
        <v>625</v>
      </c>
      <c r="I31" s="89" t="s">
        <v>625</v>
      </c>
    </row>
    <row r="32" spans="1:9" ht="30" hidden="1">
      <c r="A32" s="93">
        <v>28</v>
      </c>
      <c r="B32" s="89" t="s">
        <v>204</v>
      </c>
      <c r="C32" s="89" t="s">
        <v>698</v>
      </c>
      <c r="D32" s="97" t="s">
        <v>694</v>
      </c>
      <c r="E32" s="89" t="s">
        <v>695</v>
      </c>
      <c r="F32" s="89" t="s">
        <v>689</v>
      </c>
      <c r="G32" s="89" t="s">
        <v>625</v>
      </c>
      <c r="H32" s="89" t="s">
        <v>625</v>
      </c>
      <c r="I32" s="89" t="s">
        <v>625</v>
      </c>
    </row>
    <row r="33" spans="1:9" ht="15" hidden="1">
      <c r="A33" s="93">
        <v>29</v>
      </c>
      <c r="B33" s="89" t="s">
        <v>699</v>
      </c>
      <c r="C33" s="89" t="s">
        <v>700</v>
      </c>
      <c r="D33" s="97" t="s">
        <v>694</v>
      </c>
      <c r="E33" s="89" t="s">
        <v>695</v>
      </c>
      <c r="F33" s="89" t="s">
        <v>689</v>
      </c>
      <c r="G33" s="89" t="s">
        <v>625</v>
      </c>
      <c r="H33" s="89" t="s">
        <v>625</v>
      </c>
      <c r="I33" s="89" t="s">
        <v>625</v>
      </c>
    </row>
    <row r="34" spans="1:9" ht="30" hidden="1">
      <c r="A34" s="93">
        <v>30</v>
      </c>
      <c r="B34" s="89" t="s">
        <v>701</v>
      </c>
      <c r="C34" s="89" t="s">
        <v>702</v>
      </c>
      <c r="D34" s="97" t="s">
        <v>703</v>
      </c>
      <c r="E34" s="89" t="s">
        <v>637</v>
      </c>
      <c r="F34" s="89" t="s">
        <v>638</v>
      </c>
      <c r="G34" s="89" t="s">
        <v>625</v>
      </c>
      <c r="H34" s="89" t="s">
        <v>625</v>
      </c>
      <c r="I34" s="89" t="s">
        <v>625</v>
      </c>
    </row>
    <row r="35" spans="1:9" ht="30" hidden="1">
      <c r="A35" s="93">
        <v>31</v>
      </c>
      <c r="B35" s="89" t="s">
        <v>704</v>
      </c>
      <c r="C35" s="89" t="s">
        <v>705</v>
      </c>
      <c r="D35" s="97" t="s">
        <v>703</v>
      </c>
      <c r="E35" s="89" t="s">
        <v>637</v>
      </c>
      <c r="F35" s="89" t="s">
        <v>638</v>
      </c>
      <c r="G35" s="89" t="s">
        <v>625</v>
      </c>
      <c r="H35" s="89" t="s">
        <v>625</v>
      </c>
      <c r="I35" s="89" t="s">
        <v>625</v>
      </c>
    </row>
    <row r="36" spans="1:9" ht="30" hidden="1">
      <c r="A36" s="93">
        <v>32</v>
      </c>
      <c r="B36" s="89" t="s">
        <v>706</v>
      </c>
      <c r="C36" s="89" t="s">
        <v>707</v>
      </c>
      <c r="D36" s="97" t="s">
        <v>703</v>
      </c>
      <c r="E36" s="89" t="s">
        <v>637</v>
      </c>
      <c r="F36" s="89" t="s">
        <v>638</v>
      </c>
      <c r="G36" s="89" t="s">
        <v>625</v>
      </c>
      <c r="H36" s="89" t="s">
        <v>625</v>
      </c>
      <c r="I36" s="89" t="s">
        <v>625</v>
      </c>
    </row>
    <row r="37" spans="1:9" ht="30" hidden="1">
      <c r="A37" s="93">
        <v>33</v>
      </c>
      <c r="B37" s="89" t="s">
        <v>708</v>
      </c>
      <c r="C37" s="89" t="s">
        <v>709</v>
      </c>
      <c r="D37" s="97" t="s">
        <v>703</v>
      </c>
      <c r="E37" s="89" t="s">
        <v>637</v>
      </c>
      <c r="F37" s="89" t="s">
        <v>638</v>
      </c>
      <c r="G37" s="89" t="s">
        <v>625</v>
      </c>
      <c r="H37" s="89" t="s">
        <v>625</v>
      </c>
      <c r="I37" s="89" t="s">
        <v>625</v>
      </c>
    </row>
    <row r="38" spans="1:9" ht="30">
      <c r="A38" s="93">
        <v>34</v>
      </c>
      <c r="B38" s="89" t="s">
        <v>209</v>
      </c>
      <c r="C38" s="89" t="s">
        <v>710</v>
      </c>
      <c r="D38" s="97" t="s">
        <v>711</v>
      </c>
      <c r="E38" s="89" t="s">
        <v>670</v>
      </c>
      <c r="F38" s="89" t="s">
        <v>638</v>
      </c>
      <c r="G38" s="89" t="s">
        <v>625</v>
      </c>
      <c r="H38" s="89" t="s">
        <v>625</v>
      </c>
      <c r="I38" s="89" t="s">
        <v>625</v>
      </c>
    </row>
    <row r="39" spans="1:9" ht="30">
      <c r="A39" s="93">
        <v>35</v>
      </c>
      <c r="B39" s="89" t="s">
        <v>373</v>
      </c>
      <c r="C39" s="89" t="s">
        <v>712</v>
      </c>
      <c r="D39" s="97" t="s">
        <v>711</v>
      </c>
      <c r="E39" s="89" t="s">
        <v>670</v>
      </c>
      <c r="F39" s="89" t="s">
        <v>638</v>
      </c>
      <c r="G39" s="89" t="s">
        <v>625</v>
      </c>
      <c r="H39" s="89" t="s">
        <v>625</v>
      </c>
      <c r="I39" s="89" t="s">
        <v>625</v>
      </c>
    </row>
    <row r="40" spans="1:9" ht="30">
      <c r="A40" s="93">
        <v>36</v>
      </c>
      <c r="B40" s="89" t="s">
        <v>300</v>
      </c>
      <c r="C40" s="89" t="s">
        <v>713</v>
      </c>
      <c r="D40" s="97" t="s">
        <v>711</v>
      </c>
      <c r="E40" s="89" t="s">
        <v>670</v>
      </c>
      <c r="F40" s="89" t="s">
        <v>638</v>
      </c>
      <c r="G40" s="89" t="s">
        <v>625</v>
      </c>
      <c r="H40" s="89" t="s">
        <v>625</v>
      </c>
      <c r="I40" s="89" t="s">
        <v>625</v>
      </c>
    </row>
    <row r="41" spans="1:9" ht="75">
      <c r="A41" s="99">
        <v>37</v>
      </c>
      <c r="B41" s="107" t="s">
        <v>257</v>
      </c>
      <c r="C41" s="92" t="s">
        <v>714</v>
      </c>
      <c r="D41" s="98" t="s">
        <v>715</v>
      </c>
      <c r="E41" s="92" t="s">
        <v>670</v>
      </c>
      <c r="F41" s="92" t="s">
        <v>689</v>
      </c>
      <c r="G41" s="92" t="s">
        <v>625</v>
      </c>
      <c r="H41" s="92" t="s">
        <v>625</v>
      </c>
      <c r="I41" s="92" t="s">
        <v>625</v>
      </c>
    </row>
    <row r="42" spans="1:9" ht="45">
      <c r="A42" s="99">
        <v>38</v>
      </c>
      <c r="B42" s="107" t="s">
        <v>214</v>
      </c>
      <c r="C42" s="92" t="s">
        <v>716</v>
      </c>
      <c r="D42" s="98" t="s">
        <v>715</v>
      </c>
      <c r="E42" s="92" t="s">
        <v>670</v>
      </c>
      <c r="F42" s="92" t="s">
        <v>689</v>
      </c>
      <c r="G42" s="92" t="s">
        <v>625</v>
      </c>
      <c r="H42" s="92" t="s">
        <v>625</v>
      </c>
      <c r="I42" s="92" t="s">
        <v>625</v>
      </c>
    </row>
    <row r="43" spans="1:9" ht="30">
      <c r="A43" s="99">
        <v>39</v>
      </c>
      <c r="B43" s="107" t="s">
        <v>234</v>
      </c>
      <c r="C43" s="92" t="s">
        <v>717</v>
      </c>
      <c r="D43" s="98" t="s">
        <v>715</v>
      </c>
      <c r="E43" s="92" t="s">
        <v>670</v>
      </c>
      <c r="F43" s="92" t="s">
        <v>689</v>
      </c>
      <c r="G43" s="92" t="s">
        <v>625</v>
      </c>
      <c r="H43" s="92" t="s">
        <v>625</v>
      </c>
      <c r="I43" s="92" t="s">
        <v>625</v>
      </c>
    </row>
    <row r="44" spans="1:9" ht="30">
      <c r="A44" s="93">
        <v>40</v>
      </c>
      <c r="B44" s="89" t="s">
        <v>718</v>
      </c>
      <c r="C44" s="89" t="s">
        <v>719</v>
      </c>
      <c r="D44" s="97" t="s">
        <v>720</v>
      </c>
      <c r="E44" s="89" t="s">
        <v>670</v>
      </c>
      <c r="F44" s="89" t="s">
        <v>689</v>
      </c>
      <c r="G44" s="89" t="s">
        <v>625</v>
      </c>
      <c r="H44" s="89" t="s">
        <v>625</v>
      </c>
      <c r="I44" s="89" t="s">
        <v>625</v>
      </c>
    </row>
    <row r="45" spans="1:9" ht="75">
      <c r="A45" s="93">
        <v>41</v>
      </c>
      <c r="B45" s="89" t="s">
        <v>253</v>
      </c>
      <c r="C45" s="89" t="s">
        <v>721</v>
      </c>
      <c r="D45" s="97" t="s">
        <v>720</v>
      </c>
      <c r="E45" s="89" t="s">
        <v>670</v>
      </c>
      <c r="F45" s="89" t="s">
        <v>689</v>
      </c>
      <c r="G45" s="89" t="s">
        <v>625</v>
      </c>
      <c r="H45" s="89" t="s">
        <v>625</v>
      </c>
      <c r="I45" s="89" t="s">
        <v>625</v>
      </c>
    </row>
    <row r="46" spans="1:9" ht="45">
      <c r="A46" s="93">
        <v>42</v>
      </c>
      <c r="B46" s="89" t="s">
        <v>329</v>
      </c>
      <c r="C46" s="89" t="s">
        <v>722</v>
      </c>
      <c r="D46" s="97" t="s">
        <v>720</v>
      </c>
      <c r="E46" s="89" t="s">
        <v>670</v>
      </c>
      <c r="F46" s="89" t="s">
        <v>689</v>
      </c>
      <c r="G46" s="89" t="s">
        <v>625</v>
      </c>
      <c r="H46" s="89" t="s">
        <v>625</v>
      </c>
      <c r="I46" s="89" t="s">
        <v>625</v>
      </c>
    </row>
    <row r="47" spans="1:9" ht="75">
      <c r="A47" s="93">
        <v>43</v>
      </c>
      <c r="B47" s="89" t="s">
        <v>314</v>
      </c>
      <c r="C47" s="89" t="s">
        <v>723</v>
      </c>
      <c r="D47" s="97" t="s">
        <v>720</v>
      </c>
      <c r="E47" s="89" t="s">
        <v>670</v>
      </c>
      <c r="F47" s="89" t="s">
        <v>689</v>
      </c>
      <c r="G47" s="89" t="s">
        <v>625</v>
      </c>
      <c r="H47" s="89" t="s">
        <v>625</v>
      </c>
      <c r="I47" s="89" t="s">
        <v>625</v>
      </c>
    </row>
    <row r="48" spans="1:9" ht="45" hidden="1">
      <c r="A48" s="93">
        <v>44</v>
      </c>
      <c r="B48" s="89" t="s">
        <v>724</v>
      </c>
      <c r="C48" s="89" t="s">
        <v>725</v>
      </c>
      <c r="D48" s="97" t="s">
        <v>726</v>
      </c>
      <c r="E48" s="89" t="s">
        <v>727</v>
      </c>
      <c r="F48" s="89" t="s">
        <v>689</v>
      </c>
      <c r="G48" s="89" t="s">
        <v>671</v>
      </c>
      <c r="H48" s="89" t="s">
        <v>649</v>
      </c>
      <c r="I48" s="89" t="s">
        <v>625</v>
      </c>
    </row>
    <row r="49" spans="1:9" ht="30" hidden="1">
      <c r="A49" s="93">
        <v>45</v>
      </c>
      <c r="B49" s="89" t="s">
        <v>728</v>
      </c>
      <c r="C49" s="89" t="s">
        <v>729</v>
      </c>
      <c r="D49" s="97" t="s">
        <v>726</v>
      </c>
      <c r="E49" s="89" t="s">
        <v>727</v>
      </c>
      <c r="F49" s="89" t="s">
        <v>689</v>
      </c>
      <c r="G49" s="89" t="s">
        <v>671</v>
      </c>
      <c r="H49" s="89" t="s">
        <v>649</v>
      </c>
      <c r="I49" s="89" t="s">
        <v>625</v>
      </c>
    </row>
    <row r="50" spans="1:9" ht="30" hidden="1">
      <c r="A50" s="93">
        <v>46</v>
      </c>
      <c r="B50" s="89" t="s">
        <v>730</v>
      </c>
      <c r="C50" s="89" t="s">
        <v>731</v>
      </c>
      <c r="D50" s="97" t="s">
        <v>726</v>
      </c>
      <c r="E50" s="89" t="s">
        <v>727</v>
      </c>
      <c r="F50" s="89" t="s">
        <v>689</v>
      </c>
      <c r="G50" s="89" t="s">
        <v>671</v>
      </c>
      <c r="H50" s="89" t="s">
        <v>649</v>
      </c>
      <c r="I50" s="89" t="s">
        <v>625</v>
      </c>
    </row>
    <row r="51" spans="1:9" ht="15" hidden="1">
      <c r="A51" s="93">
        <v>47</v>
      </c>
      <c r="B51" s="89" t="s">
        <v>732</v>
      </c>
      <c r="C51" s="89" t="s">
        <v>733</v>
      </c>
      <c r="D51" s="97" t="s">
        <v>726</v>
      </c>
      <c r="E51" s="89" t="s">
        <v>727</v>
      </c>
      <c r="F51" s="89" t="s">
        <v>689</v>
      </c>
      <c r="G51" s="89" t="s">
        <v>671</v>
      </c>
      <c r="H51" s="89" t="s">
        <v>649</v>
      </c>
      <c r="I51" s="89" t="s">
        <v>625</v>
      </c>
    </row>
    <row r="52" spans="1:9" ht="15" hidden="1">
      <c r="A52" s="93">
        <v>48</v>
      </c>
      <c r="B52" s="89" t="s">
        <v>734</v>
      </c>
      <c r="C52" s="89" t="s">
        <v>735</v>
      </c>
      <c r="D52" s="97" t="s">
        <v>726</v>
      </c>
      <c r="E52" s="89" t="s">
        <v>727</v>
      </c>
      <c r="F52" s="89" t="s">
        <v>689</v>
      </c>
      <c r="G52" s="89" t="s">
        <v>671</v>
      </c>
      <c r="H52" s="89" t="s">
        <v>649</v>
      </c>
      <c r="I52" s="89" t="s">
        <v>625</v>
      </c>
    </row>
    <row r="53" spans="1:9" ht="30">
      <c r="A53" s="93">
        <v>49</v>
      </c>
      <c r="B53" s="89" t="s">
        <v>736</v>
      </c>
      <c r="C53" s="89" t="s">
        <v>737</v>
      </c>
      <c r="D53" s="97" t="s">
        <v>738</v>
      </c>
      <c r="E53" s="89" t="s">
        <v>670</v>
      </c>
      <c r="F53" s="89" t="s">
        <v>638</v>
      </c>
      <c r="G53" s="89" t="s">
        <v>625</v>
      </c>
      <c r="H53" s="89" t="s">
        <v>625</v>
      </c>
      <c r="I53" s="89" t="s">
        <v>625</v>
      </c>
    </row>
    <row r="54" spans="1:9" ht="30">
      <c r="A54" s="93">
        <v>50</v>
      </c>
      <c r="B54" s="89" t="s">
        <v>522</v>
      </c>
      <c r="C54" s="89" t="s">
        <v>739</v>
      </c>
      <c r="D54" s="97" t="s">
        <v>738</v>
      </c>
      <c r="E54" s="89" t="s">
        <v>670</v>
      </c>
      <c r="F54" s="89" t="s">
        <v>638</v>
      </c>
      <c r="G54" s="89" t="s">
        <v>625</v>
      </c>
      <c r="H54" s="89" t="s">
        <v>625</v>
      </c>
      <c r="I54" s="89" t="s">
        <v>625</v>
      </c>
    </row>
    <row r="55" spans="1:9" ht="30">
      <c r="A55" s="93">
        <v>51</v>
      </c>
      <c r="B55" s="89" t="s">
        <v>274</v>
      </c>
      <c r="C55" s="89" t="s">
        <v>740</v>
      </c>
      <c r="D55" s="97" t="s">
        <v>738</v>
      </c>
      <c r="E55" s="89" t="s">
        <v>670</v>
      </c>
      <c r="F55" s="89" t="s">
        <v>638</v>
      </c>
      <c r="G55" s="89" t="s">
        <v>625</v>
      </c>
      <c r="H55" s="89" t="s">
        <v>625</v>
      </c>
      <c r="I55" s="89" t="s">
        <v>625</v>
      </c>
    </row>
    <row r="56" spans="1:9" ht="30">
      <c r="A56" s="93">
        <v>52</v>
      </c>
      <c r="B56" s="89" t="s">
        <v>741</v>
      </c>
      <c r="C56" s="89" t="s">
        <v>742</v>
      </c>
      <c r="D56" s="97" t="s">
        <v>738</v>
      </c>
      <c r="E56" s="89" t="s">
        <v>670</v>
      </c>
      <c r="F56" s="89" t="s">
        <v>638</v>
      </c>
      <c r="G56" s="89" t="s">
        <v>625</v>
      </c>
      <c r="H56" s="89" t="s">
        <v>625</v>
      </c>
      <c r="I56" s="89" t="s">
        <v>625</v>
      </c>
    </row>
    <row r="57" spans="1:9" ht="30">
      <c r="A57" s="93">
        <v>53</v>
      </c>
      <c r="B57" s="89" t="s">
        <v>271</v>
      </c>
      <c r="C57" s="89" t="s">
        <v>743</v>
      </c>
      <c r="D57" s="97" t="s">
        <v>738</v>
      </c>
      <c r="E57" s="89" t="s">
        <v>670</v>
      </c>
      <c r="F57" s="89" t="s">
        <v>638</v>
      </c>
      <c r="G57" s="89" t="s">
        <v>625</v>
      </c>
      <c r="H57" s="89" t="s">
        <v>625</v>
      </c>
      <c r="I57" s="89" t="s">
        <v>625</v>
      </c>
    </row>
    <row r="58" spans="1:9" ht="45" hidden="1">
      <c r="A58" s="93">
        <v>54</v>
      </c>
      <c r="B58" s="89" t="s">
        <v>744</v>
      </c>
      <c r="C58" s="89" t="s">
        <v>745</v>
      </c>
      <c r="D58" s="97" t="s">
        <v>746</v>
      </c>
      <c r="E58" s="89" t="s">
        <v>695</v>
      </c>
      <c r="F58" s="89" t="s">
        <v>689</v>
      </c>
      <c r="G58" s="89" t="s">
        <v>671</v>
      </c>
      <c r="H58" s="89" t="s">
        <v>649</v>
      </c>
      <c r="I58" s="89" t="s">
        <v>625</v>
      </c>
    </row>
    <row r="59" spans="1:9" ht="45" hidden="1">
      <c r="A59" s="93">
        <v>55</v>
      </c>
      <c r="B59" s="89" t="s">
        <v>747</v>
      </c>
      <c r="C59" s="89" t="s">
        <v>748</v>
      </c>
      <c r="D59" s="97" t="s">
        <v>746</v>
      </c>
      <c r="E59" s="89" t="s">
        <v>695</v>
      </c>
      <c r="F59" s="89" t="s">
        <v>689</v>
      </c>
      <c r="G59" s="89" t="s">
        <v>671</v>
      </c>
      <c r="H59" s="89" t="s">
        <v>649</v>
      </c>
      <c r="I59" s="89" t="s">
        <v>625</v>
      </c>
    </row>
    <row r="60" spans="1:9" ht="45" hidden="1">
      <c r="A60" s="93">
        <v>56</v>
      </c>
      <c r="B60" s="89" t="s">
        <v>749</v>
      </c>
      <c r="C60" s="89" t="s">
        <v>750</v>
      </c>
      <c r="D60" s="97" t="s">
        <v>746</v>
      </c>
      <c r="E60" s="89" t="s">
        <v>695</v>
      </c>
      <c r="F60" s="89" t="s">
        <v>689</v>
      </c>
      <c r="G60" s="89" t="s">
        <v>671</v>
      </c>
      <c r="H60" s="89" t="s">
        <v>649</v>
      </c>
      <c r="I60" s="89" t="s">
        <v>625</v>
      </c>
    </row>
    <row r="61" spans="1:9" ht="30" hidden="1">
      <c r="A61" s="93">
        <v>57</v>
      </c>
      <c r="B61" s="89" t="s">
        <v>751</v>
      </c>
      <c r="C61" s="89" t="s">
        <v>752</v>
      </c>
      <c r="D61" s="97" t="s">
        <v>746</v>
      </c>
      <c r="E61" s="89" t="s">
        <v>695</v>
      </c>
      <c r="F61" s="89" t="s">
        <v>689</v>
      </c>
      <c r="G61" s="89" t="s">
        <v>671</v>
      </c>
      <c r="H61" s="89" t="s">
        <v>649</v>
      </c>
      <c r="I61" s="89" t="s">
        <v>625</v>
      </c>
    </row>
    <row r="62" spans="1:9" ht="45" hidden="1">
      <c r="A62" s="93">
        <v>58</v>
      </c>
      <c r="B62" s="89" t="s">
        <v>753</v>
      </c>
      <c r="C62" s="89" t="s">
        <v>754</v>
      </c>
      <c r="D62" s="97" t="s">
        <v>746</v>
      </c>
      <c r="E62" s="89" t="s">
        <v>695</v>
      </c>
      <c r="F62" s="89" t="s">
        <v>689</v>
      </c>
      <c r="G62" s="89" t="s">
        <v>671</v>
      </c>
      <c r="H62" s="89" t="s">
        <v>649</v>
      </c>
      <c r="I62" s="89" t="s">
        <v>625</v>
      </c>
    </row>
    <row r="63" spans="1:9" ht="30" hidden="1">
      <c r="A63" s="93">
        <v>59</v>
      </c>
      <c r="B63" s="89" t="s">
        <v>755</v>
      </c>
      <c r="C63" s="89" t="s">
        <v>756</v>
      </c>
      <c r="D63" s="97" t="s">
        <v>757</v>
      </c>
      <c r="E63" s="89" t="s">
        <v>727</v>
      </c>
      <c r="F63" s="89" t="s">
        <v>689</v>
      </c>
      <c r="G63" s="89" t="s">
        <v>625</v>
      </c>
      <c r="H63" s="89" t="s">
        <v>625</v>
      </c>
      <c r="I63" s="89" t="s">
        <v>625</v>
      </c>
    </row>
    <row r="64" spans="1:9" ht="30" hidden="1">
      <c r="A64" s="93">
        <v>60</v>
      </c>
      <c r="B64" s="89" t="s">
        <v>758</v>
      </c>
      <c r="C64" s="89" t="s">
        <v>759</v>
      </c>
      <c r="D64" s="97" t="s">
        <v>757</v>
      </c>
      <c r="E64" s="89" t="s">
        <v>727</v>
      </c>
      <c r="F64" s="89" t="s">
        <v>689</v>
      </c>
      <c r="G64" s="89" t="s">
        <v>625</v>
      </c>
      <c r="H64" s="89" t="s">
        <v>625</v>
      </c>
      <c r="I64" s="89" t="s">
        <v>625</v>
      </c>
    </row>
    <row r="65" spans="1:9" ht="30" hidden="1">
      <c r="A65" s="93">
        <v>61</v>
      </c>
      <c r="B65" s="89" t="s">
        <v>760</v>
      </c>
      <c r="C65" s="89" t="s">
        <v>761</v>
      </c>
      <c r="D65" s="97" t="s">
        <v>757</v>
      </c>
      <c r="E65" s="89" t="s">
        <v>727</v>
      </c>
      <c r="F65" s="89" t="s">
        <v>689</v>
      </c>
      <c r="G65" s="89" t="s">
        <v>625</v>
      </c>
      <c r="H65" s="89" t="s">
        <v>625</v>
      </c>
      <c r="I65" s="89" t="s">
        <v>625</v>
      </c>
    </row>
    <row r="66" spans="1:9" ht="30" hidden="1">
      <c r="A66" s="93">
        <v>62</v>
      </c>
      <c r="B66" s="89" t="s">
        <v>762</v>
      </c>
      <c r="C66" s="89" t="s">
        <v>763</v>
      </c>
      <c r="D66" s="97" t="s">
        <v>757</v>
      </c>
      <c r="E66" s="89" t="s">
        <v>727</v>
      </c>
      <c r="F66" s="89" t="s">
        <v>689</v>
      </c>
      <c r="G66" s="89" t="s">
        <v>625</v>
      </c>
      <c r="H66" s="89" t="s">
        <v>625</v>
      </c>
      <c r="I66" s="89" t="s">
        <v>625</v>
      </c>
    </row>
    <row r="67" spans="1:9" ht="30" hidden="1">
      <c r="A67" s="93">
        <v>63</v>
      </c>
      <c r="B67" s="89" t="s">
        <v>764</v>
      </c>
      <c r="C67" s="89" t="s">
        <v>765</v>
      </c>
      <c r="D67" s="97" t="s">
        <v>757</v>
      </c>
      <c r="E67" s="89" t="s">
        <v>727</v>
      </c>
      <c r="F67" s="89" t="s">
        <v>689</v>
      </c>
      <c r="G67" s="89" t="s">
        <v>625</v>
      </c>
      <c r="H67" s="89" t="s">
        <v>625</v>
      </c>
      <c r="I67" s="89" t="s">
        <v>625</v>
      </c>
    </row>
    <row r="68" spans="1:9" ht="30" hidden="1">
      <c r="A68" s="93">
        <v>64</v>
      </c>
      <c r="B68" s="89" t="s">
        <v>766</v>
      </c>
      <c r="C68" s="89" t="s">
        <v>767</v>
      </c>
      <c r="D68" s="97" t="s">
        <v>757</v>
      </c>
      <c r="E68" s="89" t="s">
        <v>727</v>
      </c>
      <c r="F68" s="89" t="s">
        <v>689</v>
      </c>
      <c r="G68" s="89" t="s">
        <v>625</v>
      </c>
      <c r="H68" s="89" t="s">
        <v>625</v>
      </c>
      <c r="I68" s="89" t="s">
        <v>625</v>
      </c>
    </row>
    <row r="69" spans="1:9" ht="30">
      <c r="A69" s="93">
        <v>65</v>
      </c>
      <c r="B69" s="89" t="s">
        <v>240</v>
      </c>
      <c r="C69" s="89" t="s">
        <v>768</v>
      </c>
      <c r="D69" s="97" t="s">
        <v>769</v>
      </c>
      <c r="E69" s="89" t="s">
        <v>670</v>
      </c>
      <c r="F69" s="89" t="s">
        <v>638</v>
      </c>
      <c r="G69" s="89" t="s">
        <v>625</v>
      </c>
      <c r="H69" s="89" t="s">
        <v>625</v>
      </c>
      <c r="I69" s="89" t="s">
        <v>625</v>
      </c>
    </row>
    <row r="70" spans="1:9" ht="30">
      <c r="A70" s="93">
        <v>66</v>
      </c>
      <c r="B70" s="89" t="s">
        <v>341</v>
      </c>
      <c r="C70" s="89" t="s">
        <v>770</v>
      </c>
      <c r="D70" s="97" t="s">
        <v>769</v>
      </c>
      <c r="E70" s="89" t="s">
        <v>670</v>
      </c>
      <c r="F70" s="89" t="s">
        <v>638</v>
      </c>
      <c r="G70" s="89" t="s">
        <v>625</v>
      </c>
      <c r="H70" s="89" t="s">
        <v>625</v>
      </c>
      <c r="I70" s="89" t="s">
        <v>625</v>
      </c>
    </row>
    <row r="71" spans="1:9" ht="30">
      <c r="A71" s="93">
        <v>67</v>
      </c>
      <c r="B71" s="89" t="s">
        <v>304</v>
      </c>
      <c r="C71" s="89" t="s">
        <v>771</v>
      </c>
      <c r="D71" s="97" t="s">
        <v>769</v>
      </c>
      <c r="E71" s="89" t="s">
        <v>670</v>
      </c>
      <c r="F71" s="89" t="s">
        <v>638</v>
      </c>
      <c r="G71" s="89" t="s">
        <v>625</v>
      </c>
      <c r="H71" s="89" t="s">
        <v>625</v>
      </c>
      <c r="I71" s="89" t="s">
        <v>625</v>
      </c>
    </row>
    <row r="72" spans="1:9" ht="30" hidden="1">
      <c r="A72" s="93">
        <v>68</v>
      </c>
      <c r="B72" s="89" t="s">
        <v>772</v>
      </c>
      <c r="C72" s="89" t="s">
        <v>773</v>
      </c>
      <c r="D72" s="97" t="s">
        <v>774</v>
      </c>
      <c r="E72" s="89" t="s">
        <v>727</v>
      </c>
      <c r="F72" s="89" t="s">
        <v>689</v>
      </c>
      <c r="G72" s="89" t="s">
        <v>625</v>
      </c>
      <c r="H72" s="89" t="s">
        <v>625</v>
      </c>
      <c r="I72" s="89" t="s">
        <v>625</v>
      </c>
    </row>
    <row r="73" spans="1:9" ht="30" hidden="1">
      <c r="A73" s="93">
        <v>69</v>
      </c>
      <c r="B73" s="89" t="s">
        <v>775</v>
      </c>
      <c r="C73" s="89" t="s">
        <v>776</v>
      </c>
      <c r="D73" s="97" t="s">
        <v>774</v>
      </c>
      <c r="E73" s="89" t="s">
        <v>727</v>
      </c>
      <c r="F73" s="89" t="s">
        <v>689</v>
      </c>
      <c r="G73" s="89" t="s">
        <v>625</v>
      </c>
      <c r="H73" s="89" t="s">
        <v>625</v>
      </c>
      <c r="I73" s="89" t="s">
        <v>625</v>
      </c>
    </row>
    <row r="74" spans="1:9" ht="30" hidden="1">
      <c r="A74" s="93">
        <v>70</v>
      </c>
      <c r="B74" s="89" t="s">
        <v>777</v>
      </c>
      <c r="C74" s="89" t="s">
        <v>778</v>
      </c>
      <c r="D74" s="97" t="s">
        <v>774</v>
      </c>
      <c r="E74" s="89" t="s">
        <v>727</v>
      </c>
      <c r="F74" s="89" t="s">
        <v>689</v>
      </c>
      <c r="G74" s="89" t="s">
        <v>625</v>
      </c>
      <c r="H74" s="89" t="s">
        <v>625</v>
      </c>
      <c r="I74" s="89" t="s">
        <v>625</v>
      </c>
    </row>
    <row r="75" spans="1:9" ht="30" hidden="1">
      <c r="A75" s="93">
        <v>71</v>
      </c>
      <c r="B75" s="89" t="s">
        <v>779</v>
      </c>
      <c r="C75" s="89" t="s">
        <v>780</v>
      </c>
      <c r="D75" s="97" t="s">
        <v>774</v>
      </c>
      <c r="E75" s="89" t="s">
        <v>727</v>
      </c>
      <c r="F75" s="89" t="s">
        <v>689</v>
      </c>
      <c r="G75" s="89" t="s">
        <v>625</v>
      </c>
      <c r="H75" s="89" t="s">
        <v>625</v>
      </c>
      <c r="I75" s="89" t="s">
        <v>625</v>
      </c>
    </row>
    <row r="76" spans="1:9" ht="30" hidden="1">
      <c r="A76" s="93">
        <v>72</v>
      </c>
      <c r="B76" s="89" t="s">
        <v>781</v>
      </c>
      <c r="C76" s="89" t="s">
        <v>782</v>
      </c>
      <c r="D76" s="97" t="s">
        <v>774</v>
      </c>
      <c r="E76" s="89" t="s">
        <v>727</v>
      </c>
      <c r="F76" s="89" t="s">
        <v>689</v>
      </c>
      <c r="G76" s="89" t="s">
        <v>625</v>
      </c>
      <c r="H76" s="89" t="s">
        <v>625</v>
      </c>
      <c r="I76" s="89" t="s">
        <v>625</v>
      </c>
    </row>
    <row r="77" spans="1:9" ht="30" hidden="1">
      <c r="A77" s="93">
        <v>73</v>
      </c>
      <c r="B77" s="89" t="s">
        <v>783</v>
      </c>
      <c r="C77" s="89" t="s">
        <v>784</v>
      </c>
      <c r="D77" s="97" t="s">
        <v>774</v>
      </c>
      <c r="E77" s="89" t="s">
        <v>727</v>
      </c>
      <c r="F77" s="89" t="s">
        <v>689</v>
      </c>
      <c r="G77" s="89" t="s">
        <v>625</v>
      </c>
      <c r="H77" s="89" t="s">
        <v>625</v>
      </c>
      <c r="I77" s="89" t="s">
        <v>625</v>
      </c>
    </row>
    <row r="78" spans="1:9" ht="30" hidden="1">
      <c r="A78" s="93">
        <v>74</v>
      </c>
      <c r="B78" s="89" t="s">
        <v>785</v>
      </c>
      <c r="C78" s="89" t="s">
        <v>786</v>
      </c>
      <c r="D78" s="97" t="s">
        <v>787</v>
      </c>
      <c r="E78" s="89" t="s">
        <v>727</v>
      </c>
      <c r="F78" s="89" t="s">
        <v>689</v>
      </c>
      <c r="G78" s="89" t="s">
        <v>625</v>
      </c>
      <c r="H78" s="89" t="s">
        <v>625</v>
      </c>
      <c r="I78" s="89" t="s">
        <v>625</v>
      </c>
    </row>
    <row r="79" spans="1:9" ht="45" hidden="1">
      <c r="A79" s="93">
        <v>75</v>
      </c>
      <c r="B79" s="89" t="s">
        <v>788</v>
      </c>
      <c r="C79" s="89" t="s">
        <v>789</v>
      </c>
      <c r="D79" s="97" t="s">
        <v>787</v>
      </c>
      <c r="E79" s="89" t="s">
        <v>727</v>
      </c>
      <c r="F79" s="89" t="s">
        <v>689</v>
      </c>
      <c r="G79" s="89" t="s">
        <v>625</v>
      </c>
      <c r="H79" s="89" t="s">
        <v>625</v>
      </c>
      <c r="I79" s="89" t="s">
        <v>625</v>
      </c>
    </row>
    <row r="80" spans="1:9" ht="30" hidden="1">
      <c r="A80" s="93">
        <v>76</v>
      </c>
      <c r="B80" s="89" t="s">
        <v>790</v>
      </c>
      <c r="C80" s="89" t="s">
        <v>791</v>
      </c>
      <c r="D80" s="97" t="s">
        <v>787</v>
      </c>
      <c r="E80" s="89" t="s">
        <v>727</v>
      </c>
      <c r="F80" s="89" t="s">
        <v>689</v>
      </c>
      <c r="G80" s="89" t="s">
        <v>625</v>
      </c>
      <c r="H80" s="89" t="s">
        <v>625</v>
      </c>
      <c r="I80" s="89" t="s">
        <v>625</v>
      </c>
    </row>
    <row r="81" spans="1:9" ht="30" hidden="1">
      <c r="A81" s="93">
        <v>77</v>
      </c>
      <c r="B81" s="89" t="s">
        <v>792</v>
      </c>
      <c r="C81" s="89" t="s">
        <v>793</v>
      </c>
      <c r="D81" s="97" t="s">
        <v>787</v>
      </c>
      <c r="E81" s="89" t="s">
        <v>727</v>
      </c>
      <c r="F81" s="89" t="s">
        <v>689</v>
      </c>
      <c r="G81" s="89" t="s">
        <v>625</v>
      </c>
      <c r="H81" s="89" t="s">
        <v>625</v>
      </c>
      <c r="I81" s="89" t="s">
        <v>625</v>
      </c>
    </row>
    <row r="82" spans="1:9" ht="45" hidden="1">
      <c r="A82" s="93">
        <v>78</v>
      </c>
      <c r="B82" s="89" t="s">
        <v>794</v>
      </c>
      <c r="C82" s="89" t="s">
        <v>795</v>
      </c>
      <c r="D82" s="97" t="s">
        <v>787</v>
      </c>
      <c r="E82" s="89" t="s">
        <v>727</v>
      </c>
      <c r="F82" s="89" t="s">
        <v>689</v>
      </c>
      <c r="G82" s="89" t="s">
        <v>625</v>
      </c>
      <c r="H82" s="89" t="s">
        <v>625</v>
      </c>
      <c r="I82" s="89" t="s">
        <v>625</v>
      </c>
    </row>
    <row r="83" spans="1:9" ht="30" hidden="1">
      <c r="A83" s="93">
        <v>79</v>
      </c>
      <c r="B83" s="89" t="s">
        <v>796</v>
      </c>
      <c r="C83" s="89" t="s">
        <v>797</v>
      </c>
      <c r="D83" s="97" t="s">
        <v>798</v>
      </c>
      <c r="E83" s="89" t="s">
        <v>695</v>
      </c>
      <c r="F83" s="89" t="s">
        <v>638</v>
      </c>
      <c r="G83" s="89" t="s">
        <v>671</v>
      </c>
      <c r="H83" s="89" t="s">
        <v>649</v>
      </c>
      <c r="I83" s="89" t="s">
        <v>625</v>
      </c>
    </row>
    <row r="84" spans="1:9" ht="45" hidden="1">
      <c r="A84" s="93">
        <v>80</v>
      </c>
      <c r="B84" s="89" t="s">
        <v>799</v>
      </c>
      <c r="C84" s="89" t="s">
        <v>800</v>
      </c>
      <c r="D84" s="97" t="s">
        <v>798</v>
      </c>
      <c r="E84" s="89" t="s">
        <v>695</v>
      </c>
      <c r="F84" s="89" t="s">
        <v>638</v>
      </c>
      <c r="G84" s="89" t="s">
        <v>671</v>
      </c>
      <c r="H84" s="89" t="s">
        <v>649</v>
      </c>
      <c r="I84" s="89" t="s">
        <v>625</v>
      </c>
    </row>
    <row r="85" spans="1:9" ht="30" hidden="1">
      <c r="A85" s="93">
        <v>81</v>
      </c>
      <c r="B85" s="89" t="s">
        <v>801</v>
      </c>
      <c r="C85" s="89" t="s">
        <v>802</v>
      </c>
      <c r="D85" s="97" t="s">
        <v>798</v>
      </c>
      <c r="E85" s="89" t="s">
        <v>695</v>
      </c>
      <c r="F85" s="89" t="s">
        <v>638</v>
      </c>
      <c r="G85" s="89" t="s">
        <v>671</v>
      </c>
      <c r="H85" s="89" t="s">
        <v>649</v>
      </c>
      <c r="I85" s="89" t="s">
        <v>625</v>
      </c>
    </row>
    <row r="86" spans="1:9" ht="75" hidden="1">
      <c r="A86" s="93">
        <v>82</v>
      </c>
      <c r="B86" s="89" t="s">
        <v>803</v>
      </c>
      <c r="C86" s="89" t="s">
        <v>804</v>
      </c>
      <c r="D86" s="97" t="s">
        <v>798</v>
      </c>
      <c r="E86" s="89" t="s">
        <v>695</v>
      </c>
      <c r="F86" s="89" t="s">
        <v>638</v>
      </c>
      <c r="G86" s="89" t="s">
        <v>671</v>
      </c>
      <c r="H86" s="89" t="s">
        <v>649</v>
      </c>
      <c r="I86" s="89" t="s">
        <v>625</v>
      </c>
    </row>
    <row r="87" spans="1:9" ht="45" hidden="1">
      <c r="A87" s="93">
        <v>83</v>
      </c>
      <c r="B87" s="89" t="s">
        <v>805</v>
      </c>
      <c r="C87" s="89" t="s">
        <v>806</v>
      </c>
      <c r="D87" s="97" t="s">
        <v>798</v>
      </c>
      <c r="E87" s="89" t="s">
        <v>695</v>
      </c>
      <c r="F87" s="89" t="s">
        <v>638</v>
      </c>
      <c r="G87" s="89" t="s">
        <v>671</v>
      </c>
      <c r="H87" s="89" t="s">
        <v>649</v>
      </c>
      <c r="I87" s="89" t="s">
        <v>625</v>
      </c>
    </row>
    <row r="88" spans="1:9" ht="30" hidden="1">
      <c r="A88" s="93">
        <v>84</v>
      </c>
      <c r="B88" s="89" t="s">
        <v>807</v>
      </c>
      <c r="C88" s="89" t="s">
        <v>808</v>
      </c>
      <c r="D88" s="97" t="s">
        <v>798</v>
      </c>
      <c r="E88" s="89" t="s">
        <v>695</v>
      </c>
      <c r="F88" s="89" t="s">
        <v>638</v>
      </c>
      <c r="G88" s="89" t="s">
        <v>671</v>
      </c>
      <c r="H88" s="89" t="s">
        <v>649</v>
      </c>
      <c r="I88" s="89" t="s">
        <v>625</v>
      </c>
    </row>
    <row r="89" spans="1:9" ht="30" hidden="1">
      <c r="A89" s="93">
        <v>85</v>
      </c>
      <c r="B89" s="89" t="s">
        <v>809</v>
      </c>
      <c r="C89" s="89" t="s">
        <v>810</v>
      </c>
      <c r="D89" s="97" t="s">
        <v>798</v>
      </c>
      <c r="E89" s="89" t="s">
        <v>695</v>
      </c>
      <c r="F89" s="89" t="s">
        <v>638</v>
      </c>
      <c r="G89" s="89" t="s">
        <v>671</v>
      </c>
      <c r="H89" s="89" t="s">
        <v>649</v>
      </c>
      <c r="I89" s="89" t="s">
        <v>625</v>
      </c>
    </row>
    <row r="90" spans="1:9" ht="30" hidden="1">
      <c r="A90" s="93">
        <v>86</v>
      </c>
      <c r="B90" s="89" t="s">
        <v>811</v>
      </c>
      <c r="C90" s="89" t="s">
        <v>812</v>
      </c>
      <c r="D90" s="97" t="s">
        <v>813</v>
      </c>
      <c r="E90" s="89" t="s">
        <v>695</v>
      </c>
      <c r="F90" s="89" t="s">
        <v>689</v>
      </c>
      <c r="G90" s="89" t="s">
        <v>625</v>
      </c>
      <c r="H90" s="89" t="s">
        <v>625</v>
      </c>
      <c r="I90" s="89" t="s">
        <v>625</v>
      </c>
    </row>
    <row r="91" spans="1:9" ht="30" hidden="1">
      <c r="A91" s="93">
        <v>87</v>
      </c>
      <c r="B91" s="89" t="s">
        <v>814</v>
      </c>
      <c r="C91" s="89" t="s">
        <v>815</v>
      </c>
      <c r="D91" s="97" t="s">
        <v>813</v>
      </c>
      <c r="E91" s="89" t="s">
        <v>695</v>
      </c>
      <c r="F91" s="89" t="s">
        <v>689</v>
      </c>
      <c r="G91" s="89" t="s">
        <v>625</v>
      </c>
      <c r="H91" s="89" t="s">
        <v>625</v>
      </c>
      <c r="I91" s="89" t="s">
        <v>625</v>
      </c>
    </row>
    <row r="92" spans="1:9" ht="30" hidden="1">
      <c r="A92" s="93">
        <v>88</v>
      </c>
      <c r="B92" s="89" t="s">
        <v>816</v>
      </c>
      <c r="C92" s="89" t="s">
        <v>817</v>
      </c>
      <c r="D92" s="97" t="s">
        <v>813</v>
      </c>
      <c r="E92" s="89" t="s">
        <v>695</v>
      </c>
      <c r="F92" s="89" t="s">
        <v>689</v>
      </c>
      <c r="G92" s="89" t="s">
        <v>625</v>
      </c>
      <c r="H92" s="89" t="s">
        <v>625</v>
      </c>
      <c r="I92" s="89" t="s">
        <v>625</v>
      </c>
    </row>
    <row r="93" spans="1:9" ht="30" hidden="1">
      <c r="A93" s="93">
        <v>89</v>
      </c>
      <c r="B93" s="89" t="s">
        <v>818</v>
      </c>
      <c r="C93" s="89" t="s">
        <v>819</v>
      </c>
      <c r="D93" s="97" t="s">
        <v>813</v>
      </c>
      <c r="E93" s="89" t="s">
        <v>695</v>
      </c>
      <c r="F93" s="89" t="s">
        <v>689</v>
      </c>
      <c r="G93" s="89" t="s">
        <v>625</v>
      </c>
      <c r="H93" s="89" t="s">
        <v>625</v>
      </c>
      <c r="I93" s="89" t="s">
        <v>625</v>
      </c>
    </row>
    <row r="94" spans="1:9" ht="45" hidden="1">
      <c r="A94" s="93">
        <v>90</v>
      </c>
      <c r="B94" s="89" t="s">
        <v>820</v>
      </c>
      <c r="C94" s="89" t="s">
        <v>821</v>
      </c>
      <c r="D94" s="97" t="s">
        <v>813</v>
      </c>
      <c r="E94" s="89" t="s">
        <v>695</v>
      </c>
      <c r="F94" s="89" t="s">
        <v>689</v>
      </c>
      <c r="G94" s="89" t="s">
        <v>625</v>
      </c>
      <c r="H94" s="89" t="s">
        <v>625</v>
      </c>
      <c r="I94" s="89" t="s">
        <v>625</v>
      </c>
    </row>
    <row r="95" spans="1:9" ht="45" hidden="1">
      <c r="A95" s="93">
        <v>91</v>
      </c>
      <c r="B95" s="89" t="s">
        <v>822</v>
      </c>
      <c r="C95" s="89" t="s">
        <v>823</v>
      </c>
      <c r="D95" s="97" t="s">
        <v>813</v>
      </c>
      <c r="E95" s="89" t="s">
        <v>695</v>
      </c>
      <c r="F95" s="89" t="s">
        <v>689</v>
      </c>
      <c r="G95" s="89" t="s">
        <v>625</v>
      </c>
      <c r="H95" s="89" t="s">
        <v>625</v>
      </c>
      <c r="I95" s="89" t="s">
        <v>625</v>
      </c>
    </row>
    <row r="96" spans="1:9" ht="30" hidden="1">
      <c r="A96" s="93">
        <v>92</v>
      </c>
      <c r="B96" s="89" t="s">
        <v>824</v>
      </c>
      <c r="C96" s="89" t="s">
        <v>825</v>
      </c>
      <c r="D96" s="97" t="s">
        <v>813</v>
      </c>
      <c r="E96" s="89" t="s">
        <v>695</v>
      </c>
      <c r="F96" s="89" t="s">
        <v>689</v>
      </c>
      <c r="G96" s="89" t="s">
        <v>625</v>
      </c>
      <c r="H96" s="89" t="s">
        <v>625</v>
      </c>
      <c r="I96" s="89" t="s">
        <v>625</v>
      </c>
    </row>
    <row r="97" spans="1:9" ht="45" hidden="1">
      <c r="A97" s="93">
        <v>93</v>
      </c>
      <c r="B97" s="89" t="s">
        <v>826</v>
      </c>
      <c r="C97" s="89" t="s">
        <v>827</v>
      </c>
      <c r="D97" s="97" t="s">
        <v>828</v>
      </c>
      <c r="E97" s="89" t="s">
        <v>637</v>
      </c>
      <c r="F97" s="89" t="s">
        <v>638</v>
      </c>
      <c r="G97" s="89" t="s">
        <v>625</v>
      </c>
      <c r="H97" s="89" t="s">
        <v>625</v>
      </c>
      <c r="I97" s="89" t="s">
        <v>625</v>
      </c>
    </row>
    <row r="98" spans="1:9" ht="30" hidden="1">
      <c r="A98" s="93">
        <v>94</v>
      </c>
      <c r="B98" s="89" t="s">
        <v>829</v>
      </c>
      <c r="C98" s="89" t="s">
        <v>830</v>
      </c>
      <c r="D98" s="97" t="s">
        <v>828</v>
      </c>
      <c r="E98" s="89" t="s">
        <v>637</v>
      </c>
      <c r="F98" s="89" t="s">
        <v>638</v>
      </c>
      <c r="G98" s="89" t="s">
        <v>625</v>
      </c>
      <c r="H98" s="89" t="s">
        <v>625</v>
      </c>
      <c r="I98" s="89" t="s">
        <v>625</v>
      </c>
    </row>
    <row r="99" spans="1:9" ht="30" hidden="1">
      <c r="A99" s="93">
        <v>95</v>
      </c>
      <c r="B99" s="89" t="s">
        <v>831</v>
      </c>
      <c r="C99" s="89" t="s">
        <v>832</v>
      </c>
      <c r="D99" s="97" t="s">
        <v>828</v>
      </c>
      <c r="E99" s="89" t="s">
        <v>637</v>
      </c>
      <c r="F99" s="89" t="s">
        <v>638</v>
      </c>
      <c r="G99" s="89" t="s">
        <v>625</v>
      </c>
      <c r="H99" s="89" t="s">
        <v>625</v>
      </c>
      <c r="I99" s="89" t="s">
        <v>625</v>
      </c>
    </row>
    <row r="100" spans="1:9" ht="30" hidden="1">
      <c r="A100" s="93">
        <v>96</v>
      </c>
      <c r="B100" s="89" t="s">
        <v>833</v>
      </c>
      <c r="C100" s="89" t="s">
        <v>834</v>
      </c>
      <c r="D100" s="97" t="s">
        <v>828</v>
      </c>
      <c r="E100" s="89" t="s">
        <v>637</v>
      </c>
      <c r="F100" s="89" t="s">
        <v>638</v>
      </c>
      <c r="G100" s="89" t="s">
        <v>625</v>
      </c>
      <c r="H100" s="89" t="s">
        <v>625</v>
      </c>
      <c r="I100" s="89" t="s">
        <v>625</v>
      </c>
    </row>
    <row r="101" spans="1:9" ht="30" hidden="1">
      <c r="A101" s="93">
        <v>97</v>
      </c>
      <c r="B101" s="89" t="s">
        <v>835</v>
      </c>
      <c r="C101" s="89" t="s">
        <v>836</v>
      </c>
      <c r="D101" s="97" t="s">
        <v>837</v>
      </c>
      <c r="E101" s="89" t="s">
        <v>648</v>
      </c>
      <c r="F101" s="89" t="s">
        <v>689</v>
      </c>
      <c r="G101" s="89" t="s">
        <v>671</v>
      </c>
      <c r="H101" s="89" t="s">
        <v>649</v>
      </c>
      <c r="I101" s="89" t="s">
        <v>625</v>
      </c>
    </row>
    <row r="102" spans="1:9" ht="30" hidden="1">
      <c r="A102" s="93">
        <v>98</v>
      </c>
      <c r="B102" s="89" t="s">
        <v>838</v>
      </c>
      <c r="C102" s="89" t="s">
        <v>839</v>
      </c>
      <c r="D102" s="97" t="s">
        <v>837</v>
      </c>
      <c r="E102" s="89" t="s">
        <v>648</v>
      </c>
      <c r="F102" s="89" t="s">
        <v>689</v>
      </c>
      <c r="G102" s="89" t="s">
        <v>671</v>
      </c>
      <c r="H102" s="89" t="s">
        <v>649</v>
      </c>
      <c r="I102" s="89" t="s">
        <v>625</v>
      </c>
    </row>
    <row r="103" spans="1:9" ht="30" hidden="1">
      <c r="A103" s="93">
        <v>99</v>
      </c>
      <c r="B103" s="89" t="s">
        <v>840</v>
      </c>
      <c r="C103" s="89" t="s">
        <v>841</v>
      </c>
      <c r="D103" s="97" t="s">
        <v>837</v>
      </c>
      <c r="E103" s="89" t="s">
        <v>648</v>
      </c>
      <c r="F103" s="89" t="s">
        <v>689</v>
      </c>
      <c r="G103" s="89" t="s">
        <v>671</v>
      </c>
      <c r="H103" s="89" t="s">
        <v>649</v>
      </c>
      <c r="I103" s="89" t="s">
        <v>625</v>
      </c>
    </row>
    <row r="104" spans="1:9" ht="30" hidden="1">
      <c r="A104" s="93">
        <v>100</v>
      </c>
      <c r="B104" s="89" t="s">
        <v>842</v>
      </c>
      <c r="C104" s="89" t="s">
        <v>843</v>
      </c>
      <c r="D104" s="97" t="s">
        <v>837</v>
      </c>
      <c r="E104" s="89" t="s">
        <v>648</v>
      </c>
      <c r="F104" s="89" t="s">
        <v>689</v>
      </c>
      <c r="G104" s="89" t="s">
        <v>671</v>
      </c>
      <c r="H104" s="89" t="s">
        <v>649</v>
      </c>
      <c r="I104" s="89" t="s">
        <v>625</v>
      </c>
    </row>
    <row r="105" spans="1:9" ht="45" hidden="1">
      <c r="A105" s="93">
        <v>101</v>
      </c>
      <c r="B105" s="89" t="s">
        <v>844</v>
      </c>
      <c r="C105" s="89" t="s">
        <v>845</v>
      </c>
      <c r="D105" s="97" t="s">
        <v>846</v>
      </c>
      <c r="E105" s="89" t="s">
        <v>637</v>
      </c>
      <c r="F105" s="89" t="s">
        <v>638</v>
      </c>
      <c r="G105" s="89" t="s">
        <v>625</v>
      </c>
      <c r="H105" s="89" t="s">
        <v>625</v>
      </c>
      <c r="I105" s="89" t="s">
        <v>625</v>
      </c>
    </row>
    <row r="106" spans="1:9" ht="30" hidden="1">
      <c r="A106" s="93">
        <v>102</v>
      </c>
      <c r="B106" s="89" t="s">
        <v>847</v>
      </c>
      <c r="C106" s="89" t="s">
        <v>848</v>
      </c>
      <c r="D106" s="97" t="s">
        <v>846</v>
      </c>
      <c r="E106" s="89" t="s">
        <v>637</v>
      </c>
      <c r="F106" s="89" t="s">
        <v>638</v>
      </c>
      <c r="G106" s="89" t="s">
        <v>625</v>
      </c>
      <c r="H106" s="89" t="s">
        <v>625</v>
      </c>
      <c r="I106" s="89" t="s">
        <v>625</v>
      </c>
    </row>
  </sheetData>
  <autoFilter ref="A4:I106" xr:uid="{078569DA-69D0-4FDB-A887-0BF3462AFAB6}">
    <filterColumn colId="4">
      <filters>
        <filter val="Chiếu sáng khu vực Trung tâm"/>
      </filters>
    </filterColumn>
  </autoFilter>
  <mergeCells count="2">
    <mergeCell ref="A1:I1"/>
    <mergeCell ref="G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3BD4-6E60-4573-8658-D66CDE85792C}">
  <sheetPr filterMode="1"/>
  <dimension ref="A1:H911"/>
  <sheetViews>
    <sheetView workbookViewId="0">
      <pane ySplit="2" topLeftCell="A911" activePane="bottomLeft" state="frozen"/>
      <selection pane="bottomLeft" activeCell="F539" sqref="F539"/>
    </sheetView>
  </sheetViews>
  <sheetFormatPr defaultColWidth="9" defaultRowHeight="14.25"/>
  <cols>
    <col min="1" max="1" width="15.375" style="117" customWidth="1"/>
    <col min="2" max="2" width="18.875" style="117" customWidth="1"/>
    <col min="3" max="3" width="20.625" style="117" customWidth="1"/>
    <col min="4" max="4" width="19.5" style="117" customWidth="1"/>
    <col min="5" max="5" width="9" style="115"/>
    <col min="6" max="6" width="11" style="117" customWidth="1"/>
    <col min="7" max="7" width="9" style="115"/>
    <col min="8" max="8" width="15.125" style="117" customWidth="1"/>
    <col min="9" max="16384" width="9" style="117"/>
  </cols>
  <sheetData>
    <row r="1" spans="1:8" s="115" customFormat="1" ht="31.5">
      <c r="A1" s="113" t="s">
        <v>849</v>
      </c>
      <c r="B1" s="114" t="s">
        <v>850</v>
      </c>
      <c r="C1" s="118" t="s">
        <v>851</v>
      </c>
      <c r="D1" s="114" t="s">
        <v>852</v>
      </c>
      <c r="E1" s="114" t="s">
        <v>853</v>
      </c>
      <c r="F1" s="118" t="s">
        <v>854</v>
      </c>
      <c r="G1" s="114" t="s">
        <v>3</v>
      </c>
      <c r="H1" s="114" t="s">
        <v>855</v>
      </c>
    </row>
    <row r="2" spans="1:8" s="115" customFormat="1" ht="15.75">
      <c r="A2" s="116">
        <f>SUBTOTAL(103,A3:A911)</f>
        <v>1</v>
      </c>
      <c r="B2" s="116">
        <f>SUBTOTAL(103,B3:B911)</f>
        <v>1</v>
      </c>
      <c r="C2" s="116">
        <f>SUBTOTAL(103,C3:C911)</f>
        <v>1</v>
      </c>
      <c r="D2" s="116">
        <f>SUBTOTAL(103,D3:D911)</f>
        <v>1</v>
      </c>
      <c r="E2" s="116"/>
      <c r="F2" s="116"/>
      <c r="G2" s="116"/>
      <c r="H2" s="116"/>
    </row>
    <row r="3" spans="1:8" ht="15.75" hidden="1">
      <c r="A3" s="144" t="s">
        <v>856</v>
      </c>
      <c r="B3" s="145" t="s">
        <v>857</v>
      </c>
      <c r="C3" s="144" t="s">
        <v>858</v>
      </c>
      <c r="D3" s="144" t="s">
        <v>859</v>
      </c>
      <c r="E3" s="146">
        <v>7</v>
      </c>
      <c r="F3" s="147" t="s">
        <v>287</v>
      </c>
      <c r="G3" s="146">
        <v>5</v>
      </c>
      <c r="H3" s="148" t="s">
        <v>860</v>
      </c>
    </row>
    <row r="4" spans="1:8" ht="15.75" hidden="1">
      <c r="A4" s="149" t="s">
        <v>861</v>
      </c>
      <c r="B4" s="150" t="s">
        <v>862</v>
      </c>
      <c r="C4" s="149" t="s">
        <v>863</v>
      </c>
      <c r="D4" s="149" t="s">
        <v>864</v>
      </c>
      <c r="E4" s="151">
        <v>8</v>
      </c>
      <c r="F4" s="152" t="s">
        <v>287</v>
      </c>
      <c r="G4" s="151">
        <v>5</v>
      </c>
      <c r="H4" s="153" t="s">
        <v>860</v>
      </c>
    </row>
    <row r="5" spans="1:8" ht="15.75" hidden="1">
      <c r="A5" s="149" t="s">
        <v>865</v>
      </c>
      <c r="B5" s="150" t="s">
        <v>866</v>
      </c>
      <c r="C5" s="149" t="s">
        <v>867</v>
      </c>
      <c r="D5" s="149" t="s">
        <v>868</v>
      </c>
      <c r="E5" s="151">
        <v>9</v>
      </c>
      <c r="F5" s="152" t="s">
        <v>287</v>
      </c>
      <c r="G5" s="151">
        <v>5</v>
      </c>
      <c r="H5" s="153" t="s">
        <v>860</v>
      </c>
    </row>
    <row r="6" spans="1:8" ht="31.5" hidden="1">
      <c r="A6" s="149" t="s">
        <v>869</v>
      </c>
      <c r="B6" s="150" t="s">
        <v>870</v>
      </c>
      <c r="C6" s="149" t="s">
        <v>871</v>
      </c>
      <c r="D6" s="149" t="s">
        <v>872</v>
      </c>
      <c r="E6" s="151">
        <v>8</v>
      </c>
      <c r="F6" s="152" t="s">
        <v>287</v>
      </c>
      <c r="G6" s="151">
        <v>5</v>
      </c>
      <c r="H6" s="153" t="s">
        <v>860</v>
      </c>
    </row>
    <row r="7" spans="1:8" ht="15.75" hidden="1">
      <c r="A7" s="149" t="s">
        <v>873</v>
      </c>
      <c r="B7" s="150" t="s">
        <v>874</v>
      </c>
      <c r="C7" s="149" t="s">
        <v>875</v>
      </c>
      <c r="D7" s="149" t="s">
        <v>875</v>
      </c>
      <c r="E7" s="151">
        <v>7</v>
      </c>
      <c r="F7" s="152" t="s">
        <v>287</v>
      </c>
      <c r="G7" s="151">
        <v>5</v>
      </c>
      <c r="H7" s="153" t="s">
        <v>860</v>
      </c>
    </row>
    <row r="8" spans="1:8" ht="15.75" hidden="1">
      <c r="A8" s="149" t="s">
        <v>876</v>
      </c>
      <c r="B8" s="150" t="s">
        <v>877</v>
      </c>
      <c r="C8" s="149" t="s">
        <v>878</v>
      </c>
      <c r="D8" s="149" t="s">
        <v>879</v>
      </c>
      <c r="E8" s="151">
        <v>8</v>
      </c>
      <c r="F8" s="152" t="s">
        <v>287</v>
      </c>
      <c r="G8" s="151">
        <v>5</v>
      </c>
      <c r="H8" s="153" t="s">
        <v>860</v>
      </c>
    </row>
    <row r="9" spans="1:8" ht="15.75" hidden="1">
      <c r="A9" s="149" t="s">
        <v>880</v>
      </c>
      <c r="B9" s="150" t="s">
        <v>881</v>
      </c>
      <c r="C9" s="149" t="s">
        <v>882</v>
      </c>
      <c r="D9" s="149" t="s">
        <v>883</v>
      </c>
      <c r="E9" s="151">
        <v>7</v>
      </c>
      <c r="F9" s="152" t="s">
        <v>287</v>
      </c>
      <c r="G9" s="151">
        <v>5</v>
      </c>
      <c r="H9" s="153" t="s">
        <v>860</v>
      </c>
    </row>
    <row r="10" spans="1:8" ht="15.75" hidden="1">
      <c r="A10" s="149" t="s">
        <v>884</v>
      </c>
      <c r="B10" s="150" t="s">
        <v>885</v>
      </c>
      <c r="C10" s="149" t="s">
        <v>886</v>
      </c>
      <c r="D10" s="149" t="s">
        <v>887</v>
      </c>
      <c r="E10" s="151">
        <v>7</v>
      </c>
      <c r="F10" s="152" t="s">
        <v>287</v>
      </c>
      <c r="G10" s="151">
        <v>5</v>
      </c>
      <c r="H10" s="153" t="s">
        <v>860</v>
      </c>
    </row>
    <row r="11" spans="1:8" ht="15.75" hidden="1">
      <c r="A11" s="149" t="s">
        <v>888</v>
      </c>
      <c r="B11" s="150" t="s">
        <v>889</v>
      </c>
      <c r="C11" s="149" t="s">
        <v>890</v>
      </c>
      <c r="D11" s="149" t="s">
        <v>891</v>
      </c>
      <c r="E11" s="151">
        <v>7</v>
      </c>
      <c r="F11" s="152" t="s">
        <v>287</v>
      </c>
      <c r="G11" s="151">
        <v>5</v>
      </c>
      <c r="H11" s="153" t="s">
        <v>860</v>
      </c>
    </row>
    <row r="12" spans="1:8" ht="15.75" hidden="1">
      <c r="A12" s="149" t="s">
        <v>892</v>
      </c>
      <c r="B12" s="150" t="s">
        <v>893</v>
      </c>
      <c r="C12" s="149" t="s">
        <v>894</v>
      </c>
      <c r="D12" s="149" t="s">
        <v>894</v>
      </c>
      <c r="E12" s="151">
        <v>14</v>
      </c>
      <c r="F12" s="152" t="s">
        <v>287</v>
      </c>
      <c r="G12" s="151">
        <v>5</v>
      </c>
      <c r="H12" s="153" t="s">
        <v>860</v>
      </c>
    </row>
    <row r="13" spans="1:8" ht="15.75" hidden="1">
      <c r="A13" s="149" t="s">
        <v>895</v>
      </c>
      <c r="B13" s="150" t="s">
        <v>896</v>
      </c>
      <c r="C13" s="149" t="s">
        <v>897</v>
      </c>
      <c r="D13" s="149" t="s">
        <v>898</v>
      </c>
      <c r="E13" s="151">
        <v>7</v>
      </c>
      <c r="F13" s="152" t="s">
        <v>287</v>
      </c>
      <c r="G13" s="151">
        <v>5</v>
      </c>
      <c r="H13" s="153" t="s">
        <v>860</v>
      </c>
    </row>
    <row r="14" spans="1:8" ht="15.75" hidden="1">
      <c r="A14" s="149" t="s">
        <v>899</v>
      </c>
      <c r="B14" s="150" t="s">
        <v>900</v>
      </c>
      <c r="C14" s="149" t="s">
        <v>901</v>
      </c>
      <c r="D14" s="149" t="s">
        <v>902</v>
      </c>
      <c r="E14" s="151">
        <v>6</v>
      </c>
      <c r="F14" s="152" t="s">
        <v>287</v>
      </c>
      <c r="G14" s="151">
        <v>5</v>
      </c>
      <c r="H14" s="153" t="s">
        <v>860</v>
      </c>
    </row>
    <row r="15" spans="1:8" ht="31.5" hidden="1">
      <c r="A15" s="149" t="s">
        <v>903</v>
      </c>
      <c r="B15" s="150" t="s">
        <v>904</v>
      </c>
      <c r="C15" s="149" t="s">
        <v>905</v>
      </c>
      <c r="D15" s="149" t="s">
        <v>906</v>
      </c>
      <c r="E15" s="151">
        <v>6</v>
      </c>
      <c r="F15" s="152" t="s">
        <v>287</v>
      </c>
      <c r="G15" s="151">
        <v>5</v>
      </c>
      <c r="H15" s="153" t="s">
        <v>860</v>
      </c>
    </row>
    <row r="16" spans="1:8" ht="31.5" hidden="1">
      <c r="A16" s="149" t="s">
        <v>907</v>
      </c>
      <c r="B16" s="150" t="s">
        <v>908</v>
      </c>
      <c r="C16" s="149" t="s">
        <v>909</v>
      </c>
      <c r="D16" s="149" t="s">
        <v>910</v>
      </c>
      <c r="E16" s="151">
        <v>5</v>
      </c>
      <c r="F16" s="152" t="s">
        <v>287</v>
      </c>
      <c r="G16" s="151">
        <v>5</v>
      </c>
      <c r="H16" s="153" t="s">
        <v>860</v>
      </c>
    </row>
    <row r="17" spans="1:8" ht="15.75" hidden="1">
      <c r="A17" s="149" t="s">
        <v>911</v>
      </c>
      <c r="B17" s="150" t="s">
        <v>912</v>
      </c>
      <c r="C17" s="149" t="s">
        <v>913</v>
      </c>
      <c r="D17" s="149" t="s">
        <v>914</v>
      </c>
      <c r="E17" s="151">
        <v>6</v>
      </c>
      <c r="F17" s="152" t="s">
        <v>287</v>
      </c>
      <c r="G17" s="151">
        <v>5</v>
      </c>
      <c r="H17" s="153" t="s">
        <v>860</v>
      </c>
    </row>
    <row r="18" spans="1:8" ht="15.75" hidden="1">
      <c r="A18" s="149" t="s">
        <v>915</v>
      </c>
      <c r="B18" s="150" t="s">
        <v>916</v>
      </c>
      <c r="C18" s="149" t="s">
        <v>917</v>
      </c>
      <c r="D18" s="149" t="s">
        <v>918</v>
      </c>
      <c r="E18" s="151">
        <v>6</v>
      </c>
      <c r="F18" s="152" t="s">
        <v>287</v>
      </c>
      <c r="G18" s="151">
        <v>5</v>
      </c>
      <c r="H18" s="153" t="s">
        <v>860</v>
      </c>
    </row>
    <row r="19" spans="1:8" ht="15.75" hidden="1">
      <c r="A19" s="149" t="s">
        <v>919</v>
      </c>
      <c r="B19" s="150" t="s">
        <v>920</v>
      </c>
      <c r="C19" s="149" t="s">
        <v>921</v>
      </c>
      <c r="D19" s="149" t="s">
        <v>922</v>
      </c>
      <c r="E19" s="151">
        <v>8</v>
      </c>
      <c r="F19" s="152" t="s">
        <v>287</v>
      </c>
      <c r="G19" s="151">
        <v>5</v>
      </c>
      <c r="H19" s="153" t="s">
        <v>860</v>
      </c>
    </row>
    <row r="20" spans="1:8" ht="31.5" hidden="1">
      <c r="A20" s="149" t="s">
        <v>923</v>
      </c>
      <c r="B20" s="150" t="s">
        <v>924</v>
      </c>
      <c r="C20" s="149" t="s">
        <v>925</v>
      </c>
      <c r="D20" s="149" t="s">
        <v>926</v>
      </c>
      <c r="E20" s="151">
        <v>6</v>
      </c>
      <c r="F20" s="152" t="s">
        <v>287</v>
      </c>
      <c r="G20" s="151">
        <v>5</v>
      </c>
      <c r="H20" s="153" t="s">
        <v>860</v>
      </c>
    </row>
    <row r="21" spans="1:8" ht="31.5" hidden="1">
      <c r="A21" s="149" t="s">
        <v>927</v>
      </c>
      <c r="B21" s="150" t="s">
        <v>928</v>
      </c>
      <c r="C21" s="149" t="s">
        <v>929</v>
      </c>
      <c r="D21" s="149" t="s">
        <v>930</v>
      </c>
      <c r="E21" s="151">
        <v>7</v>
      </c>
      <c r="F21" s="152" t="s">
        <v>287</v>
      </c>
      <c r="G21" s="151">
        <v>5</v>
      </c>
      <c r="H21" s="153" t="s">
        <v>860</v>
      </c>
    </row>
    <row r="22" spans="1:8" ht="15.75" hidden="1">
      <c r="A22" s="149" t="s">
        <v>931</v>
      </c>
      <c r="B22" s="150" t="s">
        <v>932</v>
      </c>
      <c r="C22" s="149" t="s">
        <v>933</v>
      </c>
      <c r="D22" s="149" t="s">
        <v>934</v>
      </c>
      <c r="E22" s="151">
        <v>6</v>
      </c>
      <c r="F22" s="152" t="s">
        <v>287</v>
      </c>
      <c r="G22" s="151">
        <v>5</v>
      </c>
      <c r="H22" s="153" t="s">
        <v>860</v>
      </c>
    </row>
    <row r="23" spans="1:8" ht="15.75" hidden="1">
      <c r="A23" s="149" t="s">
        <v>935</v>
      </c>
      <c r="B23" s="150" t="s">
        <v>936</v>
      </c>
      <c r="C23" s="149" t="s">
        <v>937</v>
      </c>
      <c r="D23" s="149" t="s">
        <v>938</v>
      </c>
      <c r="E23" s="151">
        <v>10</v>
      </c>
      <c r="F23" s="152" t="s">
        <v>266</v>
      </c>
      <c r="G23" s="151">
        <v>5</v>
      </c>
      <c r="H23" s="153" t="s">
        <v>860</v>
      </c>
    </row>
    <row r="24" spans="1:8" ht="15.75" hidden="1">
      <c r="A24" s="149" t="s">
        <v>939</v>
      </c>
      <c r="B24" s="150" t="s">
        <v>940</v>
      </c>
      <c r="C24" s="149" t="s">
        <v>941</v>
      </c>
      <c r="D24" s="149" t="s">
        <v>942</v>
      </c>
      <c r="E24" s="151">
        <v>10</v>
      </c>
      <c r="F24" s="152" t="s">
        <v>266</v>
      </c>
      <c r="G24" s="151">
        <v>5</v>
      </c>
      <c r="H24" s="153" t="s">
        <v>860</v>
      </c>
    </row>
    <row r="25" spans="1:8" ht="15.75" hidden="1">
      <c r="A25" s="149" t="s">
        <v>943</v>
      </c>
      <c r="B25" s="150" t="s">
        <v>944</v>
      </c>
      <c r="C25" s="149" t="s">
        <v>945</v>
      </c>
      <c r="D25" s="149" t="s">
        <v>946</v>
      </c>
      <c r="E25" s="151">
        <v>10</v>
      </c>
      <c r="F25" s="152" t="s">
        <v>266</v>
      </c>
      <c r="G25" s="151">
        <v>5</v>
      </c>
      <c r="H25" s="153" t="s">
        <v>860</v>
      </c>
    </row>
    <row r="26" spans="1:8" ht="15.75" hidden="1">
      <c r="A26" s="149" t="s">
        <v>947</v>
      </c>
      <c r="B26" s="150" t="s">
        <v>948</v>
      </c>
      <c r="C26" s="149" t="s">
        <v>949</v>
      </c>
      <c r="D26" s="149" t="s">
        <v>950</v>
      </c>
      <c r="E26" s="151">
        <v>10</v>
      </c>
      <c r="F26" s="152" t="s">
        <v>266</v>
      </c>
      <c r="G26" s="151">
        <v>5</v>
      </c>
      <c r="H26" s="153" t="s">
        <v>860</v>
      </c>
    </row>
    <row r="27" spans="1:8" ht="15.75" hidden="1">
      <c r="A27" s="149" t="s">
        <v>951</v>
      </c>
      <c r="B27" s="150" t="s">
        <v>952</v>
      </c>
      <c r="C27" s="149" t="s">
        <v>952</v>
      </c>
      <c r="D27" s="149" t="s">
        <v>953</v>
      </c>
      <c r="E27" s="151">
        <v>10</v>
      </c>
      <c r="F27" s="152" t="s">
        <v>266</v>
      </c>
      <c r="G27" s="151">
        <v>5</v>
      </c>
      <c r="H27" s="153" t="s">
        <v>860</v>
      </c>
    </row>
    <row r="28" spans="1:8" ht="15.75" hidden="1">
      <c r="A28" s="149" t="s">
        <v>954</v>
      </c>
      <c r="B28" s="150" t="s">
        <v>955</v>
      </c>
      <c r="C28" s="149" t="s">
        <v>956</v>
      </c>
      <c r="D28" s="149" t="s">
        <v>957</v>
      </c>
      <c r="E28" s="151">
        <v>10</v>
      </c>
      <c r="F28" s="152" t="s">
        <v>266</v>
      </c>
      <c r="G28" s="151">
        <v>5</v>
      </c>
      <c r="H28" s="153" t="s">
        <v>860</v>
      </c>
    </row>
    <row r="29" spans="1:8" ht="15.75" hidden="1">
      <c r="A29" s="149" t="s">
        <v>958</v>
      </c>
      <c r="B29" s="150" t="s">
        <v>959</v>
      </c>
      <c r="C29" s="149" t="s">
        <v>960</v>
      </c>
      <c r="D29" s="149" t="s">
        <v>961</v>
      </c>
      <c r="E29" s="151">
        <v>10</v>
      </c>
      <c r="F29" s="152" t="s">
        <v>266</v>
      </c>
      <c r="G29" s="151">
        <v>5</v>
      </c>
      <c r="H29" s="153" t="s">
        <v>860</v>
      </c>
    </row>
    <row r="30" spans="1:8" ht="15.75" hidden="1">
      <c r="A30" s="149" t="s">
        <v>962</v>
      </c>
      <c r="B30" s="150" t="s">
        <v>963</v>
      </c>
      <c r="C30" s="149" t="s">
        <v>964</v>
      </c>
      <c r="D30" s="149" t="s">
        <v>965</v>
      </c>
      <c r="E30" s="151">
        <v>11</v>
      </c>
      <c r="F30" s="152" t="s">
        <v>266</v>
      </c>
      <c r="G30" s="151">
        <v>5</v>
      </c>
      <c r="H30" s="153" t="s">
        <v>860</v>
      </c>
    </row>
    <row r="31" spans="1:8" ht="15.75" hidden="1">
      <c r="A31" s="149" t="s">
        <v>966</v>
      </c>
      <c r="B31" s="150" t="s">
        <v>967</v>
      </c>
      <c r="C31" s="149" t="s">
        <v>968</v>
      </c>
      <c r="D31" s="149" t="s">
        <v>969</v>
      </c>
      <c r="E31" s="151">
        <v>11</v>
      </c>
      <c r="F31" s="152" t="s">
        <v>266</v>
      </c>
      <c r="G31" s="151">
        <v>5</v>
      </c>
      <c r="H31" s="153" t="s">
        <v>860</v>
      </c>
    </row>
    <row r="32" spans="1:8" ht="15.75" hidden="1">
      <c r="A32" s="149" t="s">
        <v>970</v>
      </c>
      <c r="B32" s="150" t="s">
        <v>971</v>
      </c>
      <c r="C32" s="149" t="s">
        <v>972</v>
      </c>
      <c r="D32" s="149" t="s">
        <v>973</v>
      </c>
      <c r="E32" s="151">
        <v>11</v>
      </c>
      <c r="F32" s="152" t="s">
        <v>266</v>
      </c>
      <c r="G32" s="151">
        <v>5</v>
      </c>
      <c r="H32" s="153" t="s">
        <v>860</v>
      </c>
    </row>
    <row r="33" spans="1:8" ht="15.75" hidden="1">
      <c r="A33" s="149" t="s">
        <v>974</v>
      </c>
      <c r="B33" s="150" t="s">
        <v>975</v>
      </c>
      <c r="C33" s="149" t="s">
        <v>975</v>
      </c>
      <c r="D33" s="149" t="s">
        <v>976</v>
      </c>
      <c r="E33" s="151">
        <v>11</v>
      </c>
      <c r="F33" s="152" t="s">
        <v>266</v>
      </c>
      <c r="G33" s="151">
        <v>5</v>
      </c>
      <c r="H33" s="153" t="s">
        <v>860</v>
      </c>
    </row>
    <row r="34" spans="1:8" ht="31.5" hidden="1">
      <c r="A34" s="149" t="s">
        <v>977</v>
      </c>
      <c r="B34" s="150" t="s">
        <v>978</v>
      </c>
      <c r="C34" s="149" t="s">
        <v>979</v>
      </c>
      <c r="D34" s="149" t="s">
        <v>980</v>
      </c>
      <c r="E34" s="151">
        <v>11</v>
      </c>
      <c r="F34" s="152" t="s">
        <v>266</v>
      </c>
      <c r="G34" s="151">
        <v>5</v>
      </c>
      <c r="H34" s="153" t="s">
        <v>860</v>
      </c>
    </row>
    <row r="35" spans="1:8" ht="15.75" hidden="1">
      <c r="A35" s="149" t="s">
        <v>981</v>
      </c>
      <c r="B35" s="150" t="s">
        <v>982</v>
      </c>
      <c r="C35" s="149" t="s">
        <v>983</v>
      </c>
      <c r="D35" s="149" t="s">
        <v>984</v>
      </c>
      <c r="E35" s="151">
        <v>11</v>
      </c>
      <c r="F35" s="152" t="s">
        <v>266</v>
      </c>
      <c r="G35" s="151">
        <v>5</v>
      </c>
      <c r="H35" s="153" t="s">
        <v>860</v>
      </c>
    </row>
    <row r="36" spans="1:8" ht="15.75" hidden="1">
      <c r="A36" s="149" t="s">
        <v>985</v>
      </c>
      <c r="B36" s="150" t="s">
        <v>986</v>
      </c>
      <c r="C36" s="149" t="s">
        <v>987</v>
      </c>
      <c r="D36" s="149" t="s">
        <v>988</v>
      </c>
      <c r="E36" s="151">
        <v>11</v>
      </c>
      <c r="F36" s="152" t="s">
        <v>266</v>
      </c>
      <c r="G36" s="151">
        <v>5</v>
      </c>
      <c r="H36" s="153" t="s">
        <v>860</v>
      </c>
    </row>
    <row r="37" spans="1:8" ht="31.5" hidden="1">
      <c r="A37" s="149" t="s">
        <v>989</v>
      </c>
      <c r="B37" s="150" t="s">
        <v>990</v>
      </c>
      <c r="C37" s="149" t="s">
        <v>990</v>
      </c>
      <c r="D37" s="149" t="s">
        <v>991</v>
      </c>
      <c r="E37" s="151">
        <v>11</v>
      </c>
      <c r="F37" s="152" t="s">
        <v>266</v>
      </c>
      <c r="G37" s="151">
        <v>5</v>
      </c>
      <c r="H37" s="153" t="s">
        <v>860</v>
      </c>
    </row>
    <row r="38" spans="1:8" ht="15.75" hidden="1">
      <c r="A38" s="149" t="s">
        <v>992</v>
      </c>
      <c r="B38" s="150" t="s">
        <v>993</v>
      </c>
      <c r="C38" s="149" t="s">
        <v>994</v>
      </c>
      <c r="D38" s="149" t="s">
        <v>995</v>
      </c>
      <c r="E38" s="151">
        <v>11</v>
      </c>
      <c r="F38" s="152" t="s">
        <v>266</v>
      </c>
      <c r="G38" s="151">
        <v>5</v>
      </c>
      <c r="H38" s="153" t="s">
        <v>860</v>
      </c>
    </row>
    <row r="39" spans="1:8" ht="15.75" hidden="1">
      <c r="A39" s="149" t="s">
        <v>996</v>
      </c>
      <c r="B39" s="150" t="s">
        <v>997</v>
      </c>
      <c r="C39" s="149" t="s">
        <v>998</v>
      </c>
      <c r="D39" s="149" t="s">
        <v>999</v>
      </c>
      <c r="E39" s="151">
        <v>11</v>
      </c>
      <c r="F39" s="152" t="s">
        <v>266</v>
      </c>
      <c r="G39" s="151">
        <v>5</v>
      </c>
      <c r="H39" s="153" t="s">
        <v>860</v>
      </c>
    </row>
    <row r="40" spans="1:8" ht="15.75" hidden="1">
      <c r="A40" s="149" t="s">
        <v>1000</v>
      </c>
      <c r="B40" s="150" t="s">
        <v>1001</v>
      </c>
      <c r="C40" s="149" t="s">
        <v>1002</v>
      </c>
      <c r="D40" s="149" t="s">
        <v>1003</v>
      </c>
      <c r="E40" s="151">
        <v>8</v>
      </c>
      <c r="F40" s="152" t="s">
        <v>287</v>
      </c>
      <c r="G40" s="151">
        <v>5</v>
      </c>
      <c r="H40" s="153" t="s">
        <v>860</v>
      </c>
    </row>
    <row r="41" spans="1:8" ht="15.75" hidden="1">
      <c r="A41" s="149" t="s">
        <v>1004</v>
      </c>
      <c r="B41" s="150" t="s">
        <v>1005</v>
      </c>
      <c r="C41" s="149" t="s">
        <v>1006</v>
      </c>
      <c r="D41" s="149" t="s">
        <v>1007</v>
      </c>
      <c r="E41" s="151">
        <v>8</v>
      </c>
      <c r="F41" s="152" t="s">
        <v>287</v>
      </c>
      <c r="G41" s="151">
        <v>5</v>
      </c>
      <c r="H41" s="153" t="s">
        <v>860</v>
      </c>
    </row>
    <row r="42" spans="1:8" ht="15.75" hidden="1">
      <c r="A42" s="149" t="s">
        <v>1008</v>
      </c>
      <c r="B42" s="150" t="s">
        <v>1009</v>
      </c>
      <c r="C42" s="149" t="s">
        <v>1010</v>
      </c>
      <c r="D42" s="149" t="s">
        <v>1011</v>
      </c>
      <c r="E42" s="151">
        <v>8</v>
      </c>
      <c r="F42" s="152" t="s">
        <v>287</v>
      </c>
      <c r="G42" s="151">
        <v>5</v>
      </c>
      <c r="H42" s="153" t="s">
        <v>860</v>
      </c>
    </row>
    <row r="43" spans="1:8" ht="15.75" hidden="1">
      <c r="A43" s="149" t="s">
        <v>1012</v>
      </c>
      <c r="B43" s="150" t="s">
        <v>1013</v>
      </c>
      <c r="C43" s="149" t="s">
        <v>1013</v>
      </c>
      <c r="D43" s="149" t="s">
        <v>1014</v>
      </c>
      <c r="E43" s="151">
        <v>8</v>
      </c>
      <c r="F43" s="152" t="s">
        <v>287</v>
      </c>
      <c r="G43" s="151">
        <v>5</v>
      </c>
      <c r="H43" s="153" t="s">
        <v>860</v>
      </c>
    </row>
    <row r="44" spans="1:8" ht="15.75" hidden="1">
      <c r="A44" s="149" t="s">
        <v>1015</v>
      </c>
      <c r="B44" s="150" t="s">
        <v>1016</v>
      </c>
      <c r="C44" s="149" t="s">
        <v>1017</v>
      </c>
      <c r="D44" s="149" t="s">
        <v>1018</v>
      </c>
      <c r="E44" s="151">
        <v>7</v>
      </c>
      <c r="F44" s="152" t="s">
        <v>287</v>
      </c>
      <c r="G44" s="151">
        <v>5</v>
      </c>
      <c r="H44" s="153" t="s">
        <v>860</v>
      </c>
    </row>
    <row r="45" spans="1:8" ht="15.75" hidden="1">
      <c r="A45" s="149" t="s">
        <v>1019</v>
      </c>
      <c r="B45" s="150" t="s">
        <v>1020</v>
      </c>
      <c r="C45" s="149" t="s">
        <v>1021</v>
      </c>
      <c r="D45" s="149" t="s">
        <v>1022</v>
      </c>
      <c r="E45" s="151">
        <v>9</v>
      </c>
      <c r="F45" s="152" t="s">
        <v>287</v>
      </c>
      <c r="G45" s="151">
        <v>5</v>
      </c>
      <c r="H45" s="153" t="s">
        <v>860</v>
      </c>
    </row>
    <row r="46" spans="1:8" ht="31.5" hidden="1">
      <c r="A46" s="149" t="s">
        <v>1023</v>
      </c>
      <c r="B46" s="150" t="s">
        <v>1024</v>
      </c>
      <c r="C46" s="149" t="s">
        <v>1025</v>
      </c>
      <c r="D46" s="149" t="s">
        <v>1026</v>
      </c>
      <c r="E46" s="151">
        <v>9</v>
      </c>
      <c r="F46" s="152" t="s">
        <v>287</v>
      </c>
      <c r="G46" s="151">
        <v>5</v>
      </c>
      <c r="H46" s="153" t="s">
        <v>860</v>
      </c>
    </row>
    <row r="47" spans="1:8" ht="31.5" hidden="1">
      <c r="A47" s="149" t="s">
        <v>1027</v>
      </c>
      <c r="B47" s="150" t="s">
        <v>1028</v>
      </c>
      <c r="C47" s="149" t="s">
        <v>1029</v>
      </c>
      <c r="D47" s="149" t="s">
        <v>1030</v>
      </c>
      <c r="E47" s="151">
        <v>9</v>
      </c>
      <c r="F47" s="152" t="s">
        <v>287</v>
      </c>
      <c r="G47" s="151">
        <v>5</v>
      </c>
      <c r="H47" s="153" t="s">
        <v>860</v>
      </c>
    </row>
    <row r="48" spans="1:8" ht="31.5" hidden="1">
      <c r="A48" s="149" t="s">
        <v>1031</v>
      </c>
      <c r="B48" s="150" t="s">
        <v>1032</v>
      </c>
      <c r="C48" s="149" t="s">
        <v>1033</v>
      </c>
      <c r="D48" s="149" t="s">
        <v>1034</v>
      </c>
      <c r="E48" s="151">
        <v>9</v>
      </c>
      <c r="F48" s="152" t="s">
        <v>287</v>
      </c>
      <c r="G48" s="151">
        <v>5</v>
      </c>
      <c r="H48" s="153" t="s">
        <v>860</v>
      </c>
    </row>
    <row r="49" spans="1:8" ht="15.75" hidden="1">
      <c r="A49" s="149" t="s">
        <v>1035</v>
      </c>
      <c r="B49" s="150" t="s">
        <v>1036</v>
      </c>
      <c r="C49" s="149" t="s">
        <v>1037</v>
      </c>
      <c r="D49" s="149" t="s">
        <v>1038</v>
      </c>
      <c r="E49" s="151">
        <v>9</v>
      </c>
      <c r="F49" s="152" t="s">
        <v>287</v>
      </c>
      <c r="G49" s="151">
        <v>5</v>
      </c>
      <c r="H49" s="153" t="s">
        <v>860</v>
      </c>
    </row>
    <row r="50" spans="1:8" ht="15.75" hidden="1">
      <c r="A50" s="149" t="s">
        <v>1039</v>
      </c>
      <c r="B50" s="150" t="s">
        <v>1040</v>
      </c>
      <c r="C50" s="149" t="s">
        <v>1041</v>
      </c>
      <c r="D50" s="149" t="s">
        <v>1042</v>
      </c>
      <c r="E50" s="151">
        <v>9</v>
      </c>
      <c r="F50" s="152" t="s">
        <v>287</v>
      </c>
      <c r="G50" s="151">
        <v>5</v>
      </c>
      <c r="H50" s="153" t="s">
        <v>860</v>
      </c>
    </row>
    <row r="51" spans="1:8" ht="31.5" hidden="1">
      <c r="A51" s="149" t="s">
        <v>1043</v>
      </c>
      <c r="B51" s="150" t="s">
        <v>1044</v>
      </c>
      <c r="C51" s="149" t="s">
        <v>1044</v>
      </c>
      <c r="D51" s="149" t="s">
        <v>1045</v>
      </c>
      <c r="E51" s="151">
        <v>9</v>
      </c>
      <c r="F51" s="152" t="s">
        <v>287</v>
      </c>
      <c r="G51" s="151">
        <v>5</v>
      </c>
      <c r="H51" s="153" t="s">
        <v>860</v>
      </c>
    </row>
    <row r="52" spans="1:8" ht="31.5" hidden="1">
      <c r="A52" s="149" t="s">
        <v>1046</v>
      </c>
      <c r="B52" s="150" t="s">
        <v>1047</v>
      </c>
      <c r="C52" s="149" t="s">
        <v>1048</v>
      </c>
      <c r="D52" s="149" t="s">
        <v>1049</v>
      </c>
      <c r="E52" s="151">
        <v>9</v>
      </c>
      <c r="F52" s="152" t="s">
        <v>287</v>
      </c>
      <c r="G52" s="151">
        <v>5</v>
      </c>
      <c r="H52" s="153" t="s">
        <v>860</v>
      </c>
    </row>
    <row r="53" spans="1:8" ht="15.75" hidden="1">
      <c r="A53" s="149" t="s">
        <v>1050</v>
      </c>
      <c r="B53" s="150" t="s">
        <v>1051</v>
      </c>
      <c r="C53" s="149" t="s">
        <v>1052</v>
      </c>
      <c r="D53" s="149" t="s">
        <v>1052</v>
      </c>
      <c r="E53" s="151">
        <v>9</v>
      </c>
      <c r="F53" s="152" t="s">
        <v>287</v>
      </c>
      <c r="G53" s="151">
        <v>5</v>
      </c>
      <c r="H53" s="153" t="s">
        <v>860</v>
      </c>
    </row>
    <row r="54" spans="1:8" ht="15.75" hidden="1">
      <c r="A54" s="149" t="s">
        <v>1053</v>
      </c>
      <c r="B54" s="150" t="s">
        <v>1054</v>
      </c>
      <c r="C54" s="149" t="s">
        <v>1055</v>
      </c>
      <c r="D54" s="149" t="s">
        <v>1056</v>
      </c>
      <c r="E54" s="151">
        <v>9</v>
      </c>
      <c r="F54" s="152" t="s">
        <v>287</v>
      </c>
      <c r="G54" s="151">
        <v>5</v>
      </c>
      <c r="H54" s="153" t="s">
        <v>860</v>
      </c>
    </row>
    <row r="55" spans="1:8" ht="31.5" hidden="1">
      <c r="A55" s="149" t="s">
        <v>1057</v>
      </c>
      <c r="B55" s="150" t="s">
        <v>1058</v>
      </c>
      <c r="C55" s="149" t="s">
        <v>1059</v>
      </c>
      <c r="D55" s="149" t="s">
        <v>1060</v>
      </c>
      <c r="E55" s="151">
        <v>9</v>
      </c>
      <c r="F55" s="152" t="s">
        <v>287</v>
      </c>
      <c r="G55" s="151">
        <v>5</v>
      </c>
      <c r="H55" s="153" t="s">
        <v>860</v>
      </c>
    </row>
    <row r="56" spans="1:8" ht="15.75" hidden="1">
      <c r="A56" s="149" t="s">
        <v>1061</v>
      </c>
      <c r="B56" s="150" t="s">
        <v>1062</v>
      </c>
      <c r="C56" s="149" t="s">
        <v>1063</v>
      </c>
      <c r="D56" s="149" t="s">
        <v>1064</v>
      </c>
      <c r="E56" s="151">
        <v>9</v>
      </c>
      <c r="F56" s="152" t="s">
        <v>287</v>
      </c>
      <c r="G56" s="151">
        <v>5</v>
      </c>
      <c r="H56" s="153" t="s">
        <v>860</v>
      </c>
    </row>
    <row r="57" spans="1:8" ht="15.75" hidden="1">
      <c r="A57" s="149" t="s">
        <v>1065</v>
      </c>
      <c r="B57" s="150" t="s">
        <v>1066</v>
      </c>
      <c r="C57" s="149" t="s">
        <v>1067</v>
      </c>
      <c r="D57" s="149" t="s">
        <v>1068</v>
      </c>
      <c r="E57" s="151">
        <v>9</v>
      </c>
      <c r="F57" s="152" t="s">
        <v>287</v>
      </c>
      <c r="G57" s="151">
        <v>5</v>
      </c>
      <c r="H57" s="153" t="s">
        <v>860</v>
      </c>
    </row>
    <row r="58" spans="1:8" ht="31.5" hidden="1">
      <c r="A58" s="149" t="s">
        <v>1069</v>
      </c>
      <c r="B58" s="150" t="s">
        <v>1070</v>
      </c>
      <c r="C58" s="149" t="s">
        <v>1071</v>
      </c>
      <c r="D58" s="149" t="s">
        <v>1072</v>
      </c>
      <c r="E58" s="151">
        <v>9</v>
      </c>
      <c r="F58" s="152" t="s">
        <v>287</v>
      </c>
      <c r="G58" s="151">
        <v>5</v>
      </c>
      <c r="H58" s="153" t="s">
        <v>860</v>
      </c>
    </row>
    <row r="59" spans="1:8" ht="15.75" hidden="1">
      <c r="A59" s="149" t="s">
        <v>1073</v>
      </c>
      <c r="B59" s="150" t="s">
        <v>1074</v>
      </c>
      <c r="C59" s="149" t="s">
        <v>1075</v>
      </c>
      <c r="D59" s="149" t="s">
        <v>1076</v>
      </c>
      <c r="E59" s="151">
        <v>9</v>
      </c>
      <c r="F59" s="152" t="s">
        <v>287</v>
      </c>
      <c r="G59" s="151">
        <v>5</v>
      </c>
      <c r="H59" s="153" t="s">
        <v>860</v>
      </c>
    </row>
    <row r="60" spans="1:8" ht="15.75" hidden="1">
      <c r="A60" s="149" t="s">
        <v>1077</v>
      </c>
      <c r="B60" s="150" t="s">
        <v>1078</v>
      </c>
      <c r="C60" s="149" t="s">
        <v>1079</v>
      </c>
      <c r="D60" s="149" t="s">
        <v>1079</v>
      </c>
      <c r="E60" s="151">
        <v>9</v>
      </c>
      <c r="F60" s="152" t="s">
        <v>287</v>
      </c>
      <c r="G60" s="151">
        <v>5</v>
      </c>
      <c r="H60" s="153" t="s">
        <v>860</v>
      </c>
    </row>
    <row r="61" spans="1:8" ht="15.75" hidden="1">
      <c r="A61" s="149" t="s">
        <v>1080</v>
      </c>
      <c r="B61" s="150" t="s">
        <v>1081</v>
      </c>
      <c r="C61" s="149" t="s">
        <v>1082</v>
      </c>
      <c r="D61" s="149" t="s">
        <v>1083</v>
      </c>
      <c r="E61" s="151">
        <v>9</v>
      </c>
      <c r="F61" s="152" t="s">
        <v>287</v>
      </c>
      <c r="G61" s="151">
        <v>5</v>
      </c>
      <c r="H61" s="153" t="s">
        <v>860</v>
      </c>
    </row>
    <row r="62" spans="1:8" ht="15.75" hidden="1">
      <c r="A62" s="149" t="s">
        <v>1084</v>
      </c>
      <c r="B62" s="150" t="s">
        <v>1085</v>
      </c>
      <c r="C62" s="149" t="s">
        <v>1086</v>
      </c>
      <c r="D62" s="149" t="s">
        <v>1087</v>
      </c>
      <c r="E62" s="151">
        <v>9</v>
      </c>
      <c r="F62" s="152" t="s">
        <v>287</v>
      </c>
      <c r="G62" s="151">
        <v>5</v>
      </c>
      <c r="H62" s="153" t="s">
        <v>860</v>
      </c>
    </row>
    <row r="63" spans="1:8" ht="15.75" hidden="1">
      <c r="A63" s="149" t="s">
        <v>1088</v>
      </c>
      <c r="B63" s="150" t="s">
        <v>1089</v>
      </c>
      <c r="C63" s="149" t="s">
        <v>1090</v>
      </c>
      <c r="D63" s="149" t="s">
        <v>1091</v>
      </c>
      <c r="E63" s="151">
        <v>9</v>
      </c>
      <c r="F63" s="152" t="s">
        <v>287</v>
      </c>
      <c r="G63" s="151">
        <v>5</v>
      </c>
      <c r="H63" s="153" t="s">
        <v>860</v>
      </c>
    </row>
    <row r="64" spans="1:8" ht="31.5" hidden="1">
      <c r="A64" s="149" t="s">
        <v>1092</v>
      </c>
      <c r="B64" s="150" t="s">
        <v>1093</v>
      </c>
      <c r="C64" s="149" t="s">
        <v>1094</v>
      </c>
      <c r="D64" s="149" t="s">
        <v>1095</v>
      </c>
      <c r="E64" s="151">
        <v>9</v>
      </c>
      <c r="F64" s="152" t="s">
        <v>287</v>
      </c>
      <c r="G64" s="151">
        <v>5</v>
      </c>
      <c r="H64" s="153" t="s">
        <v>860</v>
      </c>
    </row>
    <row r="65" spans="1:8" ht="15.75" hidden="1">
      <c r="A65" s="149" t="s">
        <v>1096</v>
      </c>
      <c r="B65" s="150" t="s">
        <v>1097</v>
      </c>
      <c r="C65" s="149" t="s">
        <v>1098</v>
      </c>
      <c r="D65" s="149" t="s">
        <v>1099</v>
      </c>
      <c r="E65" s="151">
        <v>11</v>
      </c>
      <c r="F65" s="152" t="s">
        <v>266</v>
      </c>
      <c r="G65" s="151">
        <v>5</v>
      </c>
      <c r="H65" s="153" t="s">
        <v>860</v>
      </c>
    </row>
    <row r="66" spans="1:8" ht="15.75" hidden="1">
      <c r="A66" s="149" t="s">
        <v>1100</v>
      </c>
      <c r="B66" s="150" t="s">
        <v>1101</v>
      </c>
      <c r="C66" s="149" t="s">
        <v>1102</v>
      </c>
      <c r="D66" s="149" t="s">
        <v>1103</v>
      </c>
      <c r="E66" s="151">
        <v>12</v>
      </c>
      <c r="F66" s="152" t="s">
        <v>266</v>
      </c>
      <c r="G66" s="151">
        <v>5</v>
      </c>
      <c r="H66" s="153" t="s">
        <v>860</v>
      </c>
    </row>
    <row r="67" spans="1:8" ht="15.75" hidden="1">
      <c r="A67" s="149" t="s">
        <v>1104</v>
      </c>
      <c r="B67" s="150" t="s">
        <v>1105</v>
      </c>
      <c r="C67" s="149" t="s">
        <v>1106</v>
      </c>
      <c r="D67" s="149" t="s">
        <v>1107</v>
      </c>
      <c r="E67" s="151">
        <v>12</v>
      </c>
      <c r="F67" s="152" t="s">
        <v>266</v>
      </c>
      <c r="G67" s="151">
        <v>5</v>
      </c>
      <c r="H67" s="153" t="s">
        <v>860</v>
      </c>
    </row>
    <row r="68" spans="1:8" ht="15.75" hidden="1">
      <c r="A68" s="149" t="s">
        <v>1108</v>
      </c>
      <c r="B68" s="150" t="s">
        <v>1109</v>
      </c>
      <c r="C68" s="149" t="s">
        <v>1110</v>
      </c>
      <c r="D68" s="149" t="s">
        <v>1111</v>
      </c>
      <c r="E68" s="151">
        <v>12</v>
      </c>
      <c r="F68" s="152" t="s">
        <v>266</v>
      </c>
      <c r="G68" s="151">
        <v>5</v>
      </c>
      <c r="H68" s="153" t="s">
        <v>860</v>
      </c>
    </row>
    <row r="69" spans="1:8" ht="31.5" hidden="1">
      <c r="A69" s="149" t="s">
        <v>1112</v>
      </c>
      <c r="B69" s="150" t="s">
        <v>1113</v>
      </c>
      <c r="C69" s="149" t="s">
        <v>1114</v>
      </c>
      <c r="D69" s="149" t="s">
        <v>1115</v>
      </c>
      <c r="E69" s="151">
        <v>10</v>
      </c>
      <c r="F69" s="152" t="s">
        <v>266</v>
      </c>
      <c r="G69" s="151">
        <v>5</v>
      </c>
      <c r="H69" s="153" t="s">
        <v>1116</v>
      </c>
    </row>
    <row r="70" spans="1:8" ht="31.5" hidden="1">
      <c r="A70" s="149" t="s">
        <v>1117</v>
      </c>
      <c r="B70" s="150" t="s">
        <v>1118</v>
      </c>
      <c r="C70" s="149" t="s">
        <v>1119</v>
      </c>
      <c r="D70" s="149" t="s">
        <v>1120</v>
      </c>
      <c r="E70" s="151">
        <v>10</v>
      </c>
      <c r="F70" s="152" t="s">
        <v>266</v>
      </c>
      <c r="G70" s="151">
        <v>5</v>
      </c>
      <c r="H70" s="153" t="s">
        <v>1116</v>
      </c>
    </row>
    <row r="71" spans="1:8" ht="31.5" hidden="1">
      <c r="A71" s="149" t="s">
        <v>1121</v>
      </c>
      <c r="B71" s="150" t="s">
        <v>1122</v>
      </c>
      <c r="C71" s="149" t="s">
        <v>1123</v>
      </c>
      <c r="D71" s="149" t="s">
        <v>1124</v>
      </c>
      <c r="E71" s="151">
        <v>10</v>
      </c>
      <c r="F71" s="152" t="s">
        <v>266</v>
      </c>
      <c r="G71" s="151">
        <v>5</v>
      </c>
      <c r="H71" s="153" t="s">
        <v>1116</v>
      </c>
    </row>
    <row r="72" spans="1:8" ht="31.5" hidden="1">
      <c r="A72" s="149" t="s">
        <v>1125</v>
      </c>
      <c r="B72" s="150" t="s">
        <v>1126</v>
      </c>
      <c r="C72" s="149" t="s">
        <v>1127</v>
      </c>
      <c r="D72" s="149" t="s">
        <v>1128</v>
      </c>
      <c r="E72" s="151">
        <v>10</v>
      </c>
      <c r="F72" s="152" t="s">
        <v>266</v>
      </c>
      <c r="G72" s="151">
        <v>5</v>
      </c>
      <c r="H72" s="153" t="s">
        <v>1116</v>
      </c>
    </row>
    <row r="73" spans="1:8" ht="31.5" hidden="1">
      <c r="A73" s="149" t="s">
        <v>1129</v>
      </c>
      <c r="B73" s="150" t="s">
        <v>1130</v>
      </c>
      <c r="C73" s="149" t="s">
        <v>1131</v>
      </c>
      <c r="D73" s="149" t="s">
        <v>1132</v>
      </c>
      <c r="E73" s="151">
        <v>10</v>
      </c>
      <c r="F73" s="152" t="s">
        <v>266</v>
      </c>
      <c r="G73" s="151">
        <v>5</v>
      </c>
      <c r="H73" s="153" t="s">
        <v>1116</v>
      </c>
    </row>
    <row r="74" spans="1:8" ht="31.5" hidden="1">
      <c r="A74" s="149" t="s">
        <v>1133</v>
      </c>
      <c r="B74" s="150" t="s">
        <v>1134</v>
      </c>
      <c r="C74" s="149" t="s">
        <v>1135</v>
      </c>
      <c r="D74" s="149" t="s">
        <v>1136</v>
      </c>
      <c r="E74" s="151">
        <v>10</v>
      </c>
      <c r="F74" s="152" t="s">
        <v>266</v>
      </c>
      <c r="G74" s="151">
        <v>5</v>
      </c>
      <c r="H74" s="153" t="s">
        <v>1116</v>
      </c>
    </row>
    <row r="75" spans="1:8" ht="15.75" hidden="1">
      <c r="A75" s="149" t="s">
        <v>1137</v>
      </c>
      <c r="B75" s="150" t="s">
        <v>1138</v>
      </c>
      <c r="C75" s="149" t="s">
        <v>1139</v>
      </c>
      <c r="D75" s="149" t="s">
        <v>1140</v>
      </c>
      <c r="E75" s="151">
        <v>11</v>
      </c>
      <c r="F75" s="152" t="s">
        <v>266</v>
      </c>
      <c r="G75" s="151">
        <v>5</v>
      </c>
      <c r="H75" s="153" t="s">
        <v>1116</v>
      </c>
    </row>
    <row r="76" spans="1:8" ht="15.75" hidden="1">
      <c r="A76" s="149" t="s">
        <v>1141</v>
      </c>
      <c r="B76" s="150" t="s">
        <v>1142</v>
      </c>
      <c r="C76" s="149" t="s">
        <v>1143</v>
      </c>
      <c r="D76" s="149" t="s">
        <v>1144</v>
      </c>
      <c r="E76" s="151">
        <v>14</v>
      </c>
      <c r="F76" s="152" t="s">
        <v>266</v>
      </c>
      <c r="G76" s="151">
        <v>5</v>
      </c>
      <c r="H76" s="153" t="s">
        <v>1116</v>
      </c>
    </row>
    <row r="77" spans="1:8" ht="15.75" hidden="1">
      <c r="A77" s="149" t="s">
        <v>1145</v>
      </c>
      <c r="B77" s="150" t="s">
        <v>1146</v>
      </c>
      <c r="C77" s="149" t="s">
        <v>1147</v>
      </c>
      <c r="D77" s="149" t="s">
        <v>1148</v>
      </c>
      <c r="E77" s="151">
        <v>14</v>
      </c>
      <c r="F77" s="152" t="s">
        <v>266</v>
      </c>
      <c r="G77" s="151">
        <v>5</v>
      </c>
      <c r="H77" s="153" t="s">
        <v>1116</v>
      </c>
    </row>
    <row r="78" spans="1:8" ht="31.5" hidden="1">
      <c r="A78" s="149" t="s">
        <v>1149</v>
      </c>
      <c r="B78" s="150" t="s">
        <v>1150</v>
      </c>
      <c r="C78" s="149" t="s">
        <v>1151</v>
      </c>
      <c r="D78" s="149" t="s">
        <v>1152</v>
      </c>
      <c r="E78" s="151">
        <v>14</v>
      </c>
      <c r="F78" s="152" t="s">
        <v>266</v>
      </c>
      <c r="G78" s="151">
        <v>5</v>
      </c>
      <c r="H78" s="153" t="s">
        <v>1116</v>
      </c>
    </row>
    <row r="79" spans="1:8" ht="31.5" hidden="1">
      <c r="A79" s="149" t="s">
        <v>1153</v>
      </c>
      <c r="B79" s="150" t="s">
        <v>1154</v>
      </c>
      <c r="C79" s="149" t="s">
        <v>1155</v>
      </c>
      <c r="D79" s="149" t="s">
        <v>1156</v>
      </c>
      <c r="E79" s="151">
        <v>13</v>
      </c>
      <c r="F79" s="152" t="s">
        <v>266</v>
      </c>
      <c r="G79" s="151">
        <v>5</v>
      </c>
      <c r="H79" s="153" t="s">
        <v>1116</v>
      </c>
    </row>
    <row r="80" spans="1:8" ht="15.75" hidden="1">
      <c r="A80" s="149" t="s">
        <v>1157</v>
      </c>
      <c r="B80" s="150" t="s">
        <v>1158</v>
      </c>
      <c r="C80" s="149" t="s">
        <v>1159</v>
      </c>
      <c r="D80" s="149" t="s">
        <v>1160</v>
      </c>
      <c r="E80" s="151">
        <v>13</v>
      </c>
      <c r="F80" s="152" t="s">
        <v>266</v>
      </c>
      <c r="G80" s="151">
        <v>5</v>
      </c>
      <c r="H80" s="153" t="s">
        <v>1116</v>
      </c>
    </row>
    <row r="81" spans="1:8" ht="15.75" hidden="1">
      <c r="A81" s="149" t="s">
        <v>1161</v>
      </c>
      <c r="B81" s="150" t="s">
        <v>1162</v>
      </c>
      <c r="C81" s="149" t="s">
        <v>1163</v>
      </c>
      <c r="D81" s="149" t="s">
        <v>1164</v>
      </c>
      <c r="E81" s="151">
        <v>13</v>
      </c>
      <c r="F81" s="152" t="s">
        <v>266</v>
      </c>
      <c r="G81" s="151">
        <v>5</v>
      </c>
      <c r="H81" s="153" t="s">
        <v>1116</v>
      </c>
    </row>
    <row r="82" spans="1:8" ht="15.75" hidden="1">
      <c r="A82" s="149" t="s">
        <v>1165</v>
      </c>
      <c r="B82" s="150" t="s">
        <v>1166</v>
      </c>
      <c r="C82" s="149" t="s">
        <v>1167</v>
      </c>
      <c r="D82" s="149" t="s">
        <v>1168</v>
      </c>
      <c r="E82" s="151">
        <v>13</v>
      </c>
      <c r="F82" s="152" t="s">
        <v>266</v>
      </c>
      <c r="G82" s="151">
        <v>5</v>
      </c>
      <c r="H82" s="153" t="s">
        <v>1116</v>
      </c>
    </row>
    <row r="83" spans="1:8" ht="31.5" hidden="1">
      <c r="A83" s="149" t="s">
        <v>1169</v>
      </c>
      <c r="B83" s="150" t="s">
        <v>1170</v>
      </c>
      <c r="C83" s="149" t="s">
        <v>1171</v>
      </c>
      <c r="D83" s="149" t="s">
        <v>1172</v>
      </c>
      <c r="E83" s="151">
        <v>13</v>
      </c>
      <c r="F83" s="152" t="s">
        <v>266</v>
      </c>
      <c r="G83" s="151">
        <v>5</v>
      </c>
      <c r="H83" s="153" t="s">
        <v>1116</v>
      </c>
    </row>
    <row r="84" spans="1:8" ht="15.75" hidden="1">
      <c r="A84" s="149" t="s">
        <v>1173</v>
      </c>
      <c r="B84" s="150" t="s">
        <v>1174</v>
      </c>
      <c r="C84" s="149" t="s">
        <v>1175</v>
      </c>
      <c r="D84" s="149" t="s">
        <v>1176</v>
      </c>
      <c r="E84" s="151">
        <v>13</v>
      </c>
      <c r="F84" s="152" t="s">
        <v>266</v>
      </c>
      <c r="G84" s="151">
        <v>5</v>
      </c>
      <c r="H84" s="153" t="s">
        <v>1116</v>
      </c>
    </row>
    <row r="85" spans="1:8" ht="15.75" hidden="1">
      <c r="A85" s="149" t="s">
        <v>1177</v>
      </c>
      <c r="B85" s="150" t="s">
        <v>1178</v>
      </c>
      <c r="C85" s="149" t="s">
        <v>1179</v>
      </c>
      <c r="D85" s="149" t="s">
        <v>1180</v>
      </c>
      <c r="E85" s="151">
        <v>13</v>
      </c>
      <c r="F85" s="152" t="s">
        <v>266</v>
      </c>
      <c r="G85" s="151">
        <v>5</v>
      </c>
      <c r="H85" s="153" t="s">
        <v>1116</v>
      </c>
    </row>
    <row r="86" spans="1:8" ht="15.75" hidden="1">
      <c r="A86" s="149" t="s">
        <v>1181</v>
      </c>
      <c r="B86" s="150" t="s">
        <v>1182</v>
      </c>
      <c r="C86" s="149" t="s">
        <v>1183</v>
      </c>
      <c r="D86" s="149" t="s">
        <v>1184</v>
      </c>
      <c r="E86" s="151">
        <v>13</v>
      </c>
      <c r="F86" s="152" t="s">
        <v>266</v>
      </c>
      <c r="G86" s="151">
        <v>5</v>
      </c>
      <c r="H86" s="153" t="s">
        <v>1116</v>
      </c>
    </row>
    <row r="87" spans="1:8" ht="15.75" hidden="1">
      <c r="A87" s="149" t="s">
        <v>1185</v>
      </c>
      <c r="B87" s="150" t="s">
        <v>1186</v>
      </c>
      <c r="C87" s="149" t="s">
        <v>1187</v>
      </c>
      <c r="D87" s="149" t="s">
        <v>1188</v>
      </c>
      <c r="E87" s="151">
        <v>13</v>
      </c>
      <c r="F87" s="152" t="s">
        <v>266</v>
      </c>
      <c r="G87" s="151">
        <v>5</v>
      </c>
      <c r="H87" s="153" t="s">
        <v>1116</v>
      </c>
    </row>
    <row r="88" spans="1:8" ht="31.5" hidden="1">
      <c r="A88" s="149" t="s">
        <v>1189</v>
      </c>
      <c r="B88" s="150" t="s">
        <v>1190</v>
      </c>
      <c r="C88" s="149" t="s">
        <v>1191</v>
      </c>
      <c r="D88" s="149" t="s">
        <v>1192</v>
      </c>
      <c r="E88" s="151">
        <v>13</v>
      </c>
      <c r="F88" s="152" t="s">
        <v>266</v>
      </c>
      <c r="G88" s="151">
        <v>5</v>
      </c>
      <c r="H88" s="153" t="s">
        <v>1116</v>
      </c>
    </row>
    <row r="89" spans="1:8" ht="31.5" hidden="1">
      <c r="A89" s="149" t="s">
        <v>1193</v>
      </c>
      <c r="B89" s="150" t="s">
        <v>1194</v>
      </c>
      <c r="C89" s="149" t="s">
        <v>1195</v>
      </c>
      <c r="D89" s="149" t="s">
        <v>1196</v>
      </c>
      <c r="E89" s="151">
        <v>13</v>
      </c>
      <c r="F89" s="152" t="s">
        <v>266</v>
      </c>
      <c r="G89" s="151">
        <v>5</v>
      </c>
      <c r="H89" s="153" t="s">
        <v>1116</v>
      </c>
    </row>
    <row r="90" spans="1:8" ht="31.5" hidden="1">
      <c r="A90" s="149" t="s">
        <v>1197</v>
      </c>
      <c r="B90" s="150" t="s">
        <v>1198</v>
      </c>
      <c r="C90" s="149" t="s">
        <v>1199</v>
      </c>
      <c r="D90" s="149" t="s">
        <v>1200</v>
      </c>
      <c r="E90" s="151">
        <v>4</v>
      </c>
      <c r="F90" s="152" t="s">
        <v>199</v>
      </c>
      <c r="G90" s="151">
        <v>5</v>
      </c>
      <c r="H90" s="153" t="s">
        <v>1116</v>
      </c>
    </row>
    <row r="91" spans="1:8" ht="15.75" hidden="1">
      <c r="A91" s="149" t="s">
        <v>1201</v>
      </c>
      <c r="B91" s="150" t="s">
        <v>1202</v>
      </c>
      <c r="C91" s="149" t="s">
        <v>1203</v>
      </c>
      <c r="D91" s="149" t="s">
        <v>1204</v>
      </c>
      <c r="E91" s="151">
        <v>13</v>
      </c>
      <c r="F91" s="152" t="s">
        <v>266</v>
      </c>
      <c r="G91" s="151">
        <v>5</v>
      </c>
      <c r="H91" s="153" t="s">
        <v>1116</v>
      </c>
    </row>
    <row r="92" spans="1:8" ht="31.5" hidden="1">
      <c r="A92" s="149" t="s">
        <v>1205</v>
      </c>
      <c r="B92" s="150" t="s">
        <v>1206</v>
      </c>
      <c r="C92" s="149" t="s">
        <v>1207</v>
      </c>
      <c r="D92" s="149" t="s">
        <v>1208</v>
      </c>
      <c r="E92" s="151">
        <v>14</v>
      </c>
      <c r="F92" s="152" t="s">
        <v>266</v>
      </c>
      <c r="G92" s="151">
        <v>5</v>
      </c>
      <c r="H92" s="153" t="s">
        <v>1116</v>
      </c>
    </row>
    <row r="93" spans="1:8" ht="15.75" hidden="1">
      <c r="A93" s="149" t="s">
        <v>1209</v>
      </c>
      <c r="B93" s="150" t="s">
        <v>1210</v>
      </c>
      <c r="C93" s="149" t="s">
        <v>1211</v>
      </c>
      <c r="D93" s="149" t="s">
        <v>1212</v>
      </c>
      <c r="E93" s="151">
        <v>14</v>
      </c>
      <c r="F93" s="152" t="s">
        <v>266</v>
      </c>
      <c r="G93" s="151">
        <v>5</v>
      </c>
      <c r="H93" s="153" t="s">
        <v>1116</v>
      </c>
    </row>
    <row r="94" spans="1:8" ht="15.75" hidden="1">
      <c r="A94" s="149" t="s">
        <v>1213</v>
      </c>
      <c r="B94" s="150" t="s">
        <v>1214</v>
      </c>
      <c r="C94" s="149" t="s">
        <v>1215</v>
      </c>
      <c r="D94" s="149" t="s">
        <v>1216</v>
      </c>
      <c r="E94" s="151">
        <v>14</v>
      </c>
      <c r="F94" s="152" t="s">
        <v>266</v>
      </c>
      <c r="G94" s="151">
        <v>5</v>
      </c>
      <c r="H94" s="153" t="s">
        <v>1116</v>
      </c>
    </row>
    <row r="95" spans="1:8" ht="15.75" hidden="1">
      <c r="A95" s="149" t="s">
        <v>1217</v>
      </c>
      <c r="B95" s="150" t="s">
        <v>1218</v>
      </c>
      <c r="C95" s="149" t="s">
        <v>1219</v>
      </c>
      <c r="D95" s="149" t="s">
        <v>1220</v>
      </c>
      <c r="E95" s="151">
        <v>14</v>
      </c>
      <c r="F95" s="152" t="s">
        <v>266</v>
      </c>
      <c r="G95" s="151">
        <v>5</v>
      </c>
      <c r="H95" s="153" t="s">
        <v>1116</v>
      </c>
    </row>
    <row r="96" spans="1:8" ht="15.75" hidden="1">
      <c r="A96" s="149" t="s">
        <v>1221</v>
      </c>
      <c r="B96" s="150" t="s">
        <v>1222</v>
      </c>
      <c r="C96" s="149" t="s">
        <v>1223</v>
      </c>
      <c r="D96" s="149" t="s">
        <v>1224</v>
      </c>
      <c r="E96" s="151">
        <v>14</v>
      </c>
      <c r="F96" s="152" t="s">
        <v>266</v>
      </c>
      <c r="G96" s="151">
        <v>5</v>
      </c>
      <c r="H96" s="153" t="s">
        <v>1116</v>
      </c>
    </row>
    <row r="97" spans="1:8" ht="15.75" hidden="1">
      <c r="A97" s="149" t="s">
        <v>1225</v>
      </c>
      <c r="B97" s="150" t="s">
        <v>1226</v>
      </c>
      <c r="C97" s="149" t="s">
        <v>1227</v>
      </c>
      <c r="D97" s="149" t="s">
        <v>1228</v>
      </c>
      <c r="E97" s="151">
        <v>14</v>
      </c>
      <c r="F97" s="152" t="s">
        <v>266</v>
      </c>
      <c r="G97" s="151">
        <v>5</v>
      </c>
      <c r="H97" s="153" t="s">
        <v>1116</v>
      </c>
    </row>
    <row r="98" spans="1:8" ht="15.75" hidden="1">
      <c r="A98" s="149" t="s">
        <v>1229</v>
      </c>
      <c r="B98" s="150" t="s">
        <v>1230</v>
      </c>
      <c r="C98" s="149" t="s">
        <v>1231</v>
      </c>
      <c r="D98" s="149" t="s">
        <v>1232</v>
      </c>
      <c r="E98" s="151">
        <v>14</v>
      </c>
      <c r="F98" s="152" t="s">
        <v>266</v>
      </c>
      <c r="G98" s="151">
        <v>5</v>
      </c>
      <c r="H98" s="153" t="s">
        <v>1116</v>
      </c>
    </row>
    <row r="99" spans="1:8" ht="15.75" hidden="1">
      <c r="A99" s="149" t="s">
        <v>1233</v>
      </c>
      <c r="B99" s="150" t="s">
        <v>1234</v>
      </c>
      <c r="C99" s="149" t="s">
        <v>1235</v>
      </c>
      <c r="D99" s="149" t="s">
        <v>1236</v>
      </c>
      <c r="E99" s="151">
        <v>14</v>
      </c>
      <c r="F99" s="152" t="s">
        <v>266</v>
      </c>
      <c r="G99" s="151">
        <v>5</v>
      </c>
      <c r="H99" s="153" t="s">
        <v>1116</v>
      </c>
    </row>
    <row r="100" spans="1:8" ht="15.75" hidden="1">
      <c r="A100" s="149" t="s">
        <v>1237</v>
      </c>
      <c r="B100" s="150" t="s">
        <v>1238</v>
      </c>
      <c r="C100" s="149" t="s">
        <v>1239</v>
      </c>
      <c r="D100" s="149" t="s">
        <v>1240</v>
      </c>
      <c r="E100" s="151">
        <v>14</v>
      </c>
      <c r="F100" s="152" t="s">
        <v>266</v>
      </c>
      <c r="G100" s="151">
        <v>5</v>
      </c>
      <c r="H100" s="153" t="s">
        <v>1116</v>
      </c>
    </row>
    <row r="101" spans="1:8" ht="15.75" hidden="1">
      <c r="A101" s="149" t="s">
        <v>1241</v>
      </c>
      <c r="B101" s="150" t="s">
        <v>1242</v>
      </c>
      <c r="C101" s="149" t="s">
        <v>1243</v>
      </c>
      <c r="D101" s="149" t="s">
        <v>1244</v>
      </c>
      <c r="E101" s="151">
        <v>14</v>
      </c>
      <c r="F101" s="152" t="s">
        <v>266</v>
      </c>
      <c r="G101" s="151">
        <v>5</v>
      </c>
      <c r="H101" s="153" t="s">
        <v>1116</v>
      </c>
    </row>
    <row r="102" spans="1:8" ht="15.75" hidden="1">
      <c r="A102" s="149" t="s">
        <v>1245</v>
      </c>
      <c r="B102" s="150" t="s">
        <v>1246</v>
      </c>
      <c r="C102" s="149" t="s">
        <v>1247</v>
      </c>
      <c r="D102" s="149" t="s">
        <v>1248</v>
      </c>
      <c r="E102" s="151">
        <v>14</v>
      </c>
      <c r="F102" s="152" t="s">
        <v>266</v>
      </c>
      <c r="G102" s="151">
        <v>5</v>
      </c>
      <c r="H102" s="153" t="s">
        <v>1116</v>
      </c>
    </row>
    <row r="103" spans="1:8" ht="15.75" hidden="1">
      <c r="A103" s="149" t="s">
        <v>1249</v>
      </c>
      <c r="B103" s="150" t="s">
        <v>1250</v>
      </c>
      <c r="C103" s="149" t="s">
        <v>1251</v>
      </c>
      <c r="D103" s="149" t="s">
        <v>1252</v>
      </c>
      <c r="E103" s="151">
        <v>14</v>
      </c>
      <c r="F103" s="152" t="s">
        <v>266</v>
      </c>
      <c r="G103" s="151">
        <v>5</v>
      </c>
      <c r="H103" s="153" t="s">
        <v>1116</v>
      </c>
    </row>
    <row r="104" spans="1:8" ht="15.75" hidden="1">
      <c r="A104" s="149" t="s">
        <v>1253</v>
      </c>
      <c r="B104" s="150" t="s">
        <v>1254</v>
      </c>
      <c r="C104" s="149" t="s">
        <v>1255</v>
      </c>
      <c r="D104" s="149" t="s">
        <v>1256</v>
      </c>
      <c r="E104" s="151">
        <v>14</v>
      </c>
      <c r="F104" s="152" t="s">
        <v>266</v>
      </c>
      <c r="G104" s="151">
        <v>5</v>
      </c>
      <c r="H104" s="153" t="s">
        <v>1116</v>
      </c>
    </row>
    <row r="105" spans="1:8" ht="15.75" hidden="1">
      <c r="A105" s="149" t="s">
        <v>1257</v>
      </c>
      <c r="B105" s="150" t="s">
        <v>1258</v>
      </c>
      <c r="C105" s="149" t="s">
        <v>1259</v>
      </c>
      <c r="D105" s="149" t="s">
        <v>1260</v>
      </c>
      <c r="E105" s="151">
        <v>14</v>
      </c>
      <c r="F105" s="152" t="s">
        <v>266</v>
      </c>
      <c r="G105" s="151">
        <v>5</v>
      </c>
      <c r="H105" s="153" t="s">
        <v>1116</v>
      </c>
    </row>
    <row r="106" spans="1:8" ht="15.75" hidden="1">
      <c r="A106" s="149" t="s">
        <v>1261</v>
      </c>
      <c r="B106" s="150" t="s">
        <v>1262</v>
      </c>
      <c r="C106" s="149" t="s">
        <v>1263</v>
      </c>
      <c r="D106" s="149" t="s">
        <v>1264</v>
      </c>
      <c r="E106" s="151">
        <v>14</v>
      </c>
      <c r="F106" s="152" t="s">
        <v>266</v>
      </c>
      <c r="G106" s="151">
        <v>5</v>
      </c>
      <c r="H106" s="153" t="s">
        <v>1116</v>
      </c>
    </row>
    <row r="107" spans="1:8" ht="31.5" hidden="1">
      <c r="A107" s="149" t="s">
        <v>1265</v>
      </c>
      <c r="B107" s="150" t="s">
        <v>1266</v>
      </c>
      <c r="C107" s="149" t="s">
        <v>1267</v>
      </c>
      <c r="D107" s="149" t="s">
        <v>1268</v>
      </c>
      <c r="E107" s="151">
        <v>14</v>
      </c>
      <c r="F107" s="152" t="s">
        <v>266</v>
      </c>
      <c r="G107" s="151">
        <v>5</v>
      </c>
      <c r="H107" s="153" t="s">
        <v>1116</v>
      </c>
    </row>
    <row r="108" spans="1:8" ht="15.75" hidden="1">
      <c r="A108" s="149" t="s">
        <v>1269</v>
      </c>
      <c r="B108" s="150" t="s">
        <v>1270</v>
      </c>
      <c r="C108" s="149" t="s">
        <v>1271</v>
      </c>
      <c r="D108" s="149" t="s">
        <v>1272</v>
      </c>
      <c r="E108" s="151">
        <v>11</v>
      </c>
      <c r="F108" s="152" t="s">
        <v>266</v>
      </c>
      <c r="G108" s="151">
        <v>5</v>
      </c>
      <c r="H108" s="153" t="s">
        <v>1116</v>
      </c>
    </row>
    <row r="109" spans="1:8" ht="15.75" hidden="1">
      <c r="A109" s="149" t="s">
        <v>1273</v>
      </c>
      <c r="B109" s="150" t="s">
        <v>1274</v>
      </c>
      <c r="C109" s="149" t="s">
        <v>1275</v>
      </c>
      <c r="D109" s="149" t="s">
        <v>1276</v>
      </c>
      <c r="E109" s="151">
        <v>11</v>
      </c>
      <c r="F109" s="152" t="s">
        <v>266</v>
      </c>
      <c r="G109" s="151">
        <v>5</v>
      </c>
      <c r="H109" s="153" t="s">
        <v>1116</v>
      </c>
    </row>
    <row r="110" spans="1:8" ht="15.75" hidden="1">
      <c r="A110" s="149" t="s">
        <v>1277</v>
      </c>
      <c r="B110" s="150" t="s">
        <v>1278</v>
      </c>
      <c r="C110" s="149" t="s">
        <v>1279</v>
      </c>
      <c r="D110" s="149" t="s">
        <v>1280</v>
      </c>
      <c r="E110" s="151">
        <v>11</v>
      </c>
      <c r="F110" s="152" t="s">
        <v>266</v>
      </c>
      <c r="G110" s="151">
        <v>5</v>
      </c>
      <c r="H110" s="153" t="s">
        <v>1116</v>
      </c>
    </row>
    <row r="111" spans="1:8" ht="15.75" hidden="1">
      <c r="A111" s="149" t="s">
        <v>1281</v>
      </c>
      <c r="B111" s="150" t="s">
        <v>1282</v>
      </c>
      <c r="C111" s="149" t="s">
        <v>1283</v>
      </c>
      <c r="D111" s="149" t="s">
        <v>1284</v>
      </c>
      <c r="E111" s="151">
        <v>14</v>
      </c>
      <c r="F111" s="152" t="s">
        <v>266</v>
      </c>
      <c r="G111" s="151">
        <v>5</v>
      </c>
      <c r="H111" s="153" t="s">
        <v>1116</v>
      </c>
    </row>
    <row r="112" spans="1:8" ht="31.5" hidden="1">
      <c r="A112" s="149" t="s">
        <v>1285</v>
      </c>
      <c r="B112" s="150" t="s">
        <v>1286</v>
      </c>
      <c r="C112" s="149" t="s">
        <v>1287</v>
      </c>
      <c r="D112" s="149" t="s">
        <v>1288</v>
      </c>
      <c r="E112" s="151">
        <v>11</v>
      </c>
      <c r="F112" s="152" t="s">
        <v>266</v>
      </c>
      <c r="G112" s="151">
        <v>5</v>
      </c>
      <c r="H112" s="153" t="s">
        <v>1116</v>
      </c>
    </row>
    <row r="113" spans="1:8" ht="15.75" hidden="1">
      <c r="A113" s="149" t="s">
        <v>1289</v>
      </c>
      <c r="B113" s="150" t="s">
        <v>1290</v>
      </c>
      <c r="C113" s="149" t="s">
        <v>1291</v>
      </c>
      <c r="D113" s="149" t="s">
        <v>1292</v>
      </c>
      <c r="E113" s="151">
        <v>12</v>
      </c>
      <c r="F113" s="152" t="s">
        <v>266</v>
      </c>
      <c r="G113" s="151">
        <v>5</v>
      </c>
      <c r="H113" s="153" t="s">
        <v>1116</v>
      </c>
    </row>
    <row r="114" spans="1:8" ht="15.75" hidden="1">
      <c r="A114" s="149" t="s">
        <v>1293</v>
      </c>
      <c r="B114" s="150" t="s">
        <v>1294</v>
      </c>
      <c r="C114" s="149" t="s">
        <v>1295</v>
      </c>
      <c r="D114" s="149" t="s">
        <v>1296</v>
      </c>
      <c r="E114" s="151">
        <v>12</v>
      </c>
      <c r="F114" s="152" t="s">
        <v>266</v>
      </c>
      <c r="G114" s="151">
        <v>5</v>
      </c>
      <c r="H114" s="153" t="s">
        <v>1116</v>
      </c>
    </row>
    <row r="115" spans="1:8" ht="15.75" hidden="1">
      <c r="A115" s="149" t="s">
        <v>1297</v>
      </c>
      <c r="B115" s="150" t="s">
        <v>1298</v>
      </c>
      <c r="C115" s="149" t="s">
        <v>1299</v>
      </c>
      <c r="D115" s="149" t="s">
        <v>1300</v>
      </c>
      <c r="E115" s="151">
        <v>12</v>
      </c>
      <c r="F115" s="152" t="s">
        <v>266</v>
      </c>
      <c r="G115" s="151">
        <v>5</v>
      </c>
      <c r="H115" s="153" t="s">
        <v>1116</v>
      </c>
    </row>
    <row r="116" spans="1:8" ht="15.75" hidden="1">
      <c r="A116" s="149" t="s">
        <v>1301</v>
      </c>
      <c r="B116" s="150" t="s">
        <v>1302</v>
      </c>
      <c r="C116" s="149" t="s">
        <v>1303</v>
      </c>
      <c r="D116" s="149" t="s">
        <v>1304</v>
      </c>
      <c r="E116" s="151">
        <v>12</v>
      </c>
      <c r="F116" s="152" t="s">
        <v>266</v>
      </c>
      <c r="G116" s="151">
        <v>5</v>
      </c>
      <c r="H116" s="153" t="s">
        <v>1116</v>
      </c>
    </row>
    <row r="117" spans="1:8" ht="15.75" hidden="1">
      <c r="A117" s="149" t="s">
        <v>1305</v>
      </c>
      <c r="B117" s="150" t="s">
        <v>1306</v>
      </c>
      <c r="C117" s="149" t="s">
        <v>1307</v>
      </c>
      <c r="D117" s="149" t="s">
        <v>1308</v>
      </c>
      <c r="E117" s="151">
        <v>12</v>
      </c>
      <c r="F117" s="152" t="s">
        <v>266</v>
      </c>
      <c r="G117" s="151">
        <v>5</v>
      </c>
      <c r="H117" s="153" t="s">
        <v>1116</v>
      </c>
    </row>
    <row r="118" spans="1:8" ht="15.75" hidden="1">
      <c r="A118" s="149" t="s">
        <v>1309</v>
      </c>
      <c r="B118" s="150" t="s">
        <v>1310</v>
      </c>
      <c r="C118" s="149" t="s">
        <v>1311</v>
      </c>
      <c r="D118" s="149" t="s">
        <v>1312</v>
      </c>
      <c r="E118" s="151">
        <v>12</v>
      </c>
      <c r="F118" s="152" t="s">
        <v>266</v>
      </c>
      <c r="G118" s="151">
        <v>5</v>
      </c>
      <c r="H118" s="153" t="s">
        <v>1116</v>
      </c>
    </row>
    <row r="119" spans="1:8" ht="15.75" hidden="1">
      <c r="A119" s="149" t="s">
        <v>1313</v>
      </c>
      <c r="B119" s="150" t="s">
        <v>1314</v>
      </c>
      <c r="C119" s="149" t="s">
        <v>1315</v>
      </c>
      <c r="D119" s="149" t="s">
        <v>1316</v>
      </c>
      <c r="E119" s="151">
        <v>12</v>
      </c>
      <c r="F119" s="152" t="s">
        <v>266</v>
      </c>
      <c r="G119" s="151">
        <v>5</v>
      </c>
      <c r="H119" s="153" t="s">
        <v>1116</v>
      </c>
    </row>
    <row r="120" spans="1:8" ht="15.75" hidden="1">
      <c r="A120" s="149" t="s">
        <v>1317</v>
      </c>
      <c r="B120" s="150" t="s">
        <v>1318</v>
      </c>
      <c r="C120" s="149" t="s">
        <v>1319</v>
      </c>
      <c r="D120" s="149" t="s">
        <v>1320</v>
      </c>
      <c r="E120" s="151">
        <v>12</v>
      </c>
      <c r="F120" s="152" t="s">
        <v>266</v>
      </c>
      <c r="G120" s="151">
        <v>5</v>
      </c>
      <c r="H120" s="153" t="s">
        <v>1116</v>
      </c>
    </row>
    <row r="121" spans="1:8" ht="15.75" hidden="1">
      <c r="A121" s="149" t="s">
        <v>1321</v>
      </c>
      <c r="B121" s="150" t="s">
        <v>1322</v>
      </c>
      <c r="C121" s="149" t="s">
        <v>1323</v>
      </c>
      <c r="D121" s="149" t="s">
        <v>1324</v>
      </c>
      <c r="E121" s="151">
        <v>12</v>
      </c>
      <c r="F121" s="152" t="s">
        <v>266</v>
      </c>
      <c r="G121" s="151">
        <v>5</v>
      </c>
      <c r="H121" s="153" t="s">
        <v>1116</v>
      </c>
    </row>
    <row r="122" spans="1:8" ht="15.75" hidden="1">
      <c r="A122" s="149" t="s">
        <v>1325</v>
      </c>
      <c r="B122" s="150" t="s">
        <v>1326</v>
      </c>
      <c r="C122" s="149" t="s">
        <v>1327</v>
      </c>
      <c r="D122" s="149" t="s">
        <v>1328</v>
      </c>
      <c r="E122" s="151">
        <v>12</v>
      </c>
      <c r="F122" s="152" t="s">
        <v>266</v>
      </c>
      <c r="G122" s="151">
        <v>5</v>
      </c>
      <c r="H122" s="153" t="s">
        <v>1116</v>
      </c>
    </row>
    <row r="123" spans="1:8" ht="15.75" hidden="1">
      <c r="A123" s="149" t="s">
        <v>1329</v>
      </c>
      <c r="B123" s="150" t="s">
        <v>1330</v>
      </c>
      <c r="C123" s="149" t="s">
        <v>1331</v>
      </c>
      <c r="D123" s="149" t="s">
        <v>1332</v>
      </c>
      <c r="E123" s="151">
        <v>12</v>
      </c>
      <c r="F123" s="152" t="s">
        <v>266</v>
      </c>
      <c r="G123" s="151">
        <v>5</v>
      </c>
      <c r="H123" s="153" t="s">
        <v>1116</v>
      </c>
    </row>
    <row r="124" spans="1:8" ht="15.75" hidden="1">
      <c r="A124" s="149" t="s">
        <v>1333</v>
      </c>
      <c r="B124" s="150" t="s">
        <v>1334</v>
      </c>
      <c r="C124" s="149" t="s">
        <v>1335</v>
      </c>
      <c r="D124" s="149" t="s">
        <v>1336</v>
      </c>
      <c r="E124" s="151">
        <v>12</v>
      </c>
      <c r="F124" s="152" t="s">
        <v>266</v>
      </c>
      <c r="G124" s="151">
        <v>5</v>
      </c>
      <c r="H124" s="153" t="s">
        <v>1116</v>
      </c>
    </row>
    <row r="125" spans="1:8" ht="15.75" hidden="1">
      <c r="A125" s="149" t="s">
        <v>1337</v>
      </c>
      <c r="B125" s="150" t="s">
        <v>1338</v>
      </c>
      <c r="C125" s="149" t="s">
        <v>1339</v>
      </c>
      <c r="D125" s="149" t="s">
        <v>1340</v>
      </c>
      <c r="E125" s="151">
        <v>12</v>
      </c>
      <c r="F125" s="152" t="s">
        <v>266</v>
      </c>
      <c r="G125" s="151">
        <v>5</v>
      </c>
      <c r="H125" s="153" t="s">
        <v>1116</v>
      </c>
    </row>
    <row r="126" spans="1:8" ht="31.5" hidden="1">
      <c r="A126" s="149" t="s">
        <v>1341</v>
      </c>
      <c r="B126" s="150" t="s">
        <v>1342</v>
      </c>
      <c r="C126" s="149" t="s">
        <v>1343</v>
      </c>
      <c r="D126" s="149" t="s">
        <v>1344</v>
      </c>
      <c r="E126" s="151">
        <v>14</v>
      </c>
      <c r="F126" s="152" t="s">
        <v>266</v>
      </c>
      <c r="G126" s="151">
        <v>5</v>
      </c>
      <c r="H126" s="153" t="s">
        <v>1116</v>
      </c>
    </row>
    <row r="127" spans="1:8" ht="15.75" hidden="1">
      <c r="A127" s="149" t="s">
        <v>1345</v>
      </c>
      <c r="B127" s="150" t="s">
        <v>1346</v>
      </c>
      <c r="C127" s="149" t="s">
        <v>1347</v>
      </c>
      <c r="D127" s="149" t="s">
        <v>1348</v>
      </c>
      <c r="E127" s="151">
        <v>12</v>
      </c>
      <c r="F127" s="152" t="s">
        <v>266</v>
      </c>
      <c r="G127" s="151">
        <v>5</v>
      </c>
      <c r="H127" s="153" t="s">
        <v>1116</v>
      </c>
    </row>
    <row r="128" spans="1:8" ht="31.5" hidden="1">
      <c r="A128" s="149" t="s">
        <v>1349</v>
      </c>
      <c r="B128" s="150" t="s">
        <v>1319</v>
      </c>
      <c r="C128" s="149" t="s">
        <v>1350</v>
      </c>
      <c r="D128" s="149" t="s">
        <v>1351</v>
      </c>
      <c r="E128" s="151">
        <v>12</v>
      </c>
      <c r="F128" s="152" t="s">
        <v>266</v>
      </c>
      <c r="G128" s="151">
        <v>5</v>
      </c>
      <c r="H128" s="153" t="s">
        <v>1116</v>
      </c>
    </row>
    <row r="129" spans="1:8" ht="15.75" hidden="1">
      <c r="A129" s="149" t="s">
        <v>1352</v>
      </c>
      <c r="B129" s="150" t="s">
        <v>1353</v>
      </c>
      <c r="C129" s="149" t="s">
        <v>1354</v>
      </c>
      <c r="D129" s="149" t="s">
        <v>1355</v>
      </c>
      <c r="E129" s="151">
        <v>12</v>
      </c>
      <c r="F129" s="152" t="s">
        <v>266</v>
      </c>
      <c r="G129" s="151">
        <v>5</v>
      </c>
      <c r="H129" s="153" t="s">
        <v>1116</v>
      </c>
    </row>
    <row r="130" spans="1:8" ht="31.5" hidden="1">
      <c r="A130" s="149" t="s">
        <v>1356</v>
      </c>
      <c r="B130" s="150" t="s">
        <v>1357</v>
      </c>
      <c r="C130" s="149" t="s">
        <v>1358</v>
      </c>
      <c r="D130" s="149" t="s">
        <v>1359</v>
      </c>
      <c r="E130" s="151">
        <v>12</v>
      </c>
      <c r="F130" s="152" t="s">
        <v>266</v>
      </c>
      <c r="G130" s="151">
        <v>5</v>
      </c>
      <c r="H130" s="153" t="s">
        <v>1116</v>
      </c>
    </row>
    <row r="131" spans="1:8" ht="31.5" hidden="1">
      <c r="A131" s="154" t="s">
        <v>1360</v>
      </c>
      <c r="B131" s="155" t="s">
        <v>1361</v>
      </c>
      <c r="C131" s="154" t="s">
        <v>1362</v>
      </c>
      <c r="D131" s="154" t="s">
        <v>1363</v>
      </c>
      <c r="E131" s="156">
        <v>12</v>
      </c>
      <c r="F131" s="157" t="s">
        <v>266</v>
      </c>
      <c r="G131" s="156">
        <v>5</v>
      </c>
      <c r="H131" s="158" t="s">
        <v>1116</v>
      </c>
    </row>
    <row r="132" spans="1:8" ht="15.75" hidden="1">
      <c r="A132" s="149" t="s">
        <v>1364</v>
      </c>
      <c r="B132" s="150" t="s">
        <v>1365</v>
      </c>
      <c r="C132" s="149" t="s">
        <v>1366</v>
      </c>
      <c r="D132" s="149" t="s">
        <v>1367</v>
      </c>
      <c r="E132" s="151">
        <v>4</v>
      </c>
      <c r="F132" s="152" t="s">
        <v>199</v>
      </c>
      <c r="G132" s="151">
        <v>5</v>
      </c>
      <c r="H132" s="153" t="s">
        <v>1368</v>
      </c>
    </row>
    <row r="133" spans="1:8" ht="15.75" hidden="1">
      <c r="A133" s="149" t="s">
        <v>1369</v>
      </c>
      <c r="B133" s="150" t="s">
        <v>1370</v>
      </c>
      <c r="C133" s="149" t="s">
        <v>1370</v>
      </c>
      <c r="D133" s="149" t="s">
        <v>1371</v>
      </c>
      <c r="E133" s="151">
        <v>9</v>
      </c>
      <c r="F133" s="152" t="s">
        <v>287</v>
      </c>
      <c r="G133" s="151">
        <v>5</v>
      </c>
      <c r="H133" s="153" t="s">
        <v>1368</v>
      </c>
    </row>
    <row r="134" spans="1:8" ht="15.75" hidden="1">
      <c r="A134" s="149" t="s">
        <v>1372</v>
      </c>
      <c r="B134" s="150" t="s">
        <v>1373</v>
      </c>
      <c r="C134" s="149" t="s">
        <v>1374</v>
      </c>
      <c r="D134" s="149" t="s">
        <v>1375</v>
      </c>
      <c r="E134" s="151">
        <v>4</v>
      </c>
      <c r="F134" s="152" t="s">
        <v>199</v>
      </c>
      <c r="G134" s="151">
        <v>5</v>
      </c>
      <c r="H134" s="153" t="s">
        <v>1368</v>
      </c>
    </row>
    <row r="135" spans="1:8" ht="15.75" hidden="1">
      <c r="A135" s="149" t="s">
        <v>1376</v>
      </c>
      <c r="B135" s="150" t="s">
        <v>1377</v>
      </c>
      <c r="C135" s="149" t="s">
        <v>1378</v>
      </c>
      <c r="D135" s="149" t="s">
        <v>1379</v>
      </c>
      <c r="E135" s="151">
        <v>4</v>
      </c>
      <c r="F135" s="152" t="s">
        <v>199</v>
      </c>
      <c r="G135" s="151">
        <v>5</v>
      </c>
      <c r="H135" s="153" t="s">
        <v>1368</v>
      </c>
    </row>
    <row r="136" spans="1:8" ht="15.75" hidden="1">
      <c r="A136" s="149" t="s">
        <v>1380</v>
      </c>
      <c r="B136" s="150" t="s">
        <v>1381</v>
      </c>
      <c r="C136" s="149" t="s">
        <v>1382</v>
      </c>
      <c r="D136" s="149" t="s">
        <v>1383</v>
      </c>
      <c r="E136" s="151">
        <v>8</v>
      </c>
      <c r="F136" s="152" t="s">
        <v>287</v>
      </c>
      <c r="G136" s="151">
        <v>5</v>
      </c>
      <c r="H136" s="153" t="s">
        <v>1368</v>
      </c>
    </row>
    <row r="137" spans="1:8" ht="15.75" hidden="1">
      <c r="A137" s="149" t="s">
        <v>1384</v>
      </c>
      <c r="B137" s="150" t="s">
        <v>1385</v>
      </c>
      <c r="C137" s="149" t="s">
        <v>1386</v>
      </c>
      <c r="D137" s="149" t="s">
        <v>1387</v>
      </c>
      <c r="E137" s="151">
        <v>4</v>
      </c>
      <c r="F137" s="152" t="s">
        <v>199</v>
      </c>
      <c r="G137" s="151">
        <v>5</v>
      </c>
      <c r="H137" s="153" t="s">
        <v>1368</v>
      </c>
    </row>
    <row r="138" spans="1:8" ht="15.75" hidden="1">
      <c r="A138" s="149" t="s">
        <v>1388</v>
      </c>
      <c r="B138" s="150" t="s">
        <v>1389</v>
      </c>
      <c r="C138" s="149" t="s">
        <v>1390</v>
      </c>
      <c r="D138" s="149" t="s">
        <v>1391</v>
      </c>
      <c r="E138" s="151">
        <v>4</v>
      </c>
      <c r="F138" s="152" t="s">
        <v>199</v>
      </c>
      <c r="G138" s="151">
        <v>5</v>
      </c>
      <c r="H138" s="153" t="s">
        <v>1368</v>
      </c>
    </row>
    <row r="139" spans="1:8" ht="15.75" hidden="1">
      <c r="A139" s="149" t="s">
        <v>1392</v>
      </c>
      <c r="B139" s="150" t="s">
        <v>1393</v>
      </c>
      <c r="C139" s="149" t="s">
        <v>1394</v>
      </c>
      <c r="D139" s="149" t="s">
        <v>1395</v>
      </c>
      <c r="E139" s="151">
        <v>4</v>
      </c>
      <c r="F139" s="152" t="s">
        <v>199</v>
      </c>
      <c r="G139" s="151">
        <v>5</v>
      </c>
      <c r="H139" s="153" t="s">
        <v>1368</v>
      </c>
    </row>
    <row r="140" spans="1:8" ht="15.75" hidden="1">
      <c r="A140" s="149" t="s">
        <v>1396</v>
      </c>
      <c r="B140" s="150" t="s">
        <v>1397</v>
      </c>
      <c r="C140" s="149" t="s">
        <v>1398</v>
      </c>
      <c r="D140" s="149" t="s">
        <v>1399</v>
      </c>
      <c r="E140" s="151">
        <v>4</v>
      </c>
      <c r="F140" s="152" t="s">
        <v>199</v>
      </c>
      <c r="G140" s="151">
        <v>5</v>
      </c>
      <c r="H140" s="153" t="s">
        <v>1368</v>
      </c>
    </row>
    <row r="141" spans="1:8" ht="15.75" hidden="1">
      <c r="A141" s="149" t="s">
        <v>1400</v>
      </c>
      <c r="B141" s="150" t="s">
        <v>1401</v>
      </c>
      <c r="C141" s="149" t="s">
        <v>1402</v>
      </c>
      <c r="D141" s="149" t="s">
        <v>1403</v>
      </c>
      <c r="E141" s="151">
        <v>4</v>
      </c>
      <c r="F141" s="152" t="s">
        <v>199</v>
      </c>
      <c r="G141" s="151">
        <v>5</v>
      </c>
      <c r="H141" s="153" t="s">
        <v>1368</v>
      </c>
    </row>
    <row r="142" spans="1:8" ht="15.75" hidden="1">
      <c r="A142" s="149" t="s">
        <v>1404</v>
      </c>
      <c r="B142" s="150" t="s">
        <v>1405</v>
      </c>
      <c r="C142" s="149" t="s">
        <v>1406</v>
      </c>
      <c r="D142" s="149" t="s">
        <v>1407</v>
      </c>
      <c r="E142" s="151">
        <v>4</v>
      </c>
      <c r="F142" s="152" t="s">
        <v>199</v>
      </c>
      <c r="G142" s="151">
        <v>5</v>
      </c>
      <c r="H142" s="153" t="s">
        <v>1368</v>
      </c>
    </row>
    <row r="143" spans="1:8" ht="31.5" hidden="1">
      <c r="A143" s="149" t="s">
        <v>1408</v>
      </c>
      <c r="B143" s="150" t="s">
        <v>1409</v>
      </c>
      <c r="C143" s="149" t="s">
        <v>1410</v>
      </c>
      <c r="D143" s="149" t="s">
        <v>1411</v>
      </c>
      <c r="E143" s="151">
        <v>4</v>
      </c>
      <c r="F143" s="152" t="s">
        <v>199</v>
      </c>
      <c r="G143" s="151">
        <v>5</v>
      </c>
      <c r="H143" s="153" t="s">
        <v>1368</v>
      </c>
    </row>
    <row r="144" spans="1:8" ht="15.75" hidden="1">
      <c r="A144" s="149" t="s">
        <v>1412</v>
      </c>
      <c r="B144" s="150" t="s">
        <v>1413</v>
      </c>
      <c r="C144" s="149" t="s">
        <v>1414</v>
      </c>
      <c r="D144" s="149" t="s">
        <v>1415</v>
      </c>
      <c r="E144" s="151">
        <v>3</v>
      </c>
      <c r="F144" s="152" t="s">
        <v>199</v>
      </c>
      <c r="G144" s="151">
        <v>5</v>
      </c>
      <c r="H144" s="153" t="s">
        <v>1368</v>
      </c>
    </row>
    <row r="145" spans="1:8" ht="15.75" hidden="1">
      <c r="A145" s="149" t="s">
        <v>1416</v>
      </c>
      <c r="B145" s="150" t="s">
        <v>1417</v>
      </c>
      <c r="C145" s="149" t="s">
        <v>1418</v>
      </c>
      <c r="D145" s="149" t="s">
        <v>1419</v>
      </c>
      <c r="E145" s="151">
        <v>3</v>
      </c>
      <c r="F145" s="152" t="s">
        <v>199</v>
      </c>
      <c r="G145" s="151">
        <v>5</v>
      </c>
      <c r="H145" s="153" t="s">
        <v>1368</v>
      </c>
    </row>
    <row r="146" spans="1:8" ht="31.5" hidden="1">
      <c r="A146" s="149" t="s">
        <v>1420</v>
      </c>
      <c r="B146" s="150" t="s">
        <v>1421</v>
      </c>
      <c r="C146" s="149" t="s">
        <v>1422</v>
      </c>
      <c r="D146" s="149" t="s">
        <v>1423</v>
      </c>
      <c r="E146" s="151">
        <v>4</v>
      </c>
      <c r="F146" s="152" t="s">
        <v>199</v>
      </c>
      <c r="G146" s="151">
        <v>5</v>
      </c>
      <c r="H146" s="153" t="s">
        <v>1368</v>
      </c>
    </row>
    <row r="147" spans="1:8" ht="31.5" hidden="1">
      <c r="A147" s="149" t="s">
        <v>1424</v>
      </c>
      <c r="B147" s="150" t="s">
        <v>1425</v>
      </c>
      <c r="C147" s="149" t="s">
        <v>1426</v>
      </c>
      <c r="D147" s="149" t="s">
        <v>1427</v>
      </c>
      <c r="E147" s="151">
        <v>4</v>
      </c>
      <c r="F147" s="152" t="s">
        <v>199</v>
      </c>
      <c r="G147" s="151">
        <v>5</v>
      </c>
      <c r="H147" s="153" t="s">
        <v>1368</v>
      </c>
    </row>
    <row r="148" spans="1:8" ht="15.75" hidden="1">
      <c r="A148" s="149" t="s">
        <v>1428</v>
      </c>
      <c r="B148" s="150" t="s">
        <v>1429</v>
      </c>
      <c r="C148" s="149" t="s">
        <v>1430</v>
      </c>
      <c r="D148" s="149" t="s">
        <v>1431</v>
      </c>
      <c r="E148" s="151">
        <v>8</v>
      </c>
      <c r="F148" s="152" t="s">
        <v>287</v>
      </c>
      <c r="G148" s="151">
        <v>5</v>
      </c>
      <c r="H148" s="153" t="s">
        <v>1368</v>
      </c>
    </row>
    <row r="149" spans="1:8" ht="15.75" hidden="1">
      <c r="A149" s="149" t="s">
        <v>1432</v>
      </c>
      <c r="B149" s="150" t="s">
        <v>1433</v>
      </c>
      <c r="C149" s="149" t="s">
        <v>1434</v>
      </c>
      <c r="D149" s="149" t="s">
        <v>1435</v>
      </c>
      <c r="E149" s="151">
        <v>8</v>
      </c>
      <c r="F149" s="152" t="s">
        <v>287</v>
      </c>
      <c r="G149" s="151">
        <v>5</v>
      </c>
      <c r="H149" s="153" t="s">
        <v>1368</v>
      </c>
    </row>
    <row r="150" spans="1:8" ht="15.75" hidden="1">
      <c r="A150" s="149" t="s">
        <v>1436</v>
      </c>
      <c r="B150" s="150" t="s">
        <v>1437</v>
      </c>
      <c r="C150" s="149" t="s">
        <v>1438</v>
      </c>
      <c r="D150" s="149" t="s">
        <v>1439</v>
      </c>
      <c r="E150" s="151">
        <v>2</v>
      </c>
      <c r="F150" s="152" t="s">
        <v>199</v>
      </c>
      <c r="G150" s="151">
        <v>5</v>
      </c>
      <c r="H150" s="153" t="s">
        <v>1368</v>
      </c>
    </row>
    <row r="151" spans="1:8" ht="15.75" hidden="1">
      <c r="A151" s="149" t="s">
        <v>1440</v>
      </c>
      <c r="B151" s="150" t="s">
        <v>1441</v>
      </c>
      <c r="C151" s="149" t="s">
        <v>1442</v>
      </c>
      <c r="D151" s="149" t="s">
        <v>1443</v>
      </c>
      <c r="E151" s="151">
        <v>3</v>
      </c>
      <c r="F151" s="152" t="s">
        <v>199</v>
      </c>
      <c r="G151" s="151">
        <v>5</v>
      </c>
      <c r="H151" s="153" t="s">
        <v>1368</v>
      </c>
    </row>
    <row r="152" spans="1:8" ht="31.5" hidden="1">
      <c r="A152" s="149" t="s">
        <v>1444</v>
      </c>
      <c r="B152" s="150" t="s">
        <v>1445</v>
      </c>
      <c r="C152" s="149" t="s">
        <v>1446</v>
      </c>
      <c r="D152" s="149" t="s">
        <v>1447</v>
      </c>
      <c r="E152" s="151">
        <v>2</v>
      </c>
      <c r="F152" s="152" t="s">
        <v>199</v>
      </c>
      <c r="G152" s="151">
        <v>5</v>
      </c>
      <c r="H152" s="153" t="s">
        <v>1368</v>
      </c>
    </row>
    <row r="153" spans="1:8" ht="15.75" hidden="1">
      <c r="A153" s="149" t="s">
        <v>1448</v>
      </c>
      <c r="B153" s="150" t="s">
        <v>1449</v>
      </c>
      <c r="C153" s="149" t="s">
        <v>1450</v>
      </c>
      <c r="D153" s="149" t="s">
        <v>1451</v>
      </c>
      <c r="E153" s="151">
        <v>3</v>
      </c>
      <c r="F153" s="152" t="s">
        <v>199</v>
      </c>
      <c r="G153" s="151">
        <v>5</v>
      </c>
      <c r="H153" s="153" t="s">
        <v>1368</v>
      </c>
    </row>
    <row r="154" spans="1:8" ht="15.75" hidden="1">
      <c r="A154" s="149" t="s">
        <v>1452</v>
      </c>
      <c r="B154" s="150" t="s">
        <v>1453</v>
      </c>
      <c r="C154" s="149" t="s">
        <v>1454</v>
      </c>
      <c r="D154" s="149" t="s">
        <v>1455</v>
      </c>
      <c r="E154" s="151">
        <v>3</v>
      </c>
      <c r="F154" s="152" t="s">
        <v>199</v>
      </c>
      <c r="G154" s="151">
        <v>5</v>
      </c>
      <c r="H154" s="153" t="s">
        <v>1368</v>
      </c>
    </row>
    <row r="155" spans="1:8" ht="15.75" hidden="1">
      <c r="A155" s="149" t="s">
        <v>1456</v>
      </c>
      <c r="B155" s="150" t="s">
        <v>1457</v>
      </c>
      <c r="C155" s="149" t="s">
        <v>1458</v>
      </c>
      <c r="D155" s="149" t="s">
        <v>1459</v>
      </c>
      <c r="E155" s="151">
        <v>2</v>
      </c>
      <c r="F155" s="152" t="s">
        <v>199</v>
      </c>
      <c r="G155" s="151">
        <v>5</v>
      </c>
      <c r="H155" s="153" t="s">
        <v>1368</v>
      </c>
    </row>
    <row r="156" spans="1:8" ht="15.75" hidden="1">
      <c r="A156" s="149" t="s">
        <v>1460</v>
      </c>
      <c r="B156" s="150" t="s">
        <v>1461</v>
      </c>
      <c r="C156" s="149" t="s">
        <v>1462</v>
      </c>
      <c r="D156" s="149" t="s">
        <v>1463</v>
      </c>
      <c r="E156" s="151">
        <v>2</v>
      </c>
      <c r="F156" s="152" t="s">
        <v>199</v>
      </c>
      <c r="G156" s="151">
        <v>5</v>
      </c>
      <c r="H156" s="153" t="s">
        <v>1368</v>
      </c>
    </row>
    <row r="157" spans="1:8" ht="15.75" hidden="1">
      <c r="A157" s="149" t="s">
        <v>1464</v>
      </c>
      <c r="B157" s="150" t="s">
        <v>1465</v>
      </c>
      <c r="C157" s="149" t="s">
        <v>1466</v>
      </c>
      <c r="D157" s="149" t="s">
        <v>1467</v>
      </c>
      <c r="E157" s="151">
        <v>2</v>
      </c>
      <c r="F157" s="152" t="s">
        <v>199</v>
      </c>
      <c r="G157" s="151">
        <v>5</v>
      </c>
      <c r="H157" s="153" t="s">
        <v>1368</v>
      </c>
    </row>
    <row r="158" spans="1:8" ht="15.75" hidden="1">
      <c r="A158" s="149" t="s">
        <v>1468</v>
      </c>
      <c r="B158" s="150" t="s">
        <v>1469</v>
      </c>
      <c r="C158" s="149" t="s">
        <v>1470</v>
      </c>
      <c r="D158" s="149" t="s">
        <v>1471</v>
      </c>
      <c r="E158" s="151">
        <v>2</v>
      </c>
      <c r="F158" s="152" t="s">
        <v>199</v>
      </c>
      <c r="G158" s="151">
        <v>5</v>
      </c>
      <c r="H158" s="153" t="s">
        <v>1368</v>
      </c>
    </row>
    <row r="159" spans="1:8" ht="15.75" hidden="1">
      <c r="A159" s="149" t="s">
        <v>1472</v>
      </c>
      <c r="B159" s="150" t="s">
        <v>1473</v>
      </c>
      <c r="C159" s="149" t="s">
        <v>1474</v>
      </c>
      <c r="D159" s="149" t="s">
        <v>1475</v>
      </c>
      <c r="E159" s="151">
        <v>1</v>
      </c>
      <c r="F159" s="152" t="s">
        <v>199</v>
      </c>
      <c r="G159" s="151">
        <v>5</v>
      </c>
      <c r="H159" s="153" t="s">
        <v>1368</v>
      </c>
    </row>
    <row r="160" spans="1:8" ht="15.75" hidden="1">
      <c r="A160" s="149" t="s">
        <v>1476</v>
      </c>
      <c r="B160" s="150" t="s">
        <v>1477</v>
      </c>
      <c r="C160" s="149" t="s">
        <v>1478</v>
      </c>
      <c r="D160" s="149" t="s">
        <v>1479</v>
      </c>
      <c r="E160" s="151">
        <v>1</v>
      </c>
      <c r="F160" s="152" t="s">
        <v>199</v>
      </c>
      <c r="G160" s="151">
        <v>5</v>
      </c>
      <c r="H160" s="153" t="s">
        <v>1368</v>
      </c>
    </row>
    <row r="161" spans="1:8" ht="15.75" hidden="1">
      <c r="A161" s="149" t="s">
        <v>1480</v>
      </c>
      <c r="B161" s="150" t="s">
        <v>1481</v>
      </c>
      <c r="C161" s="149" t="s">
        <v>1482</v>
      </c>
      <c r="D161" s="149" t="s">
        <v>1483</v>
      </c>
      <c r="E161" s="151">
        <v>1</v>
      </c>
      <c r="F161" s="152" t="s">
        <v>199</v>
      </c>
      <c r="G161" s="151">
        <v>5</v>
      </c>
      <c r="H161" s="153" t="s">
        <v>1368</v>
      </c>
    </row>
    <row r="162" spans="1:8" ht="15.75" hidden="1">
      <c r="A162" s="149" t="s">
        <v>1484</v>
      </c>
      <c r="B162" s="150" t="s">
        <v>1485</v>
      </c>
      <c r="C162" s="149" t="s">
        <v>1486</v>
      </c>
      <c r="D162" s="149" t="s">
        <v>1487</v>
      </c>
      <c r="E162" s="151">
        <v>1</v>
      </c>
      <c r="F162" s="152" t="s">
        <v>199</v>
      </c>
      <c r="G162" s="151">
        <v>5</v>
      </c>
      <c r="H162" s="153" t="s">
        <v>1368</v>
      </c>
    </row>
    <row r="163" spans="1:8" ht="15.75" hidden="1">
      <c r="A163" s="149" t="s">
        <v>1488</v>
      </c>
      <c r="B163" s="150" t="s">
        <v>1489</v>
      </c>
      <c r="C163" s="149" t="s">
        <v>1490</v>
      </c>
      <c r="D163" s="149" t="s">
        <v>1491</v>
      </c>
      <c r="E163" s="151">
        <v>1</v>
      </c>
      <c r="F163" s="152" t="s">
        <v>199</v>
      </c>
      <c r="G163" s="151">
        <v>5</v>
      </c>
      <c r="H163" s="153" t="s">
        <v>1368</v>
      </c>
    </row>
    <row r="164" spans="1:8" ht="31.5" hidden="1">
      <c r="A164" s="149" t="s">
        <v>1492</v>
      </c>
      <c r="B164" s="150" t="s">
        <v>1493</v>
      </c>
      <c r="C164" s="149" t="s">
        <v>1494</v>
      </c>
      <c r="D164" s="149" t="s">
        <v>1495</v>
      </c>
      <c r="E164" s="151">
        <v>1</v>
      </c>
      <c r="F164" s="152" t="s">
        <v>199</v>
      </c>
      <c r="G164" s="151">
        <v>5</v>
      </c>
      <c r="H164" s="153" t="s">
        <v>1368</v>
      </c>
    </row>
    <row r="165" spans="1:8" ht="15.75" hidden="1">
      <c r="A165" s="149" t="s">
        <v>1496</v>
      </c>
      <c r="B165" s="150" t="s">
        <v>1497</v>
      </c>
      <c r="C165" s="149" t="s">
        <v>1497</v>
      </c>
      <c r="D165" s="149" t="s">
        <v>1498</v>
      </c>
      <c r="E165" s="151">
        <v>1</v>
      </c>
      <c r="F165" s="152" t="s">
        <v>199</v>
      </c>
      <c r="G165" s="151">
        <v>5</v>
      </c>
      <c r="H165" s="153" t="s">
        <v>1368</v>
      </c>
    </row>
    <row r="166" spans="1:8" ht="15.75" hidden="1">
      <c r="A166" s="149" t="s">
        <v>1499</v>
      </c>
      <c r="B166" s="150" t="s">
        <v>1500</v>
      </c>
      <c r="C166" s="149" t="s">
        <v>1501</v>
      </c>
      <c r="D166" s="149" t="s">
        <v>1502</v>
      </c>
      <c r="E166" s="151">
        <v>1</v>
      </c>
      <c r="F166" s="152" t="s">
        <v>199</v>
      </c>
      <c r="G166" s="151">
        <v>5</v>
      </c>
      <c r="H166" s="153" t="s">
        <v>1368</v>
      </c>
    </row>
    <row r="167" spans="1:8" ht="15.75" hidden="1">
      <c r="A167" s="149" t="s">
        <v>1503</v>
      </c>
      <c r="B167" s="150" t="s">
        <v>1504</v>
      </c>
      <c r="C167" s="149" t="s">
        <v>1505</v>
      </c>
      <c r="D167" s="149" t="s">
        <v>1506</v>
      </c>
      <c r="E167" s="151">
        <v>1</v>
      </c>
      <c r="F167" s="152" t="s">
        <v>199</v>
      </c>
      <c r="G167" s="151">
        <v>5</v>
      </c>
      <c r="H167" s="153" t="s">
        <v>1368</v>
      </c>
    </row>
    <row r="168" spans="1:8" ht="15.75" hidden="1">
      <c r="A168" s="149" t="s">
        <v>1507</v>
      </c>
      <c r="B168" s="150" t="s">
        <v>1508</v>
      </c>
      <c r="C168" s="149" t="s">
        <v>1509</v>
      </c>
      <c r="D168" s="149" t="s">
        <v>1510</v>
      </c>
      <c r="E168" s="151">
        <v>1</v>
      </c>
      <c r="F168" s="152" t="s">
        <v>199</v>
      </c>
      <c r="G168" s="151">
        <v>5</v>
      </c>
      <c r="H168" s="153" t="s">
        <v>1368</v>
      </c>
    </row>
    <row r="169" spans="1:8" ht="15.75" hidden="1">
      <c r="A169" s="149" t="s">
        <v>1511</v>
      </c>
      <c r="B169" s="150" t="s">
        <v>1512</v>
      </c>
      <c r="C169" s="149" t="s">
        <v>1513</v>
      </c>
      <c r="D169" s="149" t="s">
        <v>1514</v>
      </c>
      <c r="E169" s="151">
        <v>2</v>
      </c>
      <c r="F169" s="152" t="s">
        <v>199</v>
      </c>
      <c r="G169" s="151">
        <v>5</v>
      </c>
      <c r="H169" s="153" t="s">
        <v>1368</v>
      </c>
    </row>
    <row r="170" spans="1:8" ht="31.5" hidden="1">
      <c r="A170" s="149" t="s">
        <v>1515</v>
      </c>
      <c r="B170" s="150" t="s">
        <v>1516</v>
      </c>
      <c r="C170" s="149" t="s">
        <v>1517</v>
      </c>
      <c r="D170" s="149" t="s">
        <v>1518</v>
      </c>
      <c r="E170" s="151">
        <v>2</v>
      </c>
      <c r="F170" s="152" t="s">
        <v>199</v>
      </c>
      <c r="G170" s="151">
        <v>5</v>
      </c>
      <c r="H170" s="153" t="s">
        <v>1368</v>
      </c>
    </row>
    <row r="171" spans="1:8" ht="15.75" hidden="1">
      <c r="A171" s="149" t="s">
        <v>1519</v>
      </c>
      <c r="B171" s="150" t="s">
        <v>1520</v>
      </c>
      <c r="C171" s="149" t="s">
        <v>1520</v>
      </c>
      <c r="D171" s="149" t="s">
        <v>1521</v>
      </c>
      <c r="E171" s="151">
        <v>2</v>
      </c>
      <c r="F171" s="152" t="s">
        <v>199</v>
      </c>
      <c r="G171" s="151">
        <v>5</v>
      </c>
      <c r="H171" s="153" t="s">
        <v>1368</v>
      </c>
    </row>
    <row r="172" spans="1:8" ht="15.75" hidden="1">
      <c r="A172" s="149" t="s">
        <v>1522</v>
      </c>
      <c r="B172" s="150" t="s">
        <v>1523</v>
      </c>
      <c r="C172" s="149" t="s">
        <v>1524</v>
      </c>
      <c r="D172" s="149" t="s">
        <v>1525</v>
      </c>
      <c r="E172" s="151">
        <v>2</v>
      </c>
      <c r="F172" s="152" t="s">
        <v>199</v>
      </c>
      <c r="G172" s="151">
        <v>5</v>
      </c>
      <c r="H172" s="153" t="s">
        <v>1368</v>
      </c>
    </row>
    <row r="173" spans="1:8" ht="31.5" hidden="1">
      <c r="A173" s="149" t="s">
        <v>1526</v>
      </c>
      <c r="B173" s="150" t="s">
        <v>1527</v>
      </c>
      <c r="C173" s="149" t="s">
        <v>1528</v>
      </c>
      <c r="D173" s="149" t="s">
        <v>1529</v>
      </c>
      <c r="E173" s="151">
        <v>2</v>
      </c>
      <c r="F173" s="152" t="s">
        <v>199</v>
      </c>
      <c r="G173" s="151">
        <v>5</v>
      </c>
      <c r="H173" s="153" t="s">
        <v>1368</v>
      </c>
    </row>
    <row r="174" spans="1:8" ht="15.75" hidden="1">
      <c r="A174" s="149" t="s">
        <v>1530</v>
      </c>
      <c r="B174" s="150" t="s">
        <v>1531</v>
      </c>
      <c r="C174" s="149" t="s">
        <v>1532</v>
      </c>
      <c r="D174" s="149" t="s">
        <v>1533</v>
      </c>
      <c r="E174" s="151">
        <v>7</v>
      </c>
      <c r="F174" s="152" t="s">
        <v>287</v>
      </c>
      <c r="G174" s="151">
        <v>5</v>
      </c>
      <c r="H174" s="153" t="s">
        <v>1368</v>
      </c>
    </row>
    <row r="175" spans="1:8" ht="15.75" hidden="1">
      <c r="A175" s="149" t="s">
        <v>1534</v>
      </c>
      <c r="B175" s="150" t="s">
        <v>1535</v>
      </c>
      <c r="C175" s="149" t="s">
        <v>1536</v>
      </c>
      <c r="D175" s="149" t="s">
        <v>1537</v>
      </c>
      <c r="E175" s="151">
        <v>7</v>
      </c>
      <c r="F175" s="152" t="s">
        <v>287</v>
      </c>
      <c r="G175" s="151">
        <v>5</v>
      </c>
      <c r="H175" s="153" t="s">
        <v>1368</v>
      </c>
    </row>
    <row r="176" spans="1:8" ht="15.75" hidden="1">
      <c r="A176" s="149" t="s">
        <v>1538</v>
      </c>
      <c r="B176" s="150" t="s">
        <v>1539</v>
      </c>
      <c r="C176" s="149" t="s">
        <v>1540</v>
      </c>
      <c r="D176" s="149" t="s">
        <v>1541</v>
      </c>
      <c r="E176" s="151">
        <v>7</v>
      </c>
      <c r="F176" s="152" t="s">
        <v>287</v>
      </c>
      <c r="G176" s="151">
        <v>5</v>
      </c>
      <c r="H176" s="153" t="s">
        <v>1368</v>
      </c>
    </row>
    <row r="177" spans="1:8" ht="15.75" hidden="1">
      <c r="A177" s="149" t="s">
        <v>1542</v>
      </c>
      <c r="B177" s="150" t="s">
        <v>1543</v>
      </c>
      <c r="C177" s="149" t="s">
        <v>1544</v>
      </c>
      <c r="D177" s="149" t="s">
        <v>1545</v>
      </c>
      <c r="E177" s="151">
        <v>7</v>
      </c>
      <c r="F177" s="152" t="s">
        <v>287</v>
      </c>
      <c r="G177" s="151">
        <v>5</v>
      </c>
      <c r="H177" s="153" t="s">
        <v>1368</v>
      </c>
    </row>
    <row r="178" spans="1:8" ht="15.75" hidden="1">
      <c r="A178" s="149" t="s">
        <v>1546</v>
      </c>
      <c r="B178" s="150" t="s">
        <v>1547</v>
      </c>
      <c r="C178" s="149" t="s">
        <v>1548</v>
      </c>
      <c r="D178" s="149" t="s">
        <v>1549</v>
      </c>
      <c r="E178" s="151">
        <v>7</v>
      </c>
      <c r="F178" s="152" t="s">
        <v>287</v>
      </c>
      <c r="G178" s="151">
        <v>5</v>
      </c>
      <c r="H178" s="153" t="s">
        <v>1368</v>
      </c>
    </row>
    <row r="179" spans="1:8" ht="15.75" hidden="1">
      <c r="A179" s="149" t="s">
        <v>1550</v>
      </c>
      <c r="B179" s="150" t="s">
        <v>1551</v>
      </c>
      <c r="C179" s="149" t="s">
        <v>1552</v>
      </c>
      <c r="D179" s="149" t="s">
        <v>1553</v>
      </c>
      <c r="E179" s="151">
        <v>7</v>
      </c>
      <c r="F179" s="152" t="s">
        <v>287</v>
      </c>
      <c r="G179" s="151">
        <v>5</v>
      </c>
      <c r="H179" s="153" t="s">
        <v>1368</v>
      </c>
    </row>
    <row r="180" spans="1:8" ht="31.5" hidden="1">
      <c r="A180" s="149" t="s">
        <v>1554</v>
      </c>
      <c r="B180" s="150" t="s">
        <v>1555</v>
      </c>
      <c r="C180" s="149" t="s">
        <v>1556</v>
      </c>
      <c r="D180" s="149" t="s">
        <v>1557</v>
      </c>
      <c r="E180" s="151">
        <v>6</v>
      </c>
      <c r="F180" s="152" t="s">
        <v>287</v>
      </c>
      <c r="G180" s="151">
        <v>5</v>
      </c>
      <c r="H180" s="153" t="s">
        <v>1368</v>
      </c>
    </row>
    <row r="181" spans="1:8" ht="15.75" hidden="1">
      <c r="A181" s="149" t="s">
        <v>1558</v>
      </c>
      <c r="B181" s="150" t="s">
        <v>1559</v>
      </c>
      <c r="C181" s="149" t="s">
        <v>1559</v>
      </c>
      <c r="D181" s="149" t="s">
        <v>1560</v>
      </c>
      <c r="E181" s="151">
        <v>6</v>
      </c>
      <c r="F181" s="152" t="s">
        <v>287</v>
      </c>
      <c r="G181" s="151">
        <v>5</v>
      </c>
      <c r="H181" s="153" t="s">
        <v>1368</v>
      </c>
    </row>
    <row r="182" spans="1:8" ht="15.75" hidden="1">
      <c r="A182" s="149" t="s">
        <v>1561</v>
      </c>
      <c r="B182" s="150" t="s">
        <v>1562</v>
      </c>
      <c r="C182" s="149" t="s">
        <v>1563</v>
      </c>
      <c r="D182" s="149" t="s">
        <v>1564</v>
      </c>
      <c r="E182" s="151">
        <v>6</v>
      </c>
      <c r="F182" s="152" t="s">
        <v>287</v>
      </c>
      <c r="G182" s="151">
        <v>5</v>
      </c>
      <c r="H182" s="153" t="s">
        <v>1368</v>
      </c>
    </row>
    <row r="183" spans="1:8" ht="15.75" hidden="1">
      <c r="A183" s="149" t="s">
        <v>1565</v>
      </c>
      <c r="B183" s="150" t="s">
        <v>1566</v>
      </c>
      <c r="C183" s="149" t="s">
        <v>1567</v>
      </c>
      <c r="D183" s="149" t="s">
        <v>1568</v>
      </c>
      <c r="E183" s="151">
        <v>5</v>
      </c>
      <c r="F183" s="152" t="s">
        <v>287</v>
      </c>
      <c r="G183" s="151">
        <v>5</v>
      </c>
      <c r="H183" s="153" t="s">
        <v>1368</v>
      </c>
    </row>
    <row r="184" spans="1:8" ht="15.75" hidden="1">
      <c r="A184" s="149" t="s">
        <v>1569</v>
      </c>
      <c r="B184" s="150" t="s">
        <v>1570</v>
      </c>
      <c r="C184" s="149" t="s">
        <v>1571</v>
      </c>
      <c r="D184" s="149" t="s">
        <v>1572</v>
      </c>
      <c r="E184" s="151">
        <v>5</v>
      </c>
      <c r="F184" s="152" t="s">
        <v>287</v>
      </c>
      <c r="G184" s="151">
        <v>5</v>
      </c>
      <c r="H184" s="153" t="s">
        <v>1368</v>
      </c>
    </row>
    <row r="185" spans="1:8" ht="15.75" hidden="1">
      <c r="A185" s="149" t="s">
        <v>1573</v>
      </c>
      <c r="B185" s="150" t="s">
        <v>1574</v>
      </c>
      <c r="C185" s="149" t="s">
        <v>1575</v>
      </c>
      <c r="D185" s="149" t="s">
        <v>1576</v>
      </c>
      <c r="E185" s="151">
        <v>5</v>
      </c>
      <c r="F185" s="152" t="s">
        <v>287</v>
      </c>
      <c r="G185" s="151">
        <v>5</v>
      </c>
      <c r="H185" s="153" t="s">
        <v>1368</v>
      </c>
    </row>
    <row r="186" spans="1:8" ht="15.75" hidden="1">
      <c r="A186" s="149" t="s">
        <v>1577</v>
      </c>
      <c r="B186" s="150" t="s">
        <v>1578</v>
      </c>
      <c r="C186" s="149" t="s">
        <v>1579</v>
      </c>
      <c r="D186" s="149" t="s">
        <v>1580</v>
      </c>
      <c r="E186" s="151">
        <v>5</v>
      </c>
      <c r="F186" s="152" t="s">
        <v>287</v>
      </c>
      <c r="G186" s="151">
        <v>5</v>
      </c>
      <c r="H186" s="153" t="s">
        <v>1368</v>
      </c>
    </row>
    <row r="187" spans="1:8" ht="15.75" hidden="1">
      <c r="A187" s="149" t="s">
        <v>1581</v>
      </c>
      <c r="B187" s="150" t="s">
        <v>1582</v>
      </c>
      <c r="C187" s="149" t="s">
        <v>1583</v>
      </c>
      <c r="D187" s="149" t="s">
        <v>1584</v>
      </c>
      <c r="E187" s="151">
        <v>5</v>
      </c>
      <c r="F187" s="152" t="s">
        <v>287</v>
      </c>
      <c r="G187" s="151">
        <v>5</v>
      </c>
      <c r="H187" s="153" t="s">
        <v>1368</v>
      </c>
    </row>
    <row r="188" spans="1:8" ht="15.75" hidden="1">
      <c r="A188" s="149" t="s">
        <v>1585</v>
      </c>
      <c r="B188" s="150" t="s">
        <v>1586</v>
      </c>
      <c r="C188" s="149" t="s">
        <v>1587</v>
      </c>
      <c r="D188" s="149" t="s">
        <v>1588</v>
      </c>
      <c r="E188" s="151">
        <v>5</v>
      </c>
      <c r="F188" s="152" t="s">
        <v>287</v>
      </c>
      <c r="G188" s="151">
        <v>5</v>
      </c>
      <c r="H188" s="153" t="s">
        <v>1368</v>
      </c>
    </row>
    <row r="189" spans="1:8" ht="15.75" hidden="1">
      <c r="A189" s="149" t="s">
        <v>1589</v>
      </c>
      <c r="B189" s="150" t="s">
        <v>1590</v>
      </c>
      <c r="C189" s="149" t="s">
        <v>1591</v>
      </c>
      <c r="D189" s="149" t="s">
        <v>1592</v>
      </c>
      <c r="E189" s="151">
        <v>5</v>
      </c>
      <c r="F189" s="152" t="s">
        <v>287</v>
      </c>
      <c r="G189" s="151">
        <v>5</v>
      </c>
      <c r="H189" s="153" t="s">
        <v>1368</v>
      </c>
    </row>
    <row r="190" spans="1:8" ht="15.75" hidden="1">
      <c r="A190" s="149" t="s">
        <v>1593</v>
      </c>
      <c r="B190" s="150" t="s">
        <v>1594</v>
      </c>
      <c r="C190" s="149" t="s">
        <v>1595</v>
      </c>
      <c r="D190" s="149" t="s">
        <v>1596</v>
      </c>
      <c r="E190" s="151">
        <v>5</v>
      </c>
      <c r="F190" s="152" t="s">
        <v>287</v>
      </c>
      <c r="G190" s="151">
        <v>5</v>
      </c>
      <c r="H190" s="153" t="s">
        <v>1368</v>
      </c>
    </row>
    <row r="191" spans="1:8" ht="15.75" hidden="1">
      <c r="A191" s="149" t="s">
        <v>1597</v>
      </c>
      <c r="B191" s="150" t="s">
        <v>1598</v>
      </c>
      <c r="C191" s="149" t="s">
        <v>1599</v>
      </c>
      <c r="D191" s="149" t="s">
        <v>1600</v>
      </c>
      <c r="E191" s="151">
        <v>5</v>
      </c>
      <c r="F191" s="152" t="s">
        <v>287</v>
      </c>
      <c r="G191" s="151">
        <v>5</v>
      </c>
      <c r="H191" s="153" t="s">
        <v>1368</v>
      </c>
    </row>
    <row r="192" spans="1:8" ht="15.75" hidden="1">
      <c r="A192" s="149" t="s">
        <v>1601</v>
      </c>
      <c r="B192" s="150" t="s">
        <v>1602</v>
      </c>
      <c r="C192" s="149" t="s">
        <v>1603</v>
      </c>
      <c r="D192" s="149" t="s">
        <v>1604</v>
      </c>
      <c r="E192" s="151">
        <v>5</v>
      </c>
      <c r="F192" s="152" t="s">
        <v>287</v>
      </c>
      <c r="G192" s="151">
        <v>5</v>
      </c>
      <c r="H192" s="153" t="s">
        <v>1368</v>
      </c>
    </row>
    <row r="193" spans="1:8" ht="15.75" hidden="1">
      <c r="A193" s="149" t="s">
        <v>1605</v>
      </c>
      <c r="B193" s="150" t="s">
        <v>1606</v>
      </c>
      <c r="C193" s="149" t="s">
        <v>1607</v>
      </c>
      <c r="D193" s="149" t="s">
        <v>1608</v>
      </c>
      <c r="E193" s="151">
        <v>5</v>
      </c>
      <c r="F193" s="152" t="s">
        <v>287</v>
      </c>
      <c r="G193" s="151">
        <v>5</v>
      </c>
      <c r="H193" s="153" t="s">
        <v>1368</v>
      </c>
    </row>
    <row r="194" spans="1:8" ht="31.5" hidden="1">
      <c r="A194" s="149" t="s">
        <v>1609</v>
      </c>
      <c r="B194" s="150" t="s">
        <v>199</v>
      </c>
      <c r="C194" s="149" t="s">
        <v>199</v>
      </c>
      <c r="D194" s="149" t="s">
        <v>1610</v>
      </c>
      <c r="E194" s="151">
        <v>5</v>
      </c>
      <c r="F194" s="152" t="s">
        <v>287</v>
      </c>
      <c r="G194" s="151">
        <v>5</v>
      </c>
      <c r="H194" s="153" t="s">
        <v>1368</v>
      </c>
    </row>
    <row r="195" spans="1:8" ht="31.5" hidden="1">
      <c r="A195" s="149" t="s">
        <v>1611</v>
      </c>
      <c r="B195" s="150" t="s">
        <v>1612</v>
      </c>
      <c r="C195" s="149" t="s">
        <v>1613</v>
      </c>
      <c r="D195" s="149" t="s">
        <v>1614</v>
      </c>
      <c r="E195" s="151">
        <v>1</v>
      </c>
      <c r="F195" s="152" t="s">
        <v>199</v>
      </c>
      <c r="G195" s="151">
        <v>5</v>
      </c>
      <c r="H195" s="153" t="s">
        <v>1368</v>
      </c>
    </row>
    <row r="196" spans="1:8" ht="15.75" hidden="1">
      <c r="A196" s="149" t="s">
        <v>1615</v>
      </c>
      <c r="B196" s="150" t="s">
        <v>1616</v>
      </c>
      <c r="C196" s="149" t="s">
        <v>1617</v>
      </c>
      <c r="D196" s="149" t="s">
        <v>1618</v>
      </c>
      <c r="E196" s="151">
        <v>1</v>
      </c>
      <c r="F196" s="152" t="s">
        <v>199</v>
      </c>
      <c r="G196" s="151">
        <v>5</v>
      </c>
      <c r="H196" s="153" t="s">
        <v>1368</v>
      </c>
    </row>
    <row r="197" spans="1:8" ht="15.75" hidden="1">
      <c r="A197" s="149" t="s">
        <v>1619</v>
      </c>
      <c r="B197" s="150" t="s">
        <v>1620</v>
      </c>
      <c r="C197" s="149" t="s">
        <v>1621</v>
      </c>
      <c r="D197" s="149" t="s">
        <v>1622</v>
      </c>
      <c r="E197" s="151">
        <v>16</v>
      </c>
      <c r="F197" s="152" t="s">
        <v>300</v>
      </c>
      <c r="G197" s="151">
        <v>8</v>
      </c>
      <c r="H197" s="153" t="s">
        <v>1623</v>
      </c>
    </row>
    <row r="198" spans="1:8" ht="15.75" hidden="1">
      <c r="A198" s="149" t="s">
        <v>1624</v>
      </c>
      <c r="B198" s="150" t="s">
        <v>1625</v>
      </c>
      <c r="C198" s="149" t="s">
        <v>1626</v>
      </c>
      <c r="D198" s="149" t="s">
        <v>1627</v>
      </c>
      <c r="E198" s="151">
        <v>16</v>
      </c>
      <c r="F198" s="152" t="s">
        <v>300</v>
      </c>
      <c r="G198" s="151">
        <v>8</v>
      </c>
      <c r="H198" s="153" t="s">
        <v>1623</v>
      </c>
    </row>
    <row r="199" spans="1:8" ht="31.5" hidden="1">
      <c r="A199" s="149" t="s">
        <v>1628</v>
      </c>
      <c r="B199" s="150" t="s">
        <v>1629</v>
      </c>
      <c r="C199" s="149" t="s">
        <v>1630</v>
      </c>
      <c r="D199" s="149" t="s">
        <v>1631</v>
      </c>
      <c r="E199" s="151">
        <v>16</v>
      </c>
      <c r="F199" s="152" t="s">
        <v>300</v>
      </c>
      <c r="G199" s="151">
        <v>8</v>
      </c>
      <c r="H199" s="153" t="s">
        <v>1623</v>
      </c>
    </row>
    <row r="200" spans="1:8" ht="15.75" hidden="1">
      <c r="A200" s="149" t="s">
        <v>1632</v>
      </c>
      <c r="B200" s="150" t="s">
        <v>1036</v>
      </c>
      <c r="C200" s="149" t="s">
        <v>1633</v>
      </c>
      <c r="D200" s="149" t="s">
        <v>1634</v>
      </c>
      <c r="E200" s="151">
        <v>16</v>
      </c>
      <c r="F200" s="152" t="s">
        <v>300</v>
      </c>
      <c r="G200" s="151">
        <v>8</v>
      </c>
      <c r="H200" s="153" t="s">
        <v>1623</v>
      </c>
    </row>
    <row r="201" spans="1:8" ht="31.5" hidden="1">
      <c r="A201" s="149" t="s">
        <v>1635</v>
      </c>
      <c r="B201" s="150" t="s">
        <v>1636</v>
      </c>
      <c r="C201" s="149" t="s">
        <v>1637</v>
      </c>
      <c r="D201" s="149" t="s">
        <v>1638</v>
      </c>
      <c r="E201" s="151">
        <v>16</v>
      </c>
      <c r="F201" s="152" t="s">
        <v>300</v>
      </c>
      <c r="G201" s="151">
        <v>8</v>
      </c>
      <c r="H201" s="153" t="s">
        <v>1623</v>
      </c>
    </row>
    <row r="202" spans="1:8" ht="31.5" hidden="1">
      <c r="A202" s="149" t="s">
        <v>1639</v>
      </c>
      <c r="B202" s="150" t="s">
        <v>1640</v>
      </c>
      <c r="C202" s="149" t="s">
        <v>1641</v>
      </c>
      <c r="D202" s="149" t="s">
        <v>1642</v>
      </c>
      <c r="E202" s="151">
        <v>16</v>
      </c>
      <c r="F202" s="152" t="s">
        <v>300</v>
      </c>
      <c r="G202" s="151">
        <v>8</v>
      </c>
      <c r="H202" s="153" t="s">
        <v>1623</v>
      </c>
    </row>
    <row r="203" spans="1:8" ht="15.75" hidden="1">
      <c r="A203" s="149" t="s">
        <v>1643</v>
      </c>
      <c r="B203" s="150" t="s">
        <v>1644</v>
      </c>
      <c r="C203" s="149" t="s">
        <v>1645</v>
      </c>
      <c r="D203" s="149" t="s">
        <v>1646</v>
      </c>
      <c r="E203" s="151">
        <v>16</v>
      </c>
      <c r="F203" s="152" t="s">
        <v>300</v>
      </c>
      <c r="G203" s="151">
        <v>8</v>
      </c>
      <c r="H203" s="153" t="s">
        <v>1623</v>
      </c>
    </row>
    <row r="204" spans="1:8" ht="15.75" hidden="1">
      <c r="A204" s="149" t="s">
        <v>1647</v>
      </c>
      <c r="B204" s="150" t="s">
        <v>1648</v>
      </c>
      <c r="C204" s="149" t="s">
        <v>1648</v>
      </c>
      <c r="D204" s="149" t="s">
        <v>1649</v>
      </c>
      <c r="E204" s="151">
        <v>16</v>
      </c>
      <c r="F204" s="152" t="s">
        <v>300</v>
      </c>
      <c r="G204" s="151">
        <v>8</v>
      </c>
      <c r="H204" s="153" t="s">
        <v>1623</v>
      </c>
    </row>
    <row r="205" spans="1:8" ht="15.75" hidden="1">
      <c r="A205" s="149" t="s">
        <v>1650</v>
      </c>
      <c r="B205" s="150" t="s">
        <v>1651</v>
      </c>
      <c r="C205" s="149" t="s">
        <v>1652</v>
      </c>
      <c r="D205" s="149" t="s">
        <v>1653</v>
      </c>
      <c r="E205" s="151">
        <v>16</v>
      </c>
      <c r="F205" s="152" t="s">
        <v>300</v>
      </c>
      <c r="G205" s="151">
        <v>8</v>
      </c>
      <c r="H205" s="153" t="s">
        <v>1623</v>
      </c>
    </row>
    <row r="206" spans="1:8" ht="15.75" hidden="1">
      <c r="A206" s="149" t="s">
        <v>1654</v>
      </c>
      <c r="B206" s="150" t="s">
        <v>1655</v>
      </c>
      <c r="C206" s="149" t="s">
        <v>1656</v>
      </c>
      <c r="D206" s="149" t="s">
        <v>1657</v>
      </c>
      <c r="E206" s="151">
        <v>16</v>
      </c>
      <c r="F206" s="152" t="s">
        <v>300</v>
      </c>
      <c r="G206" s="151">
        <v>8</v>
      </c>
      <c r="H206" s="153" t="s">
        <v>1623</v>
      </c>
    </row>
    <row r="207" spans="1:8" ht="15.75" hidden="1">
      <c r="A207" s="149" t="s">
        <v>1658</v>
      </c>
      <c r="B207" s="150" t="s">
        <v>1659</v>
      </c>
      <c r="C207" s="149" t="s">
        <v>1660</v>
      </c>
      <c r="D207" s="149" t="s">
        <v>1661</v>
      </c>
      <c r="E207" s="151">
        <v>16</v>
      </c>
      <c r="F207" s="152" t="s">
        <v>300</v>
      </c>
      <c r="G207" s="151">
        <v>8</v>
      </c>
      <c r="H207" s="153" t="s">
        <v>1623</v>
      </c>
    </row>
    <row r="208" spans="1:8" ht="31.5" hidden="1">
      <c r="A208" s="149" t="s">
        <v>1662</v>
      </c>
      <c r="B208" s="150" t="s">
        <v>1663</v>
      </c>
      <c r="C208" s="149" t="s">
        <v>1664</v>
      </c>
      <c r="D208" s="149" t="s">
        <v>1665</v>
      </c>
      <c r="E208" s="151">
        <v>16</v>
      </c>
      <c r="F208" s="152" t="s">
        <v>300</v>
      </c>
      <c r="G208" s="151">
        <v>8</v>
      </c>
      <c r="H208" s="153" t="s">
        <v>1623</v>
      </c>
    </row>
    <row r="209" spans="1:8" ht="31.5" hidden="1">
      <c r="A209" s="149" t="s">
        <v>1666</v>
      </c>
      <c r="B209" s="150" t="s">
        <v>1667</v>
      </c>
      <c r="C209" s="149" t="s">
        <v>1668</v>
      </c>
      <c r="D209" s="149" t="s">
        <v>1669</v>
      </c>
      <c r="E209" s="151">
        <v>16</v>
      </c>
      <c r="F209" s="152" t="s">
        <v>300</v>
      </c>
      <c r="G209" s="151">
        <v>8</v>
      </c>
      <c r="H209" s="153" t="s">
        <v>1623</v>
      </c>
    </row>
    <row r="210" spans="1:8" ht="31.5" hidden="1">
      <c r="A210" s="149" t="s">
        <v>1670</v>
      </c>
      <c r="B210" s="150" t="s">
        <v>1671</v>
      </c>
      <c r="C210" s="149" t="s">
        <v>1672</v>
      </c>
      <c r="D210" s="149" t="s">
        <v>1673</v>
      </c>
      <c r="E210" s="151">
        <v>16</v>
      </c>
      <c r="F210" s="152" t="s">
        <v>300</v>
      </c>
      <c r="G210" s="151">
        <v>8</v>
      </c>
      <c r="H210" s="153" t="s">
        <v>1623</v>
      </c>
    </row>
    <row r="211" spans="1:8" ht="15.75" hidden="1">
      <c r="A211" s="149" t="s">
        <v>1674</v>
      </c>
      <c r="B211" s="150" t="s">
        <v>1409</v>
      </c>
      <c r="C211" s="149" t="s">
        <v>1675</v>
      </c>
      <c r="D211" s="149" t="s">
        <v>1676</v>
      </c>
      <c r="E211" s="151">
        <v>16</v>
      </c>
      <c r="F211" s="152" t="s">
        <v>300</v>
      </c>
      <c r="G211" s="151">
        <v>8</v>
      </c>
      <c r="H211" s="153" t="s">
        <v>1623</v>
      </c>
    </row>
    <row r="212" spans="1:8" ht="31.5" hidden="1">
      <c r="A212" s="149" t="s">
        <v>1677</v>
      </c>
      <c r="B212" s="150" t="s">
        <v>1413</v>
      </c>
      <c r="C212" s="149" t="s">
        <v>1678</v>
      </c>
      <c r="D212" s="149" t="s">
        <v>1679</v>
      </c>
      <c r="E212" s="151">
        <v>16</v>
      </c>
      <c r="F212" s="152" t="s">
        <v>300</v>
      </c>
      <c r="G212" s="151">
        <v>8</v>
      </c>
      <c r="H212" s="153" t="s">
        <v>1623</v>
      </c>
    </row>
    <row r="213" spans="1:8" ht="31.5" hidden="1">
      <c r="A213" s="149" t="s">
        <v>1680</v>
      </c>
      <c r="B213" s="150" t="s">
        <v>1681</v>
      </c>
      <c r="C213" s="149" t="s">
        <v>1682</v>
      </c>
      <c r="D213" s="149" t="s">
        <v>1683</v>
      </c>
      <c r="E213" s="151">
        <v>16</v>
      </c>
      <c r="F213" s="152" t="s">
        <v>300</v>
      </c>
      <c r="G213" s="151">
        <v>8</v>
      </c>
      <c r="H213" s="153" t="s">
        <v>1623</v>
      </c>
    </row>
    <row r="214" spans="1:8" ht="31.5" hidden="1">
      <c r="A214" s="149" t="s">
        <v>1684</v>
      </c>
      <c r="B214" s="150" t="s">
        <v>1685</v>
      </c>
      <c r="C214" s="149" t="s">
        <v>1686</v>
      </c>
      <c r="D214" s="149" t="s">
        <v>1687</v>
      </c>
      <c r="E214" s="151">
        <v>16</v>
      </c>
      <c r="F214" s="152" t="s">
        <v>300</v>
      </c>
      <c r="G214" s="151">
        <v>8</v>
      </c>
      <c r="H214" s="153" t="s">
        <v>1623</v>
      </c>
    </row>
    <row r="215" spans="1:8" ht="31.5" hidden="1">
      <c r="A215" s="149" t="s">
        <v>1688</v>
      </c>
      <c r="B215" s="150" t="s">
        <v>1689</v>
      </c>
      <c r="C215" s="149" t="s">
        <v>1690</v>
      </c>
      <c r="D215" s="149" t="s">
        <v>1691</v>
      </c>
      <c r="E215" s="151">
        <v>16</v>
      </c>
      <c r="F215" s="152" t="s">
        <v>300</v>
      </c>
      <c r="G215" s="151">
        <v>8</v>
      </c>
      <c r="H215" s="153" t="s">
        <v>1623</v>
      </c>
    </row>
    <row r="216" spans="1:8" ht="31.5" hidden="1">
      <c r="A216" s="149" t="s">
        <v>1692</v>
      </c>
      <c r="B216" s="150" t="s">
        <v>1693</v>
      </c>
      <c r="C216" s="149" t="s">
        <v>1694</v>
      </c>
      <c r="D216" s="149" t="s">
        <v>1695</v>
      </c>
      <c r="E216" s="151">
        <v>16</v>
      </c>
      <c r="F216" s="152" t="s">
        <v>300</v>
      </c>
      <c r="G216" s="151">
        <v>8</v>
      </c>
      <c r="H216" s="153" t="s">
        <v>1623</v>
      </c>
    </row>
    <row r="217" spans="1:8" ht="15.75" hidden="1">
      <c r="A217" s="149" t="s">
        <v>1696</v>
      </c>
      <c r="B217" s="150" t="s">
        <v>1697</v>
      </c>
      <c r="C217" s="149" t="s">
        <v>1698</v>
      </c>
      <c r="D217" s="149" t="s">
        <v>1699</v>
      </c>
      <c r="E217" s="151">
        <v>16</v>
      </c>
      <c r="F217" s="152" t="s">
        <v>300</v>
      </c>
      <c r="G217" s="151">
        <v>8</v>
      </c>
      <c r="H217" s="153" t="s">
        <v>1623</v>
      </c>
    </row>
    <row r="218" spans="1:8" ht="15.75" hidden="1">
      <c r="A218" s="149" t="s">
        <v>1700</v>
      </c>
      <c r="B218" s="150" t="s">
        <v>1701</v>
      </c>
      <c r="C218" s="149" t="s">
        <v>1702</v>
      </c>
      <c r="D218" s="149" t="s">
        <v>1703</v>
      </c>
      <c r="E218" s="151">
        <v>16</v>
      </c>
      <c r="F218" s="152" t="s">
        <v>300</v>
      </c>
      <c r="G218" s="151">
        <v>8</v>
      </c>
      <c r="H218" s="153" t="s">
        <v>1623</v>
      </c>
    </row>
    <row r="219" spans="1:8" ht="15.75" hidden="1">
      <c r="A219" s="149" t="s">
        <v>1704</v>
      </c>
      <c r="B219" s="150" t="s">
        <v>1705</v>
      </c>
      <c r="C219" s="149" t="s">
        <v>1706</v>
      </c>
      <c r="D219" s="149" t="s">
        <v>1707</v>
      </c>
      <c r="E219" s="151">
        <v>16</v>
      </c>
      <c r="F219" s="152" t="s">
        <v>300</v>
      </c>
      <c r="G219" s="151">
        <v>8</v>
      </c>
      <c r="H219" s="153" t="s">
        <v>1623</v>
      </c>
    </row>
    <row r="220" spans="1:8" ht="15.75" hidden="1">
      <c r="A220" s="149" t="s">
        <v>1708</v>
      </c>
      <c r="B220" s="150" t="s">
        <v>1709</v>
      </c>
      <c r="C220" s="149" t="s">
        <v>1710</v>
      </c>
      <c r="D220" s="149" t="s">
        <v>1711</v>
      </c>
      <c r="E220" s="151">
        <v>16</v>
      </c>
      <c r="F220" s="152" t="s">
        <v>300</v>
      </c>
      <c r="G220" s="151">
        <v>8</v>
      </c>
      <c r="H220" s="153" t="s">
        <v>1623</v>
      </c>
    </row>
    <row r="221" spans="1:8" ht="15.75" hidden="1">
      <c r="A221" s="149" t="s">
        <v>1712</v>
      </c>
      <c r="B221" s="150" t="s">
        <v>1713</v>
      </c>
      <c r="C221" s="149" t="s">
        <v>1714</v>
      </c>
      <c r="D221" s="149" t="s">
        <v>1715</v>
      </c>
      <c r="E221" s="151">
        <v>16</v>
      </c>
      <c r="F221" s="152" t="s">
        <v>300</v>
      </c>
      <c r="G221" s="151">
        <v>8</v>
      </c>
      <c r="H221" s="153" t="s">
        <v>1623</v>
      </c>
    </row>
    <row r="222" spans="1:8" ht="15.75" hidden="1">
      <c r="A222" s="149" t="s">
        <v>1716</v>
      </c>
      <c r="B222" s="150" t="s">
        <v>1717</v>
      </c>
      <c r="C222" s="149" t="s">
        <v>1718</v>
      </c>
      <c r="D222" s="149" t="s">
        <v>1719</v>
      </c>
      <c r="E222" s="151">
        <v>16</v>
      </c>
      <c r="F222" s="152" t="s">
        <v>300</v>
      </c>
      <c r="G222" s="151">
        <v>8</v>
      </c>
      <c r="H222" s="153" t="s">
        <v>1623</v>
      </c>
    </row>
    <row r="223" spans="1:8" ht="15.75" hidden="1">
      <c r="A223" s="149" t="s">
        <v>1720</v>
      </c>
      <c r="B223" s="150" t="s">
        <v>1721</v>
      </c>
      <c r="C223" s="149" t="s">
        <v>1721</v>
      </c>
      <c r="D223" s="149" t="s">
        <v>1722</v>
      </c>
      <c r="E223" s="151">
        <v>16</v>
      </c>
      <c r="F223" s="152" t="s">
        <v>300</v>
      </c>
      <c r="G223" s="151">
        <v>8</v>
      </c>
      <c r="H223" s="153" t="s">
        <v>1623</v>
      </c>
    </row>
    <row r="224" spans="1:8" ht="15.75" hidden="1">
      <c r="A224" s="149" t="s">
        <v>1723</v>
      </c>
      <c r="B224" s="150" t="s">
        <v>1724</v>
      </c>
      <c r="C224" s="149" t="s">
        <v>1725</v>
      </c>
      <c r="D224" s="149" t="s">
        <v>1726</v>
      </c>
      <c r="E224" s="151">
        <v>16</v>
      </c>
      <c r="F224" s="152" t="s">
        <v>300</v>
      </c>
      <c r="G224" s="151">
        <v>8</v>
      </c>
      <c r="H224" s="153" t="s">
        <v>1623</v>
      </c>
    </row>
    <row r="225" spans="1:8" ht="15.75" hidden="1">
      <c r="A225" s="149" t="s">
        <v>1727</v>
      </c>
      <c r="B225" s="150" t="s">
        <v>1728</v>
      </c>
      <c r="C225" s="149" t="s">
        <v>1729</v>
      </c>
      <c r="D225" s="149" t="s">
        <v>1730</v>
      </c>
      <c r="E225" s="151">
        <v>16</v>
      </c>
      <c r="F225" s="152" t="s">
        <v>300</v>
      </c>
      <c r="G225" s="151">
        <v>8</v>
      </c>
      <c r="H225" s="153" t="s">
        <v>1623</v>
      </c>
    </row>
    <row r="226" spans="1:8" ht="31.5" hidden="1">
      <c r="A226" s="149" t="s">
        <v>1731</v>
      </c>
      <c r="B226" s="150" t="s">
        <v>1732</v>
      </c>
      <c r="C226" s="149" t="s">
        <v>1733</v>
      </c>
      <c r="D226" s="149" t="s">
        <v>1734</v>
      </c>
      <c r="E226" s="151">
        <v>16</v>
      </c>
      <c r="F226" s="152" t="s">
        <v>300</v>
      </c>
      <c r="G226" s="151">
        <v>8</v>
      </c>
      <c r="H226" s="153" t="s">
        <v>1623</v>
      </c>
    </row>
    <row r="227" spans="1:8" ht="31.5" hidden="1">
      <c r="A227" s="149" t="s">
        <v>1735</v>
      </c>
      <c r="B227" s="150" t="s">
        <v>1736</v>
      </c>
      <c r="C227" s="149" t="s">
        <v>1737</v>
      </c>
      <c r="D227" s="149" t="s">
        <v>1738</v>
      </c>
      <c r="E227" s="151">
        <v>16</v>
      </c>
      <c r="F227" s="152" t="s">
        <v>300</v>
      </c>
      <c r="G227" s="151">
        <v>8</v>
      </c>
      <c r="H227" s="153" t="s">
        <v>1623</v>
      </c>
    </row>
    <row r="228" spans="1:8" ht="31.5" hidden="1">
      <c r="A228" s="149" t="s">
        <v>1739</v>
      </c>
      <c r="B228" s="150" t="s">
        <v>1740</v>
      </c>
      <c r="C228" s="149" t="s">
        <v>1741</v>
      </c>
      <c r="D228" s="149" t="s">
        <v>1742</v>
      </c>
      <c r="E228" s="151">
        <v>16</v>
      </c>
      <c r="F228" s="152" t="s">
        <v>300</v>
      </c>
      <c r="G228" s="151">
        <v>8</v>
      </c>
      <c r="H228" s="153" t="s">
        <v>1623</v>
      </c>
    </row>
    <row r="229" spans="1:8" ht="15.75" hidden="1">
      <c r="A229" s="149" t="s">
        <v>1743</v>
      </c>
      <c r="B229" s="150" t="s">
        <v>1744</v>
      </c>
      <c r="C229" s="149" t="s">
        <v>1745</v>
      </c>
      <c r="D229" s="149" t="s">
        <v>1746</v>
      </c>
      <c r="E229" s="151">
        <v>16</v>
      </c>
      <c r="F229" s="152" t="s">
        <v>300</v>
      </c>
      <c r="G229" s="151">
        <v>8</v>
      </c>
      <c r="H229" s="153" t="s">
        <v>1623</v>
      </c>
    </row>
    <row r="230" spans="1:8" ht="31.5" hidden="1">
      <c r="A230" s="149" t="s">
        <v>1747</v>
      </c>
      <c r="B230" s="150" t="s">
        <v>1748</v>
      </c>
      <c r="C230" s="149" t="s">
        <v>1748</v>
      </c>
      <c r="D230" s="149" t="s">
        <v>1749</v>
      </c>
      <c r="E230" s="151">
        <v>16</v>
      </c>
      <c r="F230" s="152" t="s">
        <v>300</v>
      </c>
      <c r="G230" s="151">
        <v>8</v>
      </c>
      <c r="H230" s="153" t="s">
        <v>1623</v>
      </c>
    </row>
    <row r="231" spans="1:8" ht="31.5" hidden="1">
      <c r="A231" s="149" t="s">
        <v>1750</v>
      </c>
      <c r="B231" s="150" t="s">
        <v>1751</v>
      </c>
      <c r="C231" s="149" t="s">
        <v>1422</v>
      </c>
      <c r="D231" s="149" t="s">
        <v>1752</v>
      </c>
      <c r="E231" s="151">
        <v>16</v>
      </c>
      <c r="F231" s="152" t="s">
        <v>300</v>
      </c>
      <c r="G231" s="151">
        <v>8</v>
      </c>
      <c r="H231" s="153" t="s">
        <v>1623</v>
      </c>
    </row>
    <row r="232" spans="1:8" ht="15.75" hidden="1">
      <c r="A232" s="149" t="s">
        <v>1753</v>
      </c>
      <c r="B232" s="150" t="s">
        <v>1425</v>
      </c>
      <c r="C232" s="149" t="s">
        <v>1426</v>
      </c>
      <c r="D232" s="149" t="s">
        <v>1754</v>
      </c>
      <c r="E232" s="151">
        <v>16</v>
      </c>
      <c r="F232" s="152" t="s">
        <v>300</v>
      </c>
      <c r="G232" s="151">
        <v>8</v>
      </c>
      <c r="H232" s="153" t="s">
        <v>1623</v>
      </c>
    </row>
    <row r="233" spans="1:8" ht="31.5" hidden="1">
      <c r="A233" s="149" t="s">
        <v>1755</v>
      </c>
      <c r="B233" s="150" t="s">
        <v>1756</v>
      </c>
      <c r="C233" s="149" t="s">
        <v>1757</v>
      </c>
      <c r="D233" s="149" t="s">
        <v>1758</v>
      </c>
      <c r="E233" s="151">
        <v>16</v>
      </c>
      <c r="F233" s="152" t="s">
        <v>300</v>
      </c>
      <c r="G233" s="151">
        <v>8</v>
      </c>
      <c r="H233" s="153" t="s">
        <v>1623</v>
      </c>
    </row>
    <row r="234" spans="1:8" ht="15.75" hidden="1">
      <c r="A234" s="149" t="s">
        <v>1759</v>
      </c>
      <c r="B234" s="150" t="s">
        <v>1417</v>
      </c>
      <c r="C234" s="149" t="s">
        <v>1418</v>
      </c>
      <c r="D234" s="149" t="s">
        <v>1760</v>
      </c>
      <c r="E234" s="151">
        <v>16</v>
      </c>
      <c r="F234" s="152" t="s">
        <v>300</v>
      </c>
      <c r="G234" s="151">
        <v>8</v>
      </c>
      <c r="H234" s="153" t="s">
        <v>1623</v>
      </c>
    </row>
    <row r="235" spans="1:8" ht="15.75" hidden="1">
      <c r="A235" s="149" t="s">
        <v>1761</v>
      </c>
      <c r="B235" s="150" t="s">
        <v>1762</v>
      </c>
      <c r="C235" s="149" t="s">
        <v>1762</v>
      </c>
      <c r="D235" s="149" t="s">
        <v>1763</v>
      </c>
      <c r="E235" s="151">
        <v>15</v>
      </c>
      <c r="F235" s="152" t="s">
        <v>300</v>
      </c>
      <c r="G235" s="151">
        <v>8</v>
      </c>
      <c r="H235" s="153" t="s">
        <v>1623</v>
      </c>
    </row>
    <row r="236" spans="1:8" ht="15.75" hidden="1">
      <c r="A236" s="149" t="s">
        <v>1764</v>
      </c>
      <c r="B236" s="150" t="s">
        <v>1765</v>
      </c>
      <c r="C236" s="149" t="s">
        <v>1765</v>
      </c>
      <c r="D236" s="149" t="s">
        <v>1766</v>
      </c>
      <c r="E236" s="151">
        <v>15</v>
      </c>
      <c r="F236" s="152" t="s">
        <v>300</v>
      </c>
      <c r="G236" s="151">
        <v>8</v>
      </c>
      <c r="H236" s="153" t="s">
        <v>1623</v>
      </c>
    </row>
    <row r="237" spans="1:8" ht="15.75" hidden="1">
      <c r="A237" s="149" t="s">
        <v>1767</v>
      </c>
      <c r="B237" s="150" t="s">
        <v>1768</v>
      </c>
      <c r="C237" s="149" t="s">
        <v>1769</v>
      </c>
      <c r="D237" s="149" t="s">
        <v>1770</v>
      </c>
      <c r="E237" s="151">
        <v>15</v>
      </c>
      <c r="F237" s="152" t="s">
        <v>300</v>
      </c>
      <c r="G237" s="151">
        <v>8</v>
      </c>
      <c r="H237" s="153" t="s">
        <v>1623</v>
      </c>
    </row>
    <row r="238" spans="1:8" ht="15.75" hidden="1">
      <c r="A238" s="149" t="s">
        <v>1771</v>
      </c>
      <c r="B238" s="150" t="s">
        <v>1772</v>
      </c>
      <c r="C238" s="149" t="s">
        <v>1773</v>
      </c>
      <c r="D238" s="149" t="s">
        <v>1774</v>
      </c>
      <c r="E238" s="151">
        <v>15</v>
      </c>
      <c r="F238" s="152" t="s">
        <v>300</v>
      </c>
      <c r="G238" s="151">
        <v>8</v>
      </c>
      <c r="H238" s="153" t="s">
        <v>1623</v>
      </c>
    </row>
    <row r="239" spans="1:8" ht="15.75" hidden="1">
      <c r="A239" s="149" t="s">
        <v>1775</v>
      </c>
      <c r="B239" s="150" t="s">
        <v>1776</v>
      </c>
      <c r="C239" s="149" t="s">
        <v>1777</v>
      </c>
      <c r="D239" s="149" t="s">
        <v>1777</v>
      </c>
      <c r="E239" s="151">
        <v>15</v>
      </c>
      <c r="F239" s="152" t="s">
        <v>300</v>
      </c>
      <c r="G239" s="151">
        <v>8</v>
      </c>
      <c r="H239" s="153" t="s">
        <v>1623</v>
      </c>
    </row>
    <row r="240" spans="1:8" ht="15.75" hidden="1">
      <c r="A240" s="149" t="s">
        <v>1778</v>
      </c>
      <c r="B240" s="150" t="s">
        <v>1779</v>
      </c>
      <c r="C240" s="149" t="s">
        <v>1780</v>
      </c>
      <c r="D240" s="149" t="s">
        <v>1781</v>
      </c>
      <c r="E240" s="151">
        <v>15</v>
      </c>
      <c r="F240" s="152" t="s">
        <v>300</v>
      </c>
      <c r="G240" s="151">
        <v>8</v>
      </c>
      <c r="H240" s="153" t="s">
        <v>1623</v>
      </c>
    </row>
    <row r="241" spans="1:8" ht="31.5" hidden="1">
      <c r="A241" s="149" t="s">
        <v>1782</v>
      </c>
      <c r="B241" s="150" t="s">
        <v>1783</v>
      </c>
      <c r="C241" s="149" t="s">
        <v>1783</v>
      </c>
      <c r="D241" s="149" t="s">
        <v>1784</v>
      </c>
      <c r="E241" s="151">
        <v>15</v>
      </c>
      <c r="F241" s="152" t="s">
        <v>300</v>
      </c>
      <c r="G241" s="151">
        <v>8</v>
      </c>
      <c r="H241" s="153" t="s">
        <v>1623</v>
      </c>
    </row>
    <row r="242" spans="1:8" ht="15.75" hidden="1">
      <c r="A242" s="149" t="s">
        <v>1785</v>
      </c>
      <c r="B242" s="150" t="s">
        <v>1786</v>
      </c>
      <c r="C242" s="149" t="s">
        <v>1787</v>
      </c>
      <c r="D242" s="149" t="s">
        <v>1788</v>
      </c>
      <c r="E242" s="151">
        <v>15</v>
      </c>
      <c r="F242" s="152" t="s">
        <v>300</v>
      </c>
      <c r="G242" s="151">
        <v>8</v>
      </c>
      <c r="H242" s="153" t="s">
        <v>1623</v>
      </c>
    </row>
    <row r="243" spans="1:8" ht="31.5" hidden="1">
      <c r="A243" s="149" t="s">
        <v>1789</v>
      </c>
      <c r="B243" s="150" t="s">
        <v>1790</v>
      </c>
      <c r="C243" s="149" t="s">
        <v>1791</v>
      </c>
      <c r="D243" s="149" t="s">
        <v>1792</v>
      </c>
      <c r="E243" s="151">
        <v>15</v>
      </c>
      <c r="F243" s="152" t="s">
        <v>300</v>
      </c>
      <c r="G243" s="151">
        <v>8</v>
      </c>
      <c r="H243" s="153" t="s">
        <v>1623</v>
      </c>
    </row>
    <row r="244" spans="1:8" ht="31.5" hidden="1">
      <c r="A244" s="149" t="s">
        <v>1793</v>
      </c>
      <c r="B244" s="150" t="s">
        <v>1794</v>
      </c>
      <c r="C244" s="149" t="s">
        <v>1794</v>
      </c>
      <c r="D244" s="149" t="s">
        <v>1795</v>
      </c>
      <c r="E244" s="151">
        <v>15</v>
      </c>
      <c r="F244" s="152" t="s">
        <v>300</v>
      </c>
      <c r="G244" s="151">
        <v>8</v>
      </c>
      <c r="H244" s="153" t="s">
        <v>1623</v>
      </c>
    </row>
    <row r="245" spans="1:8" ht="15.75" hidden="1">
      <c r="A245" s="149" t="s">
        <v>1796</v>
      </c>
      <c r="B245" s="150" t="s">
        <v>1797</v>
      </c>
      <c r="C245" s="149" t="s">
        <v>1797</v>
      </c>
      <c r="D245" s="149" t="s">
        <v>1798</v>
      </c>
      <c r="E245" s="151">
        <v>15</v>
      </c>
      <c r="F245" s="152" t="s">
        <v>300</v>
      </c>
      <c r="G245" s="151">
        <v>8</v>
      </c>
      <c r="H245" s="153" t="s">
        <v>1623</v>
      </c>
    </row>
    <row r="246" spans="1:8" ht="15.75" hidden="1">
      <c r="A246" s="149" t="s">
        <v>1799</v>
      </c>
      <c r="B246" s="150" t="s">
        <v>1800</v>
      </c>
      <c r="C246" s="149" t="s">
        <v>1801</v>
      </c>
      <c r="D246" s="149" t="s">
        <v>1802</v>
      </c>
      <c r="E246" s="151">
        <v>15</v>
      </c>
      <c r="F246" s="152" t="s">
        <v>300</v>
      </c>
      <c r="G246" s="151">
        <v>8</v>
      </c>
      <c r="H246" s="153" t="s">
        <v>1623</v>
      </c>
    </row>
    <row r="247" spans="1:8" ht="15.75" hidden="1">
      <c r="A247" s="149" t="s">
        <v>1803</v>
      </c>
      <c r="B247" s="150" t="s">
        <v>1804</v>
      </c>
      <c r="C247" s="149" t="s">
        <v>1805</v>
      </c>
      <c r="D247" s="149" t="s">
        <v>1806</v>
      </c>
      <c r="E247" s="151">
        <v>15</v>
      </c>
      <c r="F247" s="152" t="s">
        <v>300</v>
      </c>
      <c r="G247" s="151">
        <v>8</v>
      </c>
      <c r="H247" s="153" t="s">
        <v>1623</v>
      </c>
    </row>
    <row r="248" spans="1:8" ht="15.75" hidden="1">
      <c r="A248" s="149" t="s">
        <v>1807</v>
      </c>
      <c r="B248" s="150" t="s">
        <v>1808</v>
      </c>
      <c r="C248" s="149" t="s">
        <v>1808</v>
      </c>
      <c r="D248" s="149" t="s">
        <v>1809</v>
      </c>
      <c r="E248" s="151">
        <v>15</v>
      </c>
      <c r="F248" s="152" t="s">
        <v>300</v>
      </c>
      <c r="G248" s="151">
        <v>8</v>
      </c>
      <c r="H248" s="153" t="s">
        <v>1623</v>
      </c>
    </row>
    <row r="249" spans="1:8" ht="15.75" hidden="1">
      <c r="A249" s="149" t="s">
        <v>1810</v>
      </c>
      <c r="B249" s="150" t="s">
        <v>1811</v>
      </c>
      <c r="C249" s="149" t="s">
        <v>1812</v>
      </c>
      <c r="D249" s="149" t="s">
        <v>1813</v>
      </c>
      <c r="E249" s="151">
        <v>15</v>
      </c>
      <c r="F249" s="152" t="s">
        <v>300</v>
      </c>
      <c r="G249" s="151">
        <v>8</v>
      </c>
      <c r="H249" s="153" t="s">
        <v>1623</v>
      </c>
    </row>
    <row r="250" spans="1:8" ht="15.75" hidden="1">
      <c r="A250" s="149" t="s">
        <v>1814</v>
      </c>
      <c r="B250" s="150" t="s">
        <v>1815</v>
      </c>
      <c r="C250" s="149" t="s">
        <v>1816</v>
      </c>
      <c r="D250" s="149" t="s">
        <v>1817</v>
      </c>
      <c r="E250" s="151">
        <v>15</v>
      </c>
      <c r="F250" s="152" t="s">
        <v>300</v>
      </c>
      <c r="G250" s="151">
        <v>8</v>
      </c>
      <c r="H250" s="153" t="s">
        <v>1623</v>
      </c>
    </row>
    <row r="251" spans="1:8" ht="31.5" hidden="1">
      <c r="A251" s="149" t="s">
        <v>1818</v>
      </c>
      <c r="B251" s="150" t="s">
        <v>1819</v>
      </c>
      <c r="C251" s="149" t="s">
        <v>1819</v>
      </c>
      <c r="D251" s="149" t="s">
        <v>1820</v>
      </c>
      <c r="E251" s="151">
        <v>15</v>
      </c>
      <c r="F251" s="152" t="s">
        <v>300</v>
      </c>
      <c r="G251" s="151">
        <v>8</v>
      </c>
      <c r="H251" s="153" t="s">
        <v>1623</v>
      </c>
    </row>
    <row r="252" spans="1:8" ht="15.75" hidden="1">
      <c r="A252" s="149" t="s">
        <v>1821</v>
      </c>
      <c r="B252" s="150" t="s">
        <v>373</v>
      </c>
      <c r="C252" s="149" t="s">
        <v>1822</v>
      </c>
      <c r="D252" s="149" t="s">
        <v>1823</v>
      </c>
      <c r="E252" s="151">
        <v>15</v>
      </c>
      <c r="F252" s="152" t="s">
        <v>300</v>
      </c>
      <c r="G252" s="151">
        <v>8</v>
      </c>
      <c r="H252" s="153" t="s">
        <v>1623</v>
      </c>
    </row>
    <row r="253" spans="1:8" ht="15.75" hidden="1">
      <c r="A253" s="149" t="s">
        <v>1824</v>
      </c>
      <c r="B253" s="150" t="s">
        <v>1825</v>
      </c>
      <c r="C253" s="149" t="s">
        <v>1825</v>
      </c>
      <c r="D253" s="149" t="s">
        <v>1826</v>
      </c>
      <c r="E253" s="151">
        <v>15</v>
      </c>
      <c r="F253" s="152" t="s">
        <v>300</v>
      </c>
      <c r="G253" s="151">
        <v>8</v>
      </c>
      <c r="H253" s="153" t="s">
        <v>1623</v>
      </c>
    </row>
    <row r="254" spans="1:8" ht="15.75" hidden="1">
      <c r="A254" s="149" t="s">
        <v>1827</v>
      </c>
      <c r="B254" s="150" t="s">
        <v>1828</v>
      </c>
      <c r="C254" s="149" t="s">
        <v>1828</v>
      </c>
      <c r="D254" s="149" t="s">
        <v>1829</v>
      </c>
      <c r="E254" s="151">
        <v>15</v>
      </c>
      <c r="F254" s="152" t="s">
        <v>300</v>
      </c>
      <c r="G254" s="151">
        <v>8</v>
      </c>
      <c r="H254" s="153" t="s">
        <v>1623</v>
      </c>
    </row>
    <row r="255" spans="1:8" ht="15.75" hidden="1">
      <c r="A255" s="149" t="s">
        <v>1830</v>
      </c>
      <c r="B255" s="150" t="s">
        <v>1831</v>
      </c>
      <c r="C255" s="149" t="s">
        <v>1832</v>
      </c>
      <c r="D255" s="149" t="s">
        <v>1833</v>
      </c>
      <c r="E255" s="151">
        <v>14</v>
      </c>
      <c r="F255" s="152" t="s">
        <v>300</v>
      </c>
      <c r="G255" s="151">
        <v>8</v>
      </c>
      <c r="H255" s="153" t="s">
        <v>1623</v>
      </c>
    </row>
    <row r="256" spans="1:8" ht="31.5" hidden="1">
      <c r="A256" s="149" t="s">
        <v>1834</v>
      </c>
      <c r="B256" s="150" t="s">
        <v>1835</v>
      </c>
      <c r="C256" s="149" t="s">
        <v>1836</v>
      </c>
      <c r="D256" s="149" t="s">
        <v>1837</v>
      </c>
      <c r="E256" s="151">
        <v>14</v>
      </c>
      <c r="F256" s="152" t="s">
        <v>300</v>
      </c>
      <c r="G256" s="151">
        <v>8</v>
      </c>
      <c r="H256" s="153" t="s">
        <v>1623</v>
      </c>
    </row>
    <row r="257" spans="1:8" ht="15.75" hidden="1">
      <c r="A257" s="149" t="s">
        <v>1838</v>
      </c>
      <c r="B257" s="150" t="s">
        <v>1839</v>
      </c>
      <c r="C257" s="149" t="s">
        <v>1840</v>
      </c>
      <c r="D257" s="149" t="s">
        <v>1841</v>
      </c>
      <c r="E257" s="151">
        <v>14</v>
      </c>
      <c r="F257" s="152" t="s">
        <v>300</v>
      </c>
      <c r="G257" s="151">
        <v>8</v>
      </c>
      <c r="H257" s="153" t="s">
        <v>1623</v>
      </c>
    </row>
    <row r="258" spans="1:8" ht="15.75" hidden="1">
      <c r="A258" s="149" t="s">
        <v>1842</v>
      </c>
      <c r="B258" s="150" t="s">
        <v>1843</v>
      </c>
      <c r="C258" s="149" t="s">
        <v>1844</v>
      </c>
      <c r="D258" s="149" t="s">
        <v>1845</v>
      </c>
      <c r="E258" s="151">
        <v>13</v>
      </c>
      <c r="F258" s="152" t="s">
        <v>300</v>
      </c>
      <c r="G258" s="151">
        <v>8</v>
      </c>
      <c r="H258" s="153" t="s">
        <v>1623</v>
      </c>
    </row>
    <row r="259" spans="1:8" ht="15.75" hidden="1">
      <c r="A259" s="149" t="s">
        <v>1846</v>
      </c>
      <c r="B259" s="150" t="s">
        <v>1847</v>
      </c>
      <c r="C259" s="149" t="s">
        <v>1847</v>
      </c>
      <c r="D259" s="149" t="s">
        <v>1848</v>
      </c>
      <c r="E259" s="151">
        <v>14</v>
      </c>
      <c r="F259" s="152" t="s">
        <v>300</v>
      </c>
      <c r="G259" s="151">
        <v>8</v>
      </c>
      <c r="H259" s="153" t="s">
        <v>1623</v>
      </c>
    </row>
    <row r="260" spans="1:8" ht="15.75" hidden="1">
      <c r="A260" s="149" t="s">
        <v>1849</v>
      </c>
      <c r="B260" s="150" t="s">
        <v>1850</v>
      </c>
      <c r="C260" s="149" t="s">
        <v>1851</v>
      </c>
      <c r="D260" s="149" t="s">
        <v>1852</v>
      </c>
      <c r="E260" s="151">
        <v>14</v>
      </c>
      <c r="F260" s="152" t="s">
        <v>300</v>
      </c>
      <c r="G260" s="151">
        <v>8</v>
      </c>
      <c r="H260" s="153" t="s">
        <v>1623</v>
      </c>
    </row>
    <row r="261" spans="1:8" ht="15.75" hidden="1">
      <c r="A261" s="149" t="s">
        <v>1853</v>
      </c>
      <c r="B261" s="150" t="s">
        <v>1854</v>
      </c>
      <c r="C261" s="149" t="s">
        <v>1855</v>
      </c>
      <c r="D261" s="149" t="s">
        <v>1856</v>
      </c>
      <c r="E261" s="151">
        <v>14</v>
      </c>
      <c r="F261" s="152" t="s">
        <v>300</v>
      </c>
      <c r="G261" s="151">
        <v>8</v>
      </c>
      <c r="H261" s="153" t="s">
        <v>1623</v>
      </c>
    </row>
    <row r="262" spans="1:8" ht="31.5" hidden="1">
      <c r="A262" s="149" t="s">
        <v>1857</v>
      </c>
      <c r="B262" s="150" t="s">
        <v>1858</v>
      </c>
      <c r="C262" s="149" t="s">
        <v>1858</v>
      </c>
      <c r="D262" s="149" t="s">
        <v>1859</v>
      </c>
      <c r="E262" s="151">
        <v>14</v>
      </c>
      <c r="F262" s="152" t="s">
        <v>300</v>
      </c>
      <c r="G262" s="151">
        <v>8</v>
      </c>
      <c r="H262" s="153" t="s">
        <v>1623</v>
      </c>
    </row>
    <row r="263" spans="1:8" ht="15.75" hidden="1">
      <c r="A263" s="149" t="s">
        <v>1860</v>
      </c>
      <c r="B263" s="150" t="s">
        <v>1861</v>
      </c>
      <c r="C263" s="149" t="s">
        <v>1862</v>
      </c>
      <c r="D263" s="149" t="s">
        <v>1863</v>
      </c>
      <c r="E263" s="151">
        <v>14</v>
      </c>
      <c r="F263" s="152" t="s">
        <v>300</v>
      </c>
      <c r="G263" s="151">
        <v>8</v>
      </c>
      <c r="H263" s="153" t="s">
        <v>1623</v>
      </c>
    </row>
    <row r="264" spans="1:8" ht="15.75" hidden="1">
      <c r="A264" s="149" t="s">
        <v>1864</v>
      </c>
      <c r="B264" s="150" t="s">
        <v>1865</v>
      </c>
      <c r="C264" s="149" t="s">
        <v>1866</v>
      </c>
      <c r="D264" s="149" t="s">
        <v>1867</v>
      </c>
      <c r="E264" s="151">
        <v>14</v>
      </c>
      <c r="F264" s="152" t="s">
        <v>300</v>
      </c>
      <c r="G264" s="151">
        <v>8</v>
      </c>
      <c r="H264" s="153" t="s">
        <v>1623</v>
      </c>
    </row>
    <row r="265" spans="1:8" ht="15.75" hidden="1">
      <c r="A265" s="149" t="s">
        <v>1868</v>
      </c>
      <c r="B265" s="150" t="s">
        <v>1869</v>
      </c>
      <c r="C265" s="149" t="s">
        <v>1870</v>
      </c>
      <c r="D265" s="149" t="s">
        <v>1871</v>
      </c>
      <c r="E265" s="151">
        <v>14</v>
      </c>
      <c r="F265" s="152" t="s">
        <v>300</v>
      </c>
      <c r="G265" s="151">
        <v>8</v>
      </c>
      <c r="H265" s="153" t="s">
        <v>1623</v>
      </c>
    </row>
    <row r="266" spans="1:8" ht="15.75" hidden="1">
      <c r="A266" s="149" t="s">
        <v>1872</v>
      </c>
      <c r="B266" s="150" t="s">
        <v>1873</v>
      </c>
      <c r="C266" s="149" t="s">
        <v>1874</v>
      </c>
      <c r="D266" s="149" t="s">
        <v>1875</v>
      </c>
      <c r="E266" s="151">
        <v>14</v>
      </c>
      <c r="F266" s="152" t="s">
        <v>300</v>
      </c>
      <c r="G266" s="151">
        <v>8</v>
      </c>
      <c r="H266" s="153" t="s">
        <v>1623</v>
      </c>
    </row>
    <row r="267" spans="1:8" ht="15.75" hidden="1">
      <c r="A267" s="149" t="s">
        <v>1876</v>
      </c>
      <c r="B267" s="150" t="s">
        <v>1877</v>
      </c>
      <c r="C267" s="149" t="s">
        <v>1877</v>
      </c>
      <c r="D267" s="149" t="s">
        <v>1878</v>
      </c>
      <c r="E267" s="151">
        <v>14</v>
      </c>
      <c r="F267" s="152" t="s">
        <v>300</v>
      </c>
      <c r="G267" s="151">
        <v>8</v>
      </c>
      <c r="H267" s="153" t="s">
        <v>1623</v>
      </c>
    </row>
    <row r="268" spans="1:8" ht="15.75" hidden="1">
      <c r="A268" s="149" t="s">
        <v>1879</v>
      </c>
      <c r="B268" s="150" t="s">
        <v>1880</v>
      </c>
      <c r="C268" s="149" t="s">
        <v>1881</v>
      </c>
      <c r="D268" s="149" t="s">
        <v>1881</v>
      </c>
      <c r="E268" s="151">
        <v>9</v>
      </c>
      <c r="F268" s="152" t="s">
        <v>300</v>
      </c>
      <c r="G268" s="151">
        <v>8</v>
      </c>
      <c r="H268" s="153" t="s">
        <v>1623</v>
      </c>
    </row>
    <row r="269" spans="1:8" ht="15.75" hidden="1">
      <c r="A269" s="154" t="s">
        <v>1882</v>
      </c>
      <c r="B269" s="155" t="s">
        <v>1883</v>
      </c>
      <c r="C269" s="154" t="s">
        <v>1884</v>
      </c>
      <c r="D269" s="154" t="s">
        <v>1885</v>
      </c>
      <c r="E269" s="159" t="s">
        <v>300</v>
      </c>
      <c r="F269" s="157" t="s">
        <v>300</v>
      </c>
      <c r="G269" s="159">
        <v>8</v>
      </c>
      <c r="H269" s="158" t="s">
        <v>1886</v>
      </c>
    </row>
    <row r="270" spans="1:8" ht="31.5" hidden="1">
      <c r="A270" s="154" t="s">
        <v>1887</v>
      </c>
      <c r="B270" s="155" t="s">
        <v>1888</v>
      </c>
      <c r="C270" s="154" t="s">
        <v>1889</v>
      </c>
      <c r="D270" s="154" t="s">
        <v>1890</v>
      </c>
      <c r="E270" s="159" t="s">
        <v>300</v>
      </c>
      <c r="F270" s="157" t="s">
        <v>300</v>
      </c>
      <c r="G270" s="159">
        <v>8</v>
      </c>
      <c r="H270" s="158" t="s">
        <v>1886</v>
      </c>
    </row>
    <row r="271" spans="1:8" ht="15.75" hidden="1">
      <c r="A271" s="154" t="s">
        <v>1891</v>
      </c>
      <c r="B271" s="155" t="s">
        <v>1892</v>
      </c>
      <c r="C271" s="154" t="s">
        <v>1893</v>
      </c>
      <c r="D271" s="154" t="s">
        <v>1894</v>
      </c>
      <c r="E271" s="159" t="s">
        <v>300</v>
      </c>
      <c r="F271" s="157" t="s">
        <v>300</v>
      </c>
      <c r="G271" s="159">
        <v>8</v>
      </c>
      <c r="H271" s="158" t="s">
        <v>1886</v>
      </c>
    </row>
    <row r="272" spans="1:8" ht="15.75" hidden="1">
      <c r="A272" s="154" t="s">
        <v>1895</v>
      </c>
      <c r="B272" s="155" t="s">
        <v>1896</v>
      </c>
      <c r="C272" s="154" t="s">
        <v>1897</v>
      </c>
      <c r="D272" s="154" t="s">
        <v>1898</v>
      </c>
      <c r="E272" s="159" t="s">
        <v>300</v>
      </c>
      <c r="F272" s="157" t="s">
        <v>300</v>
      </c>
      <c r="G272" s="159">
        <v>8</v>
      </c>
      <c r="H272" s="158" t="s">
        <v>1886</v>
      </c>
    </row>
    <row r="273" spans="1:8" ht="15.75" hidden="1">
      <c r="A273" s="154" t="s">
        <v>1899</v>
      </c>
      <c r="B273" s="155" t="s">
        <v>1900</v>
      </c>
      <c r="C273" s="154" t="s">
        <v>1901</v>
      </c>
      <c r="D273" s="154" t="s">
        <v>1902</v>
      </c>
      <c r="E273" s="159" t="s">
        <v>300</v>
      </c>
      <c r="F273" s="157" t="s">
        <v>300</v>
      </c>
      <c r="G273" s="159">
        <v>8</v>
      </c>
      <c r="H273" s="158" t="s">
        <v>1886</v>
      </c>
    </row>
    <row r="274" spans="1:8" ht="15.75" hidden="1">
      <c r="A274" s="154" t="s">
        <v>1903</v>
      </c>
      <c r="B274" s="155" t="s">
        <v>1904</v>
      </c>
      <c r="C274" s="154" t="s">
        <v>1905</v>
      </c>
      <c r="D274" s="154" t="s">
        <v>1906</v>
      </c>
      <c r="E274" s="159" t="s">
        <v>300</v>
      </c>
      <c r="F274" s="157" t="s">
        <v>300</v>
      </c>
      <c r="G274" s="159">
        <v>8</v>
      </c>
      <c r="H274" s="158" t="s">
        <v>1886</v>
      </c>
    </row>
    <row r="275" spans="1:8" ht="15.75" hidden="1">
      <c r="A275" s="154" t="s">
        <v>1907</v>
      </c>
      <c r="B275" s="155" t="s">
        <v>1908</v>
      </c>
      <c r="C275" s="154" t="s">
        <v>1909</v>
      </c>
      <c r="D275" s="154" t="s">
        <v>1896</v>
      </c>
      <c r="E275" s="159" t="s">
        <v>300</v>
      </c>
      <c r="F275" s="157" t="s">
        <v>300</v>
      </c>
      <c r="G275" s="159">
        <v>8</v>
      </c>
      <c r="H275" s="158" t="s">
        <v>1886</v>
      </c>
    </row>
    <row r="276" spans="1:8" ht="15.75" hidden="1">
      <c r="A276" s="149" t="s">
        <v>1910</v>
      </c>
      <c r="B276" s="150" t="s">
        <v>1911</v>
      </c>
      <c r="C276" s="149" t="s">
        <v>1912</v>
      </c>
      <c r="D276" s="149" t="s">
        <v>1913</v>
      </c>
      <c r="E276" s="160" t="s">
        <v>300</v>
      </c>
      <c r="F276" s="152" t="s">
        <v>300</v>
      </c>
      <c r="G276" s="160">
        <v>8</v>
      </c>
      <c r="H276" s="153" t="s">
        <v>1886</v>
      </c>
    </row>
    <row r="277" spans="1:8" ht="15.75" hidden="1">
      <c r="A277" s="149" t="s">
        <v>1914</v>
      </c>
      <c r="B277" s="150" t="s">
        <v>1915</v>
      </c>
      <c r="C277" s="149" t="s">
        <v>1916</v>
      </c>
      <c r="D277" s="149" t="s">
        <v>1917</v>
      </c>
      <c r="E277" s="160" t="s">
        <v>300</v>
      </c>
      <c r="F277" s="152" t="s">
        <v>300</v>
      </c>
      <c r="G277" s="160">
        <v>8</v>
      </c>
      <c r="H277" s="153" t="s">
        <v>1886</v>
      </c>
    </row>
    <row r="278" spans="1:8" ht="31.5" hidden="1">
      <c r="A278" s="149" t="s">
        <v>1918</v>
      </c>
      <c r="B278" s="150" t="s">
        <v>1919</v>
      </c>
      <c r="C278" s="149" t="s">
        <v>1920</v>
      </c>
      <c r="D278" s="149" t="s">
        <v>1921</v>
      </c>
      <c r="E278" s="151">
        <v>3</v>
      </c>
      <c r="F278" s="152" t="s">
        <v>209</v>
      </c>
      <c r="G278" s="151">
        <v>8</v>
      </c>
      <c r="H278" s="153" t="s">
        <v>1922</v>
      </c>
    </row>
    <row r="279" spans="1:8" ht="31.5" hidden="1">
      <c r="A279" s="149" t="s">
        <v>1923</v>
      </c>
      <c r="B279" s="150" t="s">
        <v>1924</v>
      </c>
      <c r="C279" s="149" t="s">
        <v>1925</v>
      </c>
      <c r="D279" s="149" t="s">
        <v>1926</v>
      </c>
      <c r="E279" s="151">
        <v>2</v>
      </c>
      <c r="F279" s="152" t="s">
        <v>209</v>
      </c>
      <c r="G279" s="151">
        <v>8</v>
      </c>
      <c r="H279" s="153" t="s">
        <v>1922</v>
      </c>
    </row>
    <row r="280" spans="1:8" ht="31.5" hidden="1">
      <c r="A280" s="149" t="s">
        <v>1927</v>
      </c>
      <c r="B280" s="150" t="s">
        <v>1928</v>
      </c>
      <c r="C280" s="149" t="s">
        <v>1929</v>
      </c>
      <c r="D280" s="149" t="s">
        <v>1930</v>
      </c>
      <c r="E280" s="151">
        <v>2</v>
      </c>
      <c r="F280" s="152" t="s">
        <v>209</v>
      </c>
      <c r="G280" s="151">
        <v>8</v>
      </c>
      <c r="H280" s="153" t="s">
        <v>1922</v>
      </c>
    </row>
    <row r="281" spans="1:8" ht="31.5" hidden="1">
      <c r="A281" s="149" t="s">
        <v>1931</v>
      </c>
      <c r="B281" s="150" t="s">
        <v>1932</v>
      </c>
      <c r="C281" s="149" t="s">
        <v>1933</v>
      </c>
      <c r="D281" s="149" t="s">
        <v>1934</v>
      </c>
      <c r="E281" s="151">
        <v>2</v>
      </c>
      <c r="F281" s="152" t="s">
        <v>209</v>
      </c>
      <c r="G281" s="151">
        <v>8</v>
      </c>
      <c r="H281" s="153" t="s">
        <v>1922</v>
      </c>
    </row>
    <row r="282" spans="1:8" ht="31.5" hidden="1">
      <c r="A282" s="149" t="s">
        <v>1935</v>
      </c>
      <c r="B282" s="150" t="s">
        <v>1936</v>
      </c>
      <c r="C282" s="149" t="s">
        <v>1937</v>
      </c>
      <c r="D282" s="149" t="s">
        <v>1938</v>
      </c>
      <c r="E282" s="151">
        <v>2</v>
      </c>
      <c r="F282" s="152" t="s">
        <v>209</v>
      </c>
      <c r="G282" s="151">
        <v>8</v>
      </c>
      <c r="H282" s="153" t="s">
        <v>1922</v>
      </c>
    </row>
    <row r="283" spans="1:8" ht="31.5" hidden="1">
      <c r="A283" s="149" t="s">
        <v>1939</v>
      </c>
      <c r="B283" s="150" t="s">
        <v>1940</v>
      </c>
      <c r="C283" s="149" t="s">
        <v>1941</v>
      </c>
      <c r="D283" s="149" t="s">
        <v>1942</v>
      </c>
      <c r="E283" s="151">
        <v>2</v>
      </c>
      <c r="F283" s="152" t="s">
        <v>209</v>
      </c>
      <c r="G283" s="151">
        <v>8</v>
      </c>
      <c r="H283" s="153" t="s">
        <v>1922</v>
      </c>
    </row>
    <row r="284" spans="1:8" ht="31.5" hidden="1">
      <c r="A284" s="149" t="s">
        <v>1943</v>
      </c>
      <c r="B284" s="150" t="s">
        <v>1944</v>
      </c>
      <c r="C284" s="149" t="s">
        <v>1945</v>
      </c>
      <c r="D284" s="149" t="s">
        <v>1946</v>
      </c>
      <c r="E284" s="151">
        <v>2</v>
      </c>
      <c r="F284" s="152" t="s">
        <v>209</v>
      </c>
      <c r="G284" s="151">
        <v>8</v>
      </c>
      <c r="H284" s="153" t="s">
        <v>1922</v>
      </c>
    </row>
    <row r="285" spans="1:8" ht="31.5" hidden="1">
      <c r="A285" s="149" t="s">
        <v>1947</v>
      </c>
      <c r="B285" s="150" t="s">
        <v>1948</v>
      </c>
      <c r="C285" s="149" t="s">
        <v>1949</v>
      </c>
      <c r="D285" s="149" t="s">
        <v>1950</v>
      </c>
      <c r="E285" s="151">
        <v>1</v>
      </c>
      <c r="F285" s="152" t="s">
        <v>209</v>
      </c>
      <c r="G285" s="151">
        <v>8</v>
      </c>
      <c r="H285" s="153" t="s">
        <v>1922</v>
      </c>
    </row>
    <row r="286" spans="1:8" ht="31.5" hidden="1">
      <c r="A286" s="149" t="s">
        <v>1951</v>
      </c>
      <c r="B286" s="150" t="s">
        <v>1952</v>
      </c>
      <c r="C286" s="149" t="s">
        <v>1953</v>
      </c>
      <c r="D286" s="149" t="s">
        <v>1954</v>
      </c>
      <c r="E286" s="151">
        <v>1</v>
      </c>
      <c r="F286" s="152" t="s">
        <v>209</v>
      </c>
      <c r="G286" s="151">
        <v>8</v>
      </c>
      <c r="H286" s="153" t="s">
        <v>1922</v>
      </c>
    </row>
    <row r="287" spans="1:8" ht="31.5" hidden="1">
      <c r="A287" s="149" t="s">
        <v>1955</v>
      </c>
      <c r="B287" s="150" t="s">
        <v>1956</v>
      </c>
      <c r="C287" s="149" t="s">
        <v>1957</v>
      </c>
      <c r="D287" s="149" t="s">
        <v>1958</v>
      </c>
      <c r="E287" s="151">
        <v>1</v>
      </c>
      <c r="F287" s="152" t="s">
        <v>209</v>
      </c>
      <c r="G287" s="151">
        <v>8</v>
      </c>
      <c r="H287" s="153" t="s">
        <v>1922</v>
      </c>
    </row>
    <row r="288" spans="1:8" ht="31.5" hidden="1">
      <c r="A288" s="149" t="s">
        <v>1959</v>
      </c>
      <c r="B288" s="150" t="s">
        <v>1960</v>
      </c>
      <c r="C288" s="149" t="s">
        <v>1961</v>
      </c>
      <c r="D288" s="149" t="s">
        <v>1962</v>
      </c>
      <c r="E288" s="151">
        <v>1</v>
      </c>
      <c r="F288" s="152" t="s">
        <v>209</v>
      </c>
      <c r="G288" s="151">
        <v>8</v>
      </c>
      <c r="H288" s="153" t="s">
        <v>1922</v>
      </c>
    </row>
    <row r="289" spans="1:8" ht="31.5" hidden="1">
      <c r="A289" s="149" t="s">
        <v>1963</v>
      </c>
      <c r="B289" s="150" t="s">
        <v>1964</v>
      </c>
      <c r="C289" s="149" t="s">
        <v>1965</v>
      </c>
      <c r="D289" s="149" t="s">
        <v>1966</v>
      </c>
      <c r="E289" s="151">
        <v>1</v>
      </c>
      <c r="F289" s="152" t="s">
        <v>209</v>
      </c>
      <c r="G289" s="151">
        <v>8</v>
      </c>
      <c r="H289" s="153" t="s">
        <v>1922</v>
      </c>
    </row>
    <row r="290" spans="1:8" ht="31.5" hidden="1">
      <c r="A290" s="149" t="s">
        <v>1967</v>
      </c>
      <c r="B290" s="150" t="s">
        <v>1968</v>
      </c>
      <c r="C290" s="149" t="s">
        <v>1969</v>
      </c>
      <c r="D290" s="149" t="s">
        <v>1970</v>
      </c>
      <c r="E290" s="151">
        <v>1</v>
      </c>
      <c r="F290" s="152" t="s">
        <v>209</v>
      </c>
      <c r="G290" s="151">
        <v>8</v>
      </c>
      <c r="H290" s="153" t="s">
        <v>1922</v>
      </c>
    </row>
    <row r="291" spans="1:8" ht="31.5" hidden="1">
      <c r="A291" s="149" t="s">
        <v>1971</v>
      </c>
      <c r="B291" s="150" t="s">
        <v>1972</v>
      </c>
      <c r="C291" s="149" t="s">
        <v>1973</v>
      </c>
      <c r="D291" s="149" t="s">
        <v>1974</v>
      </c>
      <c r="E291" s="151">
        <v>1</v>
      </c>
      <c r="F291" s="152" t="s">
        <v>209</v>
      </c>
      <c r="G291" s="151">
        <v>8</v>
      </c>
      <c r="H291" s="153" t="s">
        <v>1922</v>
      </c>
    </row>
    <row r="292" spans="1:8" ht="31.5" hidden="1">
      <c r="A292" s="149" t="s">
        <v>1975</v>
      </c>
      <c r="B292" s="150" t="s">
        <v>1976</v>
      </c>
      <c r="C292" s="149" t="s">
        <v>1977</v>
      </c>
      <c r="D292" s="149" t="s">
        <v>1978</v>
      </c>
      <c r="E292" s="151">
        <v>1</v>
      </c>
      <c r="F292" s="152" t="s">
        <v>209</v>
      </c>
      <c r="G292" s="151">
        <v>8</v>
      </c>
      <c r="H292" s="153" t="s">
        <v>1922</v>
      </c>
    </row>
    <row r="293" spans="1:8" ht="31.5" hidden="1">
      <c r="A293" s="149" t="s">
        <v>1979</v>
      </c>
      <c r="B293" s="150" t="s">
        <v>1980</v>
      </c>
      <c r="C293" s="149" t="s">
        <v>1981</v>
      </c>
      <c r="D293" s="149" t="s">
        <v>1982</v>
      </c>
      <c r="E293" s="151">
        <v>2</v>
      </c>
      <c r="F293" s="152" t="s">
        <v>209</v>
      </c>
      <c r="G293" s="151">
        <v>8</v>
      </c>
      <c r="H293" s="153" t="s">
        <v>1922</v>
      </c>
    </row>
    <row r="294" spans="1:8" ht="31.5" hidden="1">
      <c r="A294" s="149" t="s">
        <v>1983</v>
      </c>
      <c r="B294" s="150" t="s">
        <v>1984</v>
      </c>
      <c r="C294" s="149" t="s">
        <v>1985</v>
      </c>
      <c r="D294" s="149" t="s">
        <v>1986</v>
      </c>
      <c r="E294" s="151">
        <v>2</v>
      </c>
      <c r="F294" s="152" t="s">
        <v>209</v>
      </c>
      <c r="G294" s="151">
        <v>8</v>
      </c>
      <c r="H294" s="153" t="s">
        <v>1922</v>
      </c>
    </row>
    <row r="295" spans="1:8" ht="31.5" hidden="1">
      <c r="A295" s="149" t="s">
        <v>1987</v>
      </c>
      <c r="B295" s="150" t="s">
        <v>1988</v>
      </c>
      <c r="C295" s="149" t="s">
        <v>1989</v>
      </c>
      <c r="D295" s="149" t="s">
        <v>1990</v>
      </c>
      <c r="E295" s="151">
        <v>2</v>
      </c>
      <c r="F295" s="152" t="s">
        <v>209</v>
      </c>
      <c r="G295" s="151">
        <v>8</v>
      </c>
      <c r="H295" s="153" t="s">
        <v>1922</v>
      </c>
    </row>
    <row r="296" spans="1:8" ht="31.5" hidden="1">
      <c r="A296" s="149" t="s">
        <v>1991</v>
      </c>
      <c r="B296" s="150" t="s">
        <v>1992</v>
      </c>
      <c r="C296" s="149" t="s">
        <v>1993</v>
      </c>
      <c r="D296" s="149" t="s">
        <v>1994</v>
      </c>
      <c r="E296" s="151">
        <v>3</v>
      </c>
      <c r="F296" s="152" t="s">
        <v>209</v>
      </c>
      <c r="G296" s="151">
        <v>8</v>
      </c>
      <c r="H296" s="153" t="s">
        <v>1922</v>
      </c>
    </row>
    <row r="297" spans="1:8" ht="31.5" hidden="1">
      <c r="A297" s="149" t="s">
        <v>1995</v>
      </c>
      <c r="B297" s="150" t="s">
        <v>1996</v>
      </c>
      <c r="C297" s="149" t="s">
        <v>1997</v>
      </c>
      <c r="D297" s="149" t="s">
        <v>1998</v>
      </c>
      <c r="E297" s="151">
        <v>2</v>
      </c>
      <c r="F297" s="152" t="s">
        <v>209</v>
      </c>
      <c r="G297" s="151">
        <v>8</v>
      </c>
      <c r="H297" s="153" t="s">
        <v>1922</v>
      </c>
    </row>
    <row r="298" spans="1:8" ht="31.5" hidden="1">
      <c r="A298" s="149" t="s">
        <v>1999</v>
      </c>
      <c r="B298" s="150" t="s">
        <v>2000</v>
      </c>
      <c r="C298" s="149" t="s">
        <v>2001</v>
      </c>
      <c r="D298" s="149" t="s">
        <v>2002</v>
      </c>
      <c r="E298" s="151">
        <v>3</v>
      </c>
      <c r="F298" s="152" t="s">
        <v>209</v>
      </c>
      <c r="G298" s="151">
        <v>8</v>
      </c>
      <c r="H298" s="153" t="s">
        <v>1922</v>
      </c>
    </row>
    <row r="299" spans="1:8" ht="31.5" hidden="1">
      <c r="A299" s="149" t="s">
        <v>2003</v>
      </c>
      <c r="B299" s="150" t="s">
        <v>2004</v>
      </c>
      <c r="C299" s="149" t="s">
        <v>2005</v>
      </c>
      <c r="D299" s="149" t="s">
        <v>2006</v>
      </c>
      <c r="E299" s="151">
        <v>3</v>
      </c>
      <c r="F299" s="152" t="s">
        <v>209</v>
      </c>
      <c r="G299" s="151">
        <v>8</v>
      </c>
      <c r="H299" s="153" t="s">
        <v>1922</v>
      </c>
    </row>
    <row r="300" spans="1:8" ht="31.5" hidden="1">
      <c r="A300" s="149" t="s">
        <v>2007</v>
      </c>
      <c r="B300" s="150" t="s">
        <v>2008</v>
      </c>
      <c r="C300" s="149" t="s">
        <v>2009</v>
      </c>
      <c r="D300" s="149" t="s">
        <v>2010</v>
      </c>
      <c r="E300" s="151">
        <v>3</v>
      </c>
      <c r="F300" s="152" t="s">
        <v>209</v>
      </c>
      <c r="G300" s="151">
        <v>8</v>
      </c>
      <c r="H300" s="153" t="s">
        <v>1922</v>
      </c>
    </row>
    <row r="301" spans="1:8" ht="31.5" hidden="1">
      <c r="A301" s="149" t="s">
        <v>2011</v>
      </c>
      <c r="B301" s="150" t="s">
        <v>2012</v>
      </c>
      <c r="C301" s="149" t="s">
        <v>2013</v>
      </c>
      <c r="D301" s="149" t="s">
        <v>2014</v>
      </c>
      <c r="E301" s="151">
        <v>3</v>
      </c>
      <c r="F301" s="152" t="s">
        <v>209</v>
      </c>
      <c r="G301" s="151">
        <v>8</v>
      </c>
      <c r="H301" s="153" t="s">
        <v>1922</v>
      </c>
    </row>
    <row r="302" spans="1:8" ht="31.5" hidden="1">
      <c r="A302" s="149" t="s">
        <v>2015</v>
      </c>
      <c r="B302" s="150" t="s">
        <v>2016</v>
      </c>
      <c r="C302" s="149" t="s">
        <v>2017</v>
      </c>
      <c r="D302" s="149" t="s">
        <v>2018</v>
      </c>
      <c r="E302" s="151">
        <v>3</v>
      </c>
      <c r="F302" s="152" t="s">
        <v>209</v>
      </c>
      <c r="G302" s="151">
        <v>8</v>
      </c>
      <c r="H302" s="153" t="s">
        <v>1922</v>
      </c>
    </row>
    <row r="303" spans="1:8" ht="31.5" hidden="1">
      <c r="A303" s="149" t="s">
        <v>2019</v>
      </c>
      <c r="B303" s="150" t="s">
        <v>2020</v>
      </c>
      <c r="C303" s="149" t="s">
        <v>2021</v>
      </c>
      <c r="D303" s="149" t="s">
        <v>2022</v>
      </c>
      <c r="E303" s="151">
        <v>3</v>
      </c>
      <c r="F303" s="152" t="s">
        <v>209</v>
      </c>
      <c r="G303" s="151">
        <v>8</v>
      </c>
      <c r="H303" s="153" t="s">
        <v>1922</v>
      </c>
    </row>
    <row r="304" spans="1:8" ht="31.5" hidden="1">
      <c r="A304" s="149" t="s">
        <v>2023</v>
      </c>
      <c r="B304" s="150" t="s">
        <v>2024</v>
      </c>
      <c r="C304" s="149" t="s">
        <v>2025</v>
      </c>
      <c r="D304" s="149" t="s">
        <v>2026</v>
      </c>
      <c r="E304" s="151">
        <v>3</v>
      </c>
      <c r="F304" s="152" t="s">
        <v>209</v>
      </c>
      <c r="G304" s="151">
        <v>8</v>
      </c>
      <c r="H304" s="153" t="s">
        <v>1922</v>
      </c>
    </row>
    <row r="305" spans="1:8" ht="31.5" hidden="1">
      <c r="A305" s="149" t="s">
        <v>2027</v>
      </c>
      <c r="B305" s="150" t="s">
        <v>2028</v>
      </c>
      <c r="C305" s="149" t="s">
        <v>2029</v>
      </c>
      <c r="D305" s="149" t="s">
        <v>2030</v>
      </c>
      <c r="E305" s="151">
        <v>2</v>
      </c>
      <c r="F305" s="152" t="s">
        <v>209</v>
      </c>
      <c r="G305" s="151">
        <v>8</v>
      </c>
      <c r="H305" s="153" t="s">
        <v>1922</v>
      </c>
    </row>
    <row r="306" spans="1:8" ht="31.5" hidden="1">
      <c r="A306" s="149" t="s">
        <v>2031</v>
      </c>
      <c r="B306" s="150" t="s">
        <v>2032</v>
      </c>
      <c r="C306" s="149" t="s">
        <v>2033</v>
      </c>
      <c r="D306" s="149" t="s">
        <v>2034</v>
      </c>
      <c r="E306" s="151">
        <v>3</v>
      </c>
      <c r="F306" s="152" t="s">
        <v>209</v>
      </c>
      <c r="G306" s="151">
        <v>8</v>
      </c>
      <c r="H306" s="153" t="s">
        <v>1922</v>
      </c>
    </row>
    <row r="307" spans="1:8" ht="31.5" hidden="1">
      <c r="A307" s="149" t="s">
        <v>2035</v>
      </c>
      <c r="B307" s="150" t="s">
        <v>2036</v>
      </c>
      <c r="C307" s="149" t="s">
        <v>2037</v>
      </c>
      <c r="D307" s="149" t="s">
        <v>2038</v>
      </c>
      <c r="E307" s="151">
        <v>4</v>
      </c>
      <c r="F307" s="152" t="s">
        <v>209</v>
      </c>
      <c r="G307" s="151">
        <v>8</v>
      </c>
      <c r="H307" s="153" t="s">
        <v>1922</v>
      </c>
    </row>
    <row r="308" spans="1:8" ht="31.5" hidden="1">
      <c r="A308" s="149" t="s">
        <v>2039</v>
      </c>
      <c r="B308" s="150" t="s">
        <v>2040</v>
      </c>
      <c r="C308" s="149" t="s">
        <v>2041</v>
      </c>
      <c r="D308" s="149" t="s">
        <v>2042</v>
      </c>
      <c r="E308" s="151">
        <v>4</v>
      </c>
      <c r="F308" s="152" t="s">
        <v>209</v>
      </c>
      <c r="G308" s="151">
        <v>8</v>
      </c>
      <c r="H308" s="153" t="s">
        <v>1922</v>
      </c>
    </row>
    <row r="309" spans="1:8" ht="31.5" hidden="1">
      <c r="A309" s="149" t="s">
        <v>2043</v>
      </c>
      <c r="B309" s="150" t="s">
        <v>2044</v>
      </c>
      <c r="C309" s="149" t="s">
        <v>2045</v>
      </c>
      <c r="D309" s="149" t="s">
        <v>2046</v>
      </c>
      <c r="E309" s="151">
        <v>4</v>
      </c>
      <c r="F309" s="152" t="s">
        <v>209</v>
      </c>
      <c r="G309" s="151">
        <v>8</v>
      </c>
      <c r="H309" s="153" t="s">
        <v>1922</v>
      </c>
    </row>
    <row r="310" spans="1:8" ht="31.5" hidden="1">
      <c r="A310" s="149" t="s">
        <v>2047</v>
      </c>
      <c r="B310" s="150" t="s">
        <v>2048</v>
      </c>
      <c r="C310" s="149" t="s">
        <v>2049</v>
      </c>
      <c r="D310" s="149" t="s">
        <v>2050</v>
      </c>
      <c r="E310" s="151">
        <v>4</v>
      </c>
      <c r="F310" s="152" t="s">
        <v>209</v>
      </c>
      <c r="G310" s="151">
        <v>8</v>
      </c>
      <c r="H310" s="153" t="s">
        <v>1922</v>
      </c>
    </row>
    <row r="311" spans="1:8" ht="31.5" hidden="1">
      <c r="A311" s="149" t="s">
        <v>2051</v>
      </c>
      <c r="B311" s="150" t="s">
        <v>2052</v>
      </c>
      <c r="C311" s="149" t="s">
        <v>2053</v>
      </c>
      <c r="D311" s="149" t="s">
        <v>2054</v>
      </c>
      <c r="E311" s="151">
        <v>4</v>
      </c>
      <c r="F311" s="152" t="s">
        <v>209</v>
      </c>
      <c r="G311" s="151">
        <v>8</v>
      </c>
      <c r="H311" s="153" t="s">
        <v>1922</v>
      </c>
    </row>
    <row r="312" spans="1:8" ht="31.5" hidden="1">
      <c r="A312" s="149" t="s">
        <v>2055</v>
      </c>
      <c r="B312" s="150" t="s">
        <v>2056</v>
      </c>
      <c r="C312" s="149" t="s">
        <v>2057</v>
      </c>
      <c r="D312" s="149" t="s">
        <v>2058</v>
      </c>
      <c r="E312" s="151">
        <v>4</v>
      </c>
      <c r="F312" s="152" t="s">
        <v>209</v>
      </c>
      <c r="G312" s="151">
        <v>8</v>
      </c>
      <c r="H312" s="153" t="s">
        <v>1922</v>
      </c>
    </row>
    <row r="313" spans="1:8" ht="31.5" hidden="1">
      <c r="A313" s="149" t="s">
        <v>2059</v>
      </c>
      <c r="B313" s="150" t="s">
        <v>2060</v>
      </c>
      <c r="C313" s="149" t="s">
        <v>2061</v>
      </c>
      <c r="D313" s="149" t="s">
        <v>2062</v>
      </c>
      <c r="E313" s="151">
        <v>4</v>
      </c>
      <c r="F313" s="152" t="s">
        <v>209</v>
      </c>
      <c r="G313" s="151">
        <v>8</v>
      </c>
      <c r="H313" s="153" t="s">
        <v>1922</v>
      </c>
    </row>
    <row r="314" spans="1:8" ht="31.5" hidden="1">
      <c r="A314" s="149" t="s">
        <v>2063</v>
      </c>
      <c r="B314" s="150" t="s">
        <v>2064</v>
      </c>
      <c r="C314" s="149" t="s">
        <v>2065</v>
      </c>
      <c r="D314" s="149" t="s">
        <v>2066</v>
      </c>
      <c r="E314" s="151">
        <v>4</v>
      </c>
      <c r="F314" s="152" t="s">
        <v>209</v>
      </c>
      <c r="G314" s="151">
        <v>8</v>
      </c>
      <c r="H314" s="153" t="s">
        <v>1922</v>
      </c>
    </row>
    <row r="315" spans="1:8" ht="31.5" hidden="1">
      <c r="A315" s="149" t="s">
        <v>2067</v>
      </c>
      <c r="B315" s="150" t="s">
        <v>2068</v>
      </c>
      <c r="C315" s="149" t="s">
        <v>2069</v>
      </c>
      <c r="D315" s="149" t="s">
        <v>2070</v>
      </c>
      <c r="E315" s="151">
        <v>4</v>
      </c>
      <c r="F315" s="152" t="s">
        <v>209</v>
      </c>
      <c r="G315" s="151">
        <v>8</v>
      </c>
      <c r="H315" s="153" t="s">
        <v>1922</v>
      </c>
    </row>
    <row r="316" spans="1:8" ht="31.5" hidden="1">
      <c r="A316" s="149" t="s">
        <v>2071</v>
      </c>
      <c r="B316" s="150" t="s">
        <v>2072</v>
      </c>
      <c r="C316" s="149" t="s">
        <v>2073</v>
      </c>
      <c r="D316" s="149" t="s">
        <v>2074</v>
      </c>
      <c r="E316" s="151">
        <v>4</v>
      </c>
      <c r="F316" s="152" t="s">
        <v>209</v>
      </c>
      <c r="G316" s="151">
        <v>8</v>
      </c>
      <c r="H316" s="153" t="s">
        <v>1922</v>
      </c>
    </row>
    <row r="317" spans="1:8" ht="31.5" hidden="1">
      <c r="A317" s="149" t="s">
        <v>2075</v>
      </c>
      <c r="B317" s="150" t="s">
        <v>2076</v>
      </c>
      <c r="C317" s="149" t="s">
        <v>2077</v>
      </c>
      <c r="D317" s="149" t="s">
        <v>2078</v>
      </c>
      <c r="E317" s="151">
        <v>4</v>
      </c>
      <c r="F317" s="152" t="s">
        <v>209</v>
      </c>
      <c r="G317" s="151">
        <v>8</v>
      </c>
      <c r="H317" s="153" t="s">
        <v>1922</v>
      </c>
    </row>
    <row r="318" spans="1:8" ht="31.5" hidden="1">
      <c r="A318" s="149" t="s">
        <v>2079</v>
      </c>
      <c r="B318" s="150" t="s">
        <v>2080</v>
      </c>
      <c r="C318" s="149" t="s">
        <v>2081</v>
      </c>
      <c r="D318" s="149" t="s">
        <v>2082</v>
      </c>
      <c r="E318" s="151">
        <v>4</v>
      </c>
      <c r="F318" s="152" t="s">
        <v>209</v>
      </c>
      <c r="G318" s="151">
        <v>8</v>
      </c>
      <c r="H318" s="153" t="s">
        <v>1922</v>
      </c>
    </row>
    <row r="319" spans="1:8" ht="31.5" hidden="1">
      <c r="A319" s="149" t="s">
        <v>2083</v>
      </c>
      <c r="B319" s="150" t="s">
        <v>2084</v>
      </c>
      <c r="C319" s="149" t="s">
        <v>2085</v>
      </c>
      <c r="D319" s="149" t="s">
        <v>2082</v>
      </c>
      <c r="E319" s="151">
        <v>4</v>
      </c>
      <c r="F319" s="152" t="s">
        <v>209</v>
      </c>
      <c r="G319" s="151">
        <v>8</v>
      </c>
      <c r="H319" s="153" t="s">
        <v>1922</v>
      </c>
    </row>
    <row r="320" spans="1:8" ht="31.5" hidden="1">
      <c r="A320" s="149" t="s">
        <v>2086</v>
      </c>
      <c r="B320" s="150" t="s">
        <v>2087</v>
      </c>
      <c r="C320" s="149" t="s">
        <v>2088</v>
      </c>
      <c r="D320" s="149" t="s">
        <v>2089</v>
      </c>
      <c r="E320" s="151">
        <v>4</v>
      </c>
      <c r="F320" s="152" t="s">
        <v>209</v>
      </c>
      <c r="G320" s="151">
        <v>8</v>
      </c>
      <c r="H320" s="153" t="s">
        <v>1922</v>
      </c>
    </row>
    <row r="321" spans="1:8" ht="31.5" hidden="1">
      <c r="A321" s="149" t="s">
        <v>2090</v>
      </c>
      <c r="B321" s="150" t="s">
        <v>2091</v>
      </c>
      <c r="C321" s="149" t="s">
        <v>2092</v>
      </c>
      <c r="D321" s="149" t="s">
        <v>2093</v>
      </c>
      <c r="E321" s="151">
        <v>4</v>
      </c>
      <c r="F321" s="152" t="s">
        <v>209</v>
      </c>
      <c r="G321" s="151">
        <v>8</v>
      </c>
      <c r="H321" s="153" t="s">
        <v>1922</v>
      </c>
    </row>
    <row r="322" spans="1:8" ht="31.5" hidden="1">
      <c r="A322" s="149" t="s">
        <v>2094</v>
      </c>
      <c r="B322" s="150" t="s">
        <v>2095</v>
      </c>
      <c r="C322" s="149" t="s">
        <v>2096</v>
      </c>
      <c r="D322" s="149" t="s">
        <v>2097</v>
      </c>
      <c r="E322" s="151">
        <v>4</v>
      </c>
      <c r="F322" s="152" t="s">
        <v>209</v>
      </c>
      <c r="G322" s="151">
        <v>8</v>
      </c>
      <c r="H322" s="153" t="s">
        <v>1922</v>
      </c>
    </row>
    <row r="323" spans="1:8" ht="31.5" hidden="1">
      <c r="A323" s="149" t="s">
        <v>2098</v>
      </c>
      <c r="B323" s="150" t="s">
        <v>2099</v>
      </c>
      <c r="C323" s="149" t="s">
        <v>2100</v>
      </c>
      <c r="D323" s="149" t="s">
        <v>2101</v>
      </c>
      <c r="E323" s="151">
        <v>4</v>
      </c>
      <c r="F323" s="152" t="s">
        <v>209</v>
      </c>
      <c r="G323" s="151">
        <v>8</v>
      </c>
      <c r="H323" s="153" t="s">
        <v>1922</v>
      </c>
    </row>
    <row r="324" spans="1:8" ht="31.5" hidden="1">
      <c r="A324" s="149" t="s">
        <v>2102</v>
      </c>
      <c r="B324" s="150" t="s">
        <v>2103</v>
      </c>
      <c r="C324" s="149" t="s">
        <v>2104</v>
      </c>
      <c r="D324" s="149" t="s">
        <v>2105</v>
      </c>
      <c r="E324" s="151">
        <v>4</v>
      </c>
      <c r="F324" s="152" t="s">
        <v>209</v>
      </c>
      <c r="G324" s="151">
        <v>8</v>
      </c>
      <c r="H324" s="153" t="s">
        <v>1922</v>
      </c>
    </row>
    <row r="325" spans="1:8" ht="31.5" hidden="1">
      <c r="A325" s="149" t="s">
        <v>2106</v>
      </c>
      <c r="B325" s="150" t="s">
        <v>2107</v>
      </c>
      <c r="C325" s="149" t="s">
        <v>2108</v>
      </c>
      <c r="D325" s="149" t="s">
        <v>2109</v>
      </c>
      <c r="E325" s="151">
        <v>4</v>
      </c>
      <c r="F325" s="152" t="s">
        <v>209</v>
      </c>
      <c r="G325" s="151">
        <v>8</v>
      </c>
      <c r="H325" s="153" t="s">
        <v>1922</v>
      </c>
    </row>
    <row r="326" spans="1:8" ht="31.5" hidden="1">
      <c r="A326" s="149" t="s">
        <v>2110</v>
      </c>
      <c r="B326" s="150" t="s">
        <v>2111</v>
      </c>
      <c r="C326" s="149" t="s">
        <v>2112</v>
      </c>
      <c r="D326" s="149" t="s">
        <v>2113</v>
      </c>
      <c r="E326" s="151">
        <v>4</v>
      </c>
      <c r="F326" s="152" t="s">
        <v>209</v>
      </c>
      <c r="G326" s="151">
        <v>8</v>
      </c>
      <c r="H326" s="153" t="s">
        <v>1922</v>
      </c>
    </row>
    <row r="327" spans="1:8" ht="31.5" hidden="1">
      <c r="A327" s="149" t="s">
        <v>2114</v>
      </c>
      <c r="B327" s="150" t="s">
        <v>2115</v>
      </c>
      <c r="C327" s="149" t="s">
        <v>2116</v>
      </c>
      <c r="D327" s="149" t="s">
        <v>2117</v>
      </c>
      <c r="E327" s="151">
        <v>4</v>
      </c>
      <c r="F327" s="152" t="s">
        <v>209</v>
      </c>
      <c r="G327" s="151">
        <v>8</v>
      </c>
      <c r="H327" s="153" t="s">
        <v>1922</v>
      </c>
    </row>
    <row r="328" spans="1:8" ht="31.5" hidden="1">
      <c r="A328" s="149" t="s">
        <v>2118</v>
      </c>
      <c r="B328" s="150" t="s">
        <v>2119</v>
      </c>
      <c r="C328" s="149" t="s">
        <v>2120</v>
      </c>
      <c r="D328" s="149" t="s">
        <v>2121</v>
      </c>
      <c r="E328" s="151">
        <v>4</v>
      </c>
      <c r="F328" s="152" t="s">
        <v>209</v>
      </c>
      <c r="G328" s="151">
        <v>8</v>
      </c>
      <c r="H328" s="153" t="s">
        <v>1922</v>
      </c>
    </row>
    <row r="329" spans="1:8" ht="31.5" hidden="1">
      <c r="A329" s="149" t="s">
        <v>2122</v>
      </c>
      <c r="B329" s="150" t="s">
        <v>2123</v>
      </c>
      <c r="C329" s="149" t="s">
        <v>2124</v>
      </c>
      <c r="D329" s="149" t="s">
        <v>2125</v>
      </c>
      <c r="E329" s="151">
        <v>4</v>
      </c>
      <c r="F329" s="152" t="s">
        <v>209</v>
      </c>
      <c r="G329" s="151">
        <v>8</v>
      </c>
      <c r="H329" s="153" t="s">
        <v>1922</v>
      </c>
    </row>
    <row r="330" spans="1:8" ht="31.5" hidden="1">
      <c r="A330" s="149" t="s">
        <v>2126</v>
      </c>
      <c r="B330" s="150" t="s">
        <v>2127</v>
      </c>
      <c r="C330" s="149" t="s">
        <v>2128</v>
      </c>
      <c r="D330" s="149" t="s">
        <v>2129</v>
      </c>
      <c r="E330" s="151">
        <v>4</v>
      </c>
      <c r="F330" s="152" t="s">
        <v>209</v>
      </c>
      <c r="G330" s="151">
        <v>8</v>
      </c>
      <c r="H330" s="153" t="s">
        <v>1922</v>
      </c>
    </row>
    <row r="331" spans="1:8" ht="31.5" hidden="1">
      <c r="A331" s="149" t="s">
        <v>2130</v>
      </c>
      <c r="B331" s="150" t="s">
        <v>2131</v>
      </c>
      <c r="C331" s="149" t="s">
        <v>2132</v>
      </c>
      <c r="D331" s="149" t="s">
        <v>2133</v>
      </c>
      <c r="E331" s="151">
        <v>4</v>
      </c>
      <c r="F331" s="152" t="s">
        <v>209</v>
      </c>
      <c r="G331" s="151">
        <v>8</v>
      </c>
      <c r="H331" s="153" t="s">
        <v>1922</v>
      </c>
    </row>
    <row r="332" spans="1:8" ht="31.5" hidden="1">
      <c r="A332" s="149" t="s">
        <v>2134</v>
      </c>
      <c r="B332" s="150" t="s">
        <v>2135</v>
      </c>
      <c r="C332" s="149" t="s">
        <v>2136</v>
      </c>
      <c r="D332" s="149" t="s">
        <v>2137</v>
      </c>
      <c r="E332" s="151">
        <v>4</v>
      </c>
      <c r="F332" s="152" t="s">
        <v>209</v>
      </c>
      <c r="G332" s="151">
        <v>8</v>
      </c>
      <c r="H332" s="153" t="s">
        <v>1922</v>
      </c>
    </row>
    <row r="333" spans="1:8" ht="31.5" hidden="1">
      <c r="A333" s="149" t="s">
        <v>2138</v>
      </c>
      <c r="B333" s="150" t="s">
        <v>2139</v>
      </c>
      <c r="C333" s="149" t="s">
        <v>2140</v>
      </c>
      <c r="D333" s="149" t="s">
        <v>2141</v>
      </c>
      <c r="E333" s="151">
        <v>4</v>
      </c>
      <c r="F333" s="152" t="s">
        <v>209</v>
      </c>
      <c r="G333" s="151">
        <v>8</v>
      </c>
      <c r="H333" s="153" t="s">
        <v>1922</v>
      </c>
    </row>
    <row r="334" spans="1:8" ht="31.5" hidden="1">
      <c r="A334" s="149" t="s">
        <v>2142</v>
      </c>
      <c r="B334" s="150" t="s">
        <v>2143</v>
      </c>
      <c r="C334" s="149" t="s">
        <v>2144</v>
      </c>
      <c r="D334" s="149" t="s">
        <v>2145</v>
      </c>
      <c r="E334" s="151">
        <v>4</v>
      </c>
      <c r="F334" s="152" t="s">
        <v>209</v>
      </c>
      <c r="G334" s="151">
        <v>8</v>
      </c>
      <c r="H334" s="153" t="s">
        <v>1922</v>
      </c>
    </row>
    <row r="335" spans="1:8" ht="31.5" hidden="1">
      <c r="A335" s="149" t="s">
        <v>2146</v>
      </c>
      <c r="B335" s="150" t="s">
        <v>2147</v>
      </c>
      <c r="C335" s="149" t="s">
        <v>2148</v>
      </c>
      <c r="D335" s="149" t="s">
        <v>2149</v>
      </c>
      <c r="E335" s="151">
        <v>4</v>
      </c>
      <c r="F335" s="152" t="s">
        <v>209</v>
      </c>
      <c r="G335" s="151">
        <v>8</v>
      </c>
      <c r="H335" s="153" t="s">
        <v>1922</v>
      </c>
    </row>
    <row r="336" spans="1:8" ht="31.5" hidden="1">
      <c r="A336" s="149" t="s">
        <v>2150</v>
      </c>
      <c r="B336" s="150" t="s">
        <v>2151</v>
      </c>
      <c r="C336" s="149" t="s">
        <v>2152</v>
      </c>
      <c r="D336" s="149" t="s">
        <v>2153</v>
      </c>
      <c r="E336" s="151">
        <v>4</v>
      </c>
      <c r="F336" s="152" t="s">
        <v>209</v>
      </c>
      <c r="G336" s="151">
        <v>8</v>
      </c>
      <c r="H336" s="153" t="s">
        <v>1922</v>
      </c>
    </row>
    <row r="337" spans="1:8" ht="31.5" hidden="1">
      <c r="A337" s="149" t="s">
        <v>2154</v>
      </c>
      <c r="B337" s="150" t="s">
        <v>2155</v>
      </c>
      <c r="C337" s="149" t="s">
        <v>2156</v>
      </c>
      <c r="D337" s="149" t="s">
        <v>2157</v>
      </c>
      <c r="E337" s="151">
        <v>4</v>
      </c>
      <c r="F337" s="152" t="s">
        <v>209</v>
      </c>
      <c r="G337" s="151">
        <v>8</v>
      </c>
      <c r="H337" s="153" t="s">
        <v>1922</v>
      </c>
    </row>
    <row r="338" spans="1:8" ht="31.5" hidden="1">
      <c r="A338" s="149" t="s">
        <v>2158</v>
      </c>
      <c r="B338" s="150" t="s">
        <v>2159</v>
      </c>
      <c r="C338" s="149" t="s">
        <v>2160</v>
      </c>
      <c r="D338" s="149" t="s">
        <v>2161</v>
      </c>
      <c r="E338" s="151">
        <v>4</v>
      </c>
      <c r="F338" s="152" t="s">
        <v>209</v>
      </c>
      <c r="G338" s="151">
        <v>8</v>
      </c>
      <c r="H338" s="153" t="s">
        <v>1922</v>
      </c>
    </row>
    <row r="339" spans="1:8" ht="31.5" hidden="1">
      <c r="A339" s="149" t="s">
        <v>2162</v>
      </c>
      <c r="B339" s="150" t="s">
        <v>2163</v>
      </c>
      <c r="C339" s="149" t="s">
        <v>2164</v>
      </c>
      <c r="D339" s="149" t="s">
        <v>2165</v>
      </c>
      <c r="E339" s="151">
        <v>4</v>
      </c>
      <c r="F339" s="152" t="s">
        <v>209</v>
      </c>
      <c r="G339" s="151">
        <v>8</v>
      </c>
      <c r="H339" s="153" t="s">
        <v>1922</v>
      </c>
    </row>
    <row r="340" spans="1:8" ht="31.5" hidden="1">
      <c r="A340" s="149" t="s">
        <v>2166</v>
      </c>
      <c r="B340" s="150" t="s">
        <v>2167</v>
      </c>
      <c r="C340" s="149" t="s">
        <v>2168</v>
      </c>
      <c r="D340" s="149" t="s">
        <v>2169</v>
      </c>
      <c r="E340" s="151">
        <v>3</v>
      </c>
      <c r="F340" s="152" t="s">
        <v>209</v>
      </c>
      <c r="G340" s="151">
        <v>8</v>
      </c>
      <c r="H340" s="153" t="s">
        <v>1922</v>
      </c>
    </row>
    <row r="341" spans="1:8" ht="31.5" hidden="1">
      <c r="A341" s="149" t="s">
        <v>2170</v>
      </c>
      <c r="B341" s="150" t="s">
        <v>2171</v>
      </c>
      <c r="C341" s="149" t="s">
        <v>2172</v>
      </c>
      <c r="D341" s="149" t="s">
        <v>2173</v>
      </c>
      <c r="E341" s="151">
        <v>8</v>
      </c>
      <c r="F341" s="152" t="s">
        <v>209</v>
      </c>
      <c r="G341" s="151">
        <v>8</v>
      </c>
      <c r="H341" s="153" t="s">
        <v>1922</v>
      </c>
    </row>
    <row r="342" spans="1:8" ht="31.5" hidden="1">
      <c r="A342" s="149" t="s">
        <v>2174</v>
      </c>
      <c r="B342" s="150" t="s">
        <v>2175</v>
      </c>
      <c r="C342" s="149" t="s">
        <v>2176</v>
      </c>
      <c r="D342" s="149" t="s">
        <v>2177</v>
      </c>
      <c r="E342" s="151">
        <v>9</v>
      </c>
      <c r="F342" s="152" t="s">
        <v>209</v>
      </c>
      <c r="G342" s="151">
        <v>8</v>
      </c>
      <c r="H342" s="153" t="s">
        <v>1922</v>
      </c>
    </row>
    <row r="343" spans="1:8" ht="31.5" hidden="1">
      <c r="A343" s="149" t="s">
        <v>2178</v>
      </c>
      <c r="B343" s="150" t="s">
        <v>2179</v>
      </c>
      <c r="C343" s="149" t="s">
        <v>2180</v>
      </c>
      <c r="D343" s="149" t="s">
        <v>2181</v>
      </c>
      <c r="E343" s="151">
        <v>8</v>
      </c>
      <c r="F343" s="152" t="s">
        <v>209</v>
      </c>
      <c r="G343" s="151">
        <v>8</v>
      </c>
      <c r="H343" s="153" t="s">
        <v>1922</v>
      </c>
    </row>
    <row r="344" spans="1:8" ht="31.5" hidden="1">
      <c r="A344" s="149" t="s">
        <v>2182</v>
      </c>
      <c r="B344" s="150" t="s">
        <v>2183</v>
      </c>
      <c r="C344" s="149" t="s">
        <v>2184</v>
      </c>
      <c r="D344" s="149" t="s">
        <v>2185</v>
      </c>
      <c r="E344" s="151">
        <v>8</v>
      </c>
      <c r="F344" s="152" t="s">
        <v>209</v>
      </c>
      <c r="G344" s="151">
        <v>8</v>
      </c>
      <c r="H344" s="153" t="s">
        <v>1922</v>
      </c>
    </row>
    <row r="345" spans="1:8" ht="31.5" hidden="1">
      <c r="A345" s="149" t="s">
        <v>2186</v>
      </c>
      <c r="B345" s="150" t="s">
        <v>209</v>
      </c>
      <c r="C345" s="149" t="s">
        <v>2187</v>
      </c>
      <c r="D345" s="149" t="s">
        <v>2188</v>
      </c>
      <c r="E345" s="151">
        <v>5</v>
      </c>
      <c r="F345" s="152" t="s">
        <v>209</v>
      </c>
      <c r="G345" s="151">
        <v>8</v>
      </c>
      <c r="H345" s="153" t="s">
        <v>1922</v>
      </c>
    </row>
    <row r="346" spans="1:8" ht="31.5" hidden="1">
      <c r="A346" s="149" t="s">
        <v>2189</v>
      </c>
      <c r="B346" s="150" t="s">
        <v>2190</v>
      </c>
      <c r="C346" s="149" t="s">
        <v>2191</v>
      </c>
      <c r="D346" s="149" t="s">
        <v>2192</v>
      </c>
      <c r="E346" s="151">
        <v>5</v>
      </c>
      <c r="F346" s="152" t="s">
        <v>209</v>
      </c>
      <c r="G346" s="151">
        <v>8</v>
      </c>
      <c r="H346" s="153" t="s">
        <v>1922</v>
      </c>
    </row>
    <row r="347" spans="1:8" ht="31.5" hidden="1">
      <c r="A347" s="149" t="s">
        <v>2193</v>
      </c>
      <c r="B347" s="150" t="s">
        <v>2194</v>
      </c>
      <c r="C347" s="149" t="s">
        <v>2195</v>
      </c>
      <c r="D347" s="149" t="s">
        <v>2196</v>
      </c>
      <c r="E347" s="151">
        <v>5</v>
      </c>
      <c r="F347" s="152" t="s">
        <v>209</v>
      </c>
      <c r="G347" s="151">
        <v>8</v>
      </c>
      <c r="H347" s="153" t="s">
        <v>1922</v>
      </c>
    </row>
    <row r="348" spans="1:8" ht="31.5" hidden="1">
      <c r="A348" s="149" t="s">
        <v>2197</v>
      </c>
      <c r="B348" s="150" t="s">
        <v>2198</v>
      </c>
      <c r="C348" s="149" t="s">
        <v>2199</v>
      </c>
      <c r="D348" s="149" t="s">
        <v>2200</v>
      </c>
      <c r="E348" s="151">
        <v>5</v>
      </c>
      <c r="F348" s="152" t="s">
        <v>209</v>
      </c>
      <c r="G348" s="151">
        <v>8</v>
      </c>
      <c r="H348" s="153" t="s">
        <v>1922</v>
      </c>
    </row>
    <row r="349" spans="1:8" ht="31.5" hidden="1">
      <c r="A349" s="149" t="s">
        <v>2201</v>
      </c>
      <c r="B349" s="150" t="s">
        <v>2202</v>
      </c>
      <c r="C349" s="149" t="s">
        <v>2203</v>
      </c>
      <c r="D349" s="149" t="s">
        <v>2204</v>
      </c>
      <c r="E349" s="151">
        <v>5</v>
      </c>
      <c r="F349" s="152" t="s">
        <v>209</v>
      </c>
      <c r="G349" s="151">
        <v>8</v>
      </c>
      <c r="H349" s="153" t="s">
        <v>1922</v>
      </c>
    </row>
    <row r="350" spans="1:8" ht="31.5" hidden="1">
      <c r="A350" s="149" t="s">
        <v>2205</v>
      </c>
      <c r="B350" s="150" t="s">
        <v>2206</v>
      </c>
      <c r="C350" s="149" t="s">
        <v>2207</v>
      </c>
      <c r="D350" s="149" t="s">
        <v>2208</v>
      </c>
      <c r="E350" s="151">
        <v>5</v>
      </c>
      <c r="F350" s="152" t="s">
        <v>209</v>
      </c>
      <c r="G350" s="151">
        <v>8</v>
      </c>
      <c r="H350" s="153" t="s">
        <v>1922</v>
      </c>
    </row>
    <row r="351" spans="1:8" ht="31.5" hidden="1">
      <c r="A351" s="149" t="s">
        <v>2209</v>
      </c>
      <c r="B351" s="150" t="s">
        <v>2210</v>
      </c>
      <c r="C351" s="149" t="s">
        <v>2211</v>
      </c>
      <c r="D351" s="149" t="s">
        <v>2212</v>
      </c>
      <c r="E351" s="151">
        <v>5</v>
      </c>
      <c r="F351" s="152" t="s">
        <v>209</v>
      </c>
      <c r="G351" s="151">
        <v>8</v>
      </c>
      <c r="H351" s="153" t="s">
        <v>1922</v>
      </c>
    </row>
    <row r="352" spans="1:8" ht="31.5" hidden="1">
      <c r="A352" s="149" t="s">
        <v>2213</v>
      </c>
      <c r="B352" s="150" t="s">
        <v>2214</v>
      </c>
      <c r="C352" s="149" t="s">
        <v>2215</v>
      </c>
      <c r="D352" s="149" t="s">
        <v>2216</v>
      </c>
      <c r="E352" s="151">
        <v>5</v>
      </c>
      <c r="F352" s="152" t="s">
        <v>209</v>
      </c>
      <c r="G352" s="151">
        <v>8</v>
      </c>
      <c r="H352" s="153" t="s">
        <v>1922</v>
      </c>
    </row>
    <row r="353" spans="1:8" ht="31.5" hidden="1">
      <c r="A353" s="149" t="s">
        <v>2217</v>
      </c>
      <c r="B353" s="150" t="s">
        <v>2218</v>
      </c>
      <c r="C353" s="149" t="s">
        <v>2219</v>
      </c>
      <c r="D353" s="149" t="s">
        <v>2220</v>
      </c>
      <c r="E353" s="151">
        <v>5</v>
      </c>
      <c r="F353" s="152" t="s">
        <v>209</v>
      </c>
      <c r="G353" s="151">
        <v>8</v>
      </c>
      <c r="H353" s="153" t="s">
        <v>1922</v>
      </c>
    </row>
    <row r="354" spans="1:8" ht="31.5" hidden="1">
      <c r="A354" s="149" t="s">
        <v>2221</v>
      </c>
      <c r="B354" s="150" t="s">
        <v>2222</v>
      </c>
      <c r="C354" s="149" t="s">
        <v>2223</v>
      </c>
      <c r="D354" s="149" t="s">
        <v>2224</v>
      </c>
      <c r="E354" s="151">
        <v>4</v>
      </c>
      <c r="F354" s="152" t="s">
        <v>209</v>
      </c>
      <c r="G354" s="151">
        <v>8</v>
      </c>
      <c r="H354" s="153" t="s">
        <v>1922</v>
      </c>
    </row>
    <row r="355" spans="1:8" ht="31.5" hidden="1">
      <c r="A355" s="149" t="s">
        <v>2225</v>
      </c>
      <c r="B355" s="150" t="s">
        <v>2226</v>
      </c>
      <c r="C355" s="149" t="s">
        <v>2222</v>
      </c>
      <c r="D355" s="149" t="s">
        <v>2227</v>
      </c>
      <c r="E355" s="151">
        <v>6</v>
      </c>
      <c r="F355" s="152" t="s">
        <v>373</v>
      </c>
      <c r="G355" s="151">
        <v>8</v>
      </c>
      <c r="H355" s="153" t="s">
        <v>1922</v>
      </c>
    </row>
    <row r="356" spans="1:8" ht="31.5" hidden="1">
      <c r="A356" s="149" t="s">
        <v>2228</v>
      </c>
      <c r="B356" s="150" t="s">
        <v>2229</v>
      </c>
      <c r="C356" s="149" t="s">
        <v>2230</v>
      </c>
      <c r="D356" s="149" t="s">
        <v>2231</v>
      </c>
      <c r="E356" s="151">
        <v>5</v>
      </c>
      <c r="F356" s="152" t="s">
        <v>209</v>
      </c>
      <c r="G356" s="151">
        <v>8</v>
      </c>
      <c r="H356" s="153" t="s">
        <v>1922</v>
      </c>
    </row>
    <row r="357" spans="1:8" ht="31.5" hidden="1">
      <c r="A357" s="149" t="s">
        <v>2232</v>
      </c>
      <c r="B357" s="150" t="s">
        <v>2233</v>
      </c>
      <c r="C357" s="149" t="s">
        <v>2234</v>
      </c>
      <c r="D357" s="149" t="s">
        <v>2235</v>
      </c>
      <c r="E357" s="151">
        <v>5</v>
      </c>
      <c r="F357" s="152" t="s">
        <v>209</v>
      </c>
      <c r="G357" s="151">
        <v>8</v>
      </c>
      <c r="H357" s="153" t="s">
        <v>1922</v>
      </c>
    </row>
    <row r="358" spans="1:8" ht="15.75" hidden="1">
      <c r="A358" s="149" t="s">
        <v>2236</v>
      </c>
      <c r="B358" s="150" t="s">
        <v>2237</v>
      </c>
      <c r="C358" s="149" t="s">
        <v>2238</v>
      </c>
      <c r="D358" s="149" t="s">
        <v>2239</v>
      </c>
      <c r="E358" s="151">
        <v>11</v>
      </c>
      <c r="F358" s="152" t="s">
        <v>300</v>
      </c>
      <c r="G358" s="151">
        <v>8</v>
      </c>
      <c r="H358" s="153" t="s">
        <v>2240</v>
      </c>
    </row>
    <row r="359" spans="1:8" ht="15.75" hidden="1">
      <c r="A359" s="149" t="s">
        <v>2241</v>
      </c>
      <c r="B359" s="150" t="s">
        <v>2242</v>
      </c>
      <c r="C359" s="149" t="s">
        <v>2243</v>
      </c>
      <c r="D359" s="149" t="s">
        <v>2244</v>
      </c>
      <c r="E359" s="151">
        <v>11</v>
      </c>
      <c r="F359" s="152" t="s">
        <v>300</v>
      </c>
      <c r="G359" s="151">
        <v>8</v>
      </c>
      <c r="H359" s="153" t="s">
        <v>2240</v>
      </c>
    </row>
    <row r="360" spans="1:8" ht="15.75" hidden="1">
      <c r="A360" s="149" t="s">
        <v>2245</v>
      </c>
      <c r="B360" s="150" t="s">
        <v>2246</v>
      </c>
      <c r="C360" s="149" t="s">
        <v>2247</v>
      </c>
      <c r="D360" s="149" t="s">
        <v>2248</v>
      </c>
      <c r="E360" s="151">
        <v>11</v>
      </c>
      <c r="F360" s="152" t="s">
        <v>300</v>
      </c>
      <c r="G360" s="151">
        <v>8</v>
      </c>
      <c r="H360" s="153" t="s">
        <v>2240</v>
      </c>
    </row>
    <row r="361" spans="1:8" ht="15.75" hidden="1">
      <c r="A361" s="149" t="s">
        <v>2249</v>
      </c>
      <c r="B361" s="150" t="s">
        <v>2250</v>
      </c>
      <c r="C361" s="149" t="s">
        <v>2251</v>
      </c>
      <c r="D361" s="149" t="s">
        <v>2252</v>
      </c>
      <c r="E361" s="151">
        <v>11</v>
      </c>
      <c r="F361" s="152" t="s">
        <v>300</v>
      </c>
      <c r="G361" s="151">
        <v>8</v>
      </c>
      <c r="H361" s="153" t="s">
        <v>2240</v>
      </c>
    </row>
    <row r="362" spans="1:8" ht="31.5" hidden="1">
      <c r="A362" s="149" t="s">
        <v>2253</v>
      </c>
      <c r="B362" s="150" t="s">
        <v>2254</v>
      </c>
      <c r="C362" s="149" t="s">
        <v>2255</v>
      </c>
      <c r="D362" s="149" t="s">
        <v>2256</v>
      </c>
      <c r="E362" s="151">
        <v>11</v>
      </c>
      <c r="F362" s="152" t="s">
        <v>300</v>
      </c>
      <c r="G362" s="151">
        <v>8</v>
      </c>
      <c r="H362" s="153" t="s">
        <v>2240</v>
      </c>
    </row>
    <row r="363" spans="1:8" ht="15.75" hidden="1">
      <c r="A363" s="149" t="s">
        <v>2257</v>
      </c>
      <c r="B363" s="150" t="s">
        <v>2258</v>
      </c>
      <c r="C363" s="149" t="s">
        <v>2259</v>
      </c>
      <c r="D363" s="149" t="s">
        <v>2260</v>
      </c>
      <c r="E363" s="151">
        <v>11</v>
      </c>
      <c r="F363" s="152" t="s">
        <v>300</v>
      </c>
      <c r="G363" s="151">
        <v>8</v>
      </c>
      <c r="H363" s="153" t="s">
        <v>2240</v>
      </c>
    </row>
    <row r="364" spans="1:8" ht="31.5" hidden="1">
      <c r="A364" s="149" t="s">
        <v>2261</v>
      </c>
      <c r="B364" s="150" t="s">
        <v>2262</v>
      </c>
      <c r="C364" s="149" t="s">
        <v>2262</v>
      </c>
      <c r="D364" s="149" t="s">
        <v>2263</v>
      </c>
      <c r="E364" s="151">
        <v>11</v>
      </c>
      <c r="F364" s="152" t="s">
        <v>300</v>
      </c>
      <c r="G364" s="151">
        <v>8</v>
      </c>
      <c r="H364" s="153" t="s">
        <v>2240</v>
      </c>
    </row>
    <row r="365" spans="1:8" ht="31.5" hidden="1">
      <c r="A365" s="149" t="s">
        <v>2264</v>
      </c>
      <c r="B365" s="150" t="s">
        <v>2265</v>
      </c>
      <c r="C365" s="149" t="s">
        <v>2265</v>
      </c>
      <c r="D365" s="149" t="s">
        <v>2266</v>
      </c>
      <c r="E365" s="151">
        <v>11</v>
      </c>
      <c r="F365" s="152" t="s">
        <v>209</v>
      </c>
      <c r="G365" s="151">
        <v>8</v>
      </c>
      <c r="H365" s="153" t="s">
        <v>2240</v>
      </c>
    </row>
    <row r="366" spans="1:8" ht="15.75" hidden="1">
      <c r="A366" s="149" t="s">
        <v>2267</v>
      </c>
      <c r="B366" s="150" t="s">
        <v>2268</v>
      </c>
      <c r="C366" s="149" t="s">
        <v>2269</v>
      </c>
      <c r="D366" s="149" t="s">
        <v>2270</v>
      </c>
      <c r="E366" s="151">
        <v>11</v>
      </c>
      <c r="F366" s="152" t="s">
        <v>300</v>
      </c>
      <c r="G366" s="151">
        <v>8</v>
      </c>
      <c r="H366" s="153" t="s">
        <v>2240</v>
      </c>
    </row>
    <row r="367" spans="1:8" ht="15.75" hidden="1">
      <c r="A367" s="149" t="s">
        <v>2271</v>
      </c>
      <c r="B367" s="150" t="s">
        <v>2272</v>
      </c>
      <c r="C367" s="149" t="s">
        <v>2272</v>
      </c>
      <c r="D367" s="149" t="s">
        <v>2273</v>
      </c>
      <c r="E367" s="151">
        <v>11</v>
      </c>
      <c r="F367" s="152" t="s">
        <v>300</v>
      </c>
      <c r="G367" s="151">
        <v>8</v>
      </c>
      <c r="H367" s="153" t="s">
        <v>2240</v>
      </c>
    </row>
    <row r="368" spans="1:8" ht="15.75" hidden="1">
      <c r="A368" s="149" t="s">
        <v>2274</v>
      </c>
      <c r="B368" s="150" t="s">
        <v>2275</v>
      </c>
      <c r="C368" s="149" t="s">
        <v>2276</v>
      </c>
      <c r="D368" s="149" t="s">
        <v>2277</v>
      </c>
      <c r="E368" s="151">
        <v>13</v>
      </c>
      <c r="F368" s="152" t="s">
        <v>300</v>
      </c>
      <c r="G368" s="151">
        <v>8</v>
      </c>
      <c r="H368" s="153" t="s">
        <v>2240</v>
      </c>
    </row>
    <row r="369" spans="1:8" ht="15.75" hidden="1">
      <c r="A369" s="149" t="s">
        <v>2278</v>
      </c>
      <c r="B369" s="150" t="s">
        <v>2279</v>
      </c>
      <c r="C369" s="149" t="s">
        <v>2280</v>
      </c>
      <c r="D369" s="149" t="s">
        <v>2281</v>
      </c>
      <c r="E369" s="151">
        <v>13</v>
      </c>
      <c r="F369" s="152" t="s">
        <v>300</v>
      </c>
      <c r="G369" s="151">
        <v>8</v>
      </c>
      <c r="H369" s="153" t="s">
        <v>2240</v>
      </c>
    </row>
    <row r="370" spans="1:8" ht="15.75" hidden="1">
      <c r="A370" s="149" t="s">
        <v>2282</v>
      </c>
      <c r="B370" s="150" t="s">
        <v>2283</v>
      </c>
      <c r="C370" s="149" t="s">
        <v>2284</v>
      </c>
      <c r="D370" s="149" t="s">
        <v>2285</v>
      </c>
      <c r="E370" s="151">
        <v>13</v>
      </c>
      <c r="F370" s="152" t="s">
        <v>300</v>
      </c>
      <c r="G370" s="151">
        <v>8</v>
      </c>
      <c r="H370" s="153" t="s">
        <v>2240</v>
      </c>
    </row>
    <row r="371" spans="1:8" ht="15.75" hidden="1">
      <c r="A371" s="149" t="s">
        <v>2286</v>
      </c>
      <c r="B371" s="150" t="s">
        <v>2287</v>
      </c>
      <c r="C371" s="149" t="s">
        <v>2288</v>
      </c>
      <c r="D371" s="149" t="s">
        <v>2289</v>
      </c>
      <c r="E371" s="151">
        <v>13</v>
      </c>
      <c r="F371" s="152" t="s">
        <v>300</v>
      </c>
      <c r="G371" s="151">
        <v>8</v>
      </c>
      <c r="H371" s="153" t="s">
        <v>2240</v>
      </c>
    </row>
    <row r="372" spans="1:8" ht="15.75" hidden="1">
      <c r="A372" s="149" t="s">
        <v>2290</v>
      </c>
      <c r="B372" s="150" t="s">
        <v>2291</v>
      </c>
      <c r="C372" s="149" t="s">
        <v>2292</v>
      </c>
      <c r="D372" s="149" t="s">
        <v>2293</v>
      </c>
      <c r="E372" s="151">
        <v>14</v>
      </c>
      <c r="F372" s="152" t="s">
        <v>300</v>
      </c>
      <c r="G372" s="151">
        <v>8</v>
      </c>
      <c r="H372" s="153" t="s">
        <v>2240</v>
      </c>
    </row>
    <row r="373" spans="1:8" ht="15.75" hidden="1">
      <c r="A373" s="149" t="s">
        <v>2294</v>
      </c>
      <c r="B373" s="150" t="s">
        <v>2295</v>
      </c>
      <c r="C373" s="149" t="s">
        <v>2296</v>
      </c>
      <c r="D373" s="149" t="s">
        <v>2297</v>
      </c>
      <c r="E373" s="151">
        <v>14</v>
      </c>
      <c r="F373" s="152" t="s">
        <v>300</v>
      </c>
      <c r="G373" s="151">
        <v>8</v>
      </c>
      <c r="H373" s="153" t="s">
        <v>2240</v>
      </c>
    </row>
    <row r="374" spans="1:8" ht="15.75" hidden="1">
      <c r="A374" s="149" t="s">
        <v>2298</v>
      </c>
      <c r="B374" s="150" t="s">
        <v>2299</v>
      </c>
      <c r="C374" s="149" t="s">
        <v>2300</v>
      </c>
      <c r="D374" s="149" t="s">
        <v>2301</v>
      </c>
      <c r="E374" s="151">
        <v>13</v>
      </c>
      <c r="F374" s="152" t="s">
        <v>300</v>
      </c>
      <c r="G374" s="151">
        <v>8</v>
      </c>
      <c r="H374" s="153" t="s">
        <v>2240</v>
      </c>
    </row>
    <row r="375" spans="1:8" ht="15.75" hidden="1">
      <c r="A375" s="149" t="s">
        <v>2302</v>
      </c>
      <c r="B375" s="150" t="s">
        <v>2303</v>
      </c>
      <c r="C375" s="149" t="s">
        <v>2304</v>
      </c>
      <c r="D375" s="149" t="s">
        <v>2305</v>
      </c>
      <c r="E375" s="151">
        <v>13</v>
      </c>
      <c r="F375" s="152" t="s">
        <v>300</v>
      </c>
      <c r="G375" s="151">
        <v>8</v>
      </c>
      <c r="H375" s="153" t="s">
        <v>2240</v>
      </c>
    </row>
    <row r="376" spans="1:8" ht="15.75" hidden="1">
      <c r="A376" s="149" t="s">
        <v>2306</v>
      </c>
      <c r="B376" s="150" t="s">
        <v>2307</v>
      </c>
      <c r="C376" s="149" t="s">
        <v>2308</v>
      </c>
      <c r="D376" s="149" t="s">
        <v>2309</v>
      </c>
      <c r="E376" s="151">
        <v>12</v>
      </c>
      <c r="F376" s="152" t="s">
        <v>300</v>
      </c>
      <c r="G376" s="151">
        <v>8</v>
      </c>
      <c r="H376" s="153" t="s">
        <v>2240</v>
      </c>
    </row>
    <row r="377" spans="1:8" ht="15.75" hidden="1">
      <c r="A377" s="149" t="s">
        <v>2310</v>
      </c>
      <c r="B377" s="150" t="s">
        <v>2311</v>
      </c>
      <c r="C377" s="149" t="s">
        <v>2311</v>
      </c>
      <c r="D377" s="149" t="s">
        <v>2312</v>
      </c>
      <c r="E377" s="151">
        <v>12</v>
      </c>
      <c r="F377" s="152" t="s">
        <v>300</v>
      </c>
      <c r="G377" s="151">
        <v>8</v>
      </c>
      <c r="H377" s="153" t="s">
        <v>2240</v>
      </c>
    </row>
    <row r="378" spans="1:8" ht="15.75" hidden="1">
      <c r="A378" s="149" t="s">
        <v>2313</v>
      </c>
      <c r="B378" s="150" t="s">
        <v>2314</v>
      </c>
      <c r="C378" s="149" t="s">
        <v>2315</v>
      </c>
      <c r="D378" s="149" t="s">
        <v>2316</v>
      </c>
      <c r="E378" s="151">
        <v>12</v>
      </c>
      <c r="F378" s="152" t="s">
        <v>300</v>
      </c>
      <c r="G378" s="151">
        <v>8</v>
      </c>
      <c r="H378" s="153" t="s">
        <v>2240</v>
      </c>
    </row>
    <row r="379" spans="1:8" ht="31.5" hidden="1">
      <c r="A379" s="149" t="s">
        <v>2317</v>
      </c>
      <c r="B379" s="150" t="s">
        <v>2318</v>
      </c>
      <c r="C379" s="149" t="s">
        <v>2319</v>
      </c>
      <c r="D379" s="149" t="s">
        <v>2320</v>
      </c>
      <c r="E379" s="151">
        <v>13</v>
      </c>
      <c r="F379" s="152" t="s">
        <v>300</v>
      </c>
      <c r="G379" s="151">
        <v>8</v>
      </c>
      <c r="H379" s="153" t="s">
        <v>2240</v>
      </c>
    </row>
    <row r="380" spans="1:8" ht="15.75" hidden="1">
      <c r="A380" s="149" t="s">
        <v>2321</v>
      </c>
      <c r="B380" s="150" t="s">
        <v>2322</v>
      </c>
      <c r="C380" s="149" t="s">
        <v>2323</v>
      </c>
      <c r="D380" s="149" t="s">
        <v>2324</v>
      </c>
      <c r="E380" s="151">
        <v>13</v>
      </c>
      <c r="F380" s="152" t="s">
        <v>300</v>
      </c>
      <c r="G380" s="151">
        <v>8</v>
      </c>
      <c r="H380" s="153" t="s">
        <v>2240</v>
      </c>
    </row>
    <row r="381" spans="1:8" ht="15.75" hidden="1">
      <c r="A381" s="149" t="s">
        <v>2325</v>
      </c>
      <c r="B381" s="150" t="s">
        <v>2326</v>
      </c>
      <c r="C381" s="149" t="s">
        <v>2327</v>
      </c>
      <c r="D381" s="149" t="s">
        <v>2328</v>
      </c>
      <c r="E381" s="151">
        <v>13</v>
      </c>
      <c r="F381" s="152" t="s">
        <v>300</v>
      </c>
      <c r="G381" s="151">
        <v>8</v>
      </c>
      <c r="H381" s="153" t="s">
        <v>2240</v>
      </c>
    </row>
    <row r="382" spans="1:8" ht="15.75" hidden="1">
      <c r="A382" s="149" t="s">
        <v>2329</v>
      </c>
      <c r="B382" s="150" t="s">
        <v>2330</v>
      </c>
      <c r="C382" s="149" t="s">
        <v>2330</v>
      </c>
      <c r="D382" s="149" t="s">
        <v>2331</v>
      </c>
      <c r="E382" s="151">
        <v>13</v>
      </c>
      <c r="F382" s="152" t="s">
        <v>300</v>
      </c>
      <c r="G382" s="151">
        <v>8</v>
      </c>
      <c r="H382" s="153" t="s">
        <v>2240</v>
      </c>
    </row>
    <row r="383" spans="1:8" ht="15.75" hidden="1">
      <c r="A383" s="149" t="s">
        <v>2332</v>
      </c>
      <c r="B383" s="150" t="s">
        <v>2333</v>
      </c>
      <c r="C383" s="149" t="s">
        <v>2334</v>
      </c>
      <c r="D383" s="149" t="s">
        <v>2335</v>
      </c>
      <c r="E383" s="151">
        <v>12</v>
      </c>
      <c r="F383" s="152" t="s">
        <v>300</v>
      </c>
      <c r="G383" s="151">
        <v>8</v>
      </c>
      <c r="H383" s="153" t="s">
        <v>2240</v>
      </c>
    </row>
    <row r="384" spans="1:8" ht="15.75" hidden="1">
      <c r="A384" s="149" t="s">
        <v>2336</v>
      </c>
      <c r="B384" s="150" t="s">
        <v>2337</v>
      </c>
      <c r="C384" s="149" t="s">
        <v>2338</v>
      </c>
      <c r="D384" s="149" t="s">
        <v>2339</v>
      </c>
      <c r="E384" s="151">
        <v>12</v>
      </c>
      <c r="F384" s="152" t="s">
        <v>300</v>
      </c>
      <c r="G384" s="151">
        <v>8</v>
      </c>
      <c r="H384" s="153" t="s">
        <v>2240</v>
      </c>
    </row>
    <row r="385" spans="1:8" ht="15.75" hidden="1">
      <c r="A385" s="149" t="s">
        <v>2340</v>
      </c>
      <c r="B385" s="150" t="s">
        <v>2341</v>
      </c>
      <c r="C385" s="149" t="s">
        <v>2342</v>
      </c>
      <c r="D385" s="149" t="s">
        <v>2343</v>
      </c>
      <c r="E385" s="151">
        <v>12</v>
      </c>
      <c r="F385" s="152" t="s">
        <v>300</v>
      </c>
      <c r="G385" s="151">
        <v>8</v>
      </c>
      <c r="H385" s="153" t="s">
        <v>2240</v>
      </c>
    </row>
    <row r="386" spans="1:8" ht="15.75" hidden="1">
      <c r="A386" s="149" t="s">
        <v>2344</v>
      </c>
      <c r="B386" s="150" t="s">
        <v>2345</v>
      </c>
      <c r="C386" s="149" t="s">
        <v>2346</v>
      </c>
      <c r="D386" s="149" t="s">
        <v>2347</v>
      </c>
      <c r="E386" s="151">
        <v>12</v>
      </c>
      <c r="F386" s="152" t="s">
        <v>300</v>
      </c>
      <c r="G386" s="151">
        <v>8</v>
      </c>
      <c r="H386" s="153" t="s">
        <v>2240</v>
      </c>
    </row>
    <row r="387" spans="1:8" ht="15.75" hidden="1">
      <c r="A387" s="149" t="s">
        <v>2348</v>
      </c>
      <c r="B387" s="150" t="s">
        <v>2349</v>
      </c>
      <c r="C387" s="149" t="s">
        <v>2350</v>
      </c>
      <c r="D387" s="149" t="s">
        <v>2351</v>
      </c>
      <c r="E387" s="151">
        <v>12</v>
      </c>
      <c r="F387" s="152" t="s">
        <v>300</v>
      </c>
      <c r="G387" s="151">
        <v>8</v>
      </c>
      <c r="H387" s="153" t="s">
        <v>2240</v>
      </c>
    </row>
    <row r="388" spans="1:8" ht="15.75" hidden="1">
      <c r="A388" s="149" t="s">
        <v>2352</v>
      </c>
      <c r="B388" s="150" t="s">
        <v>2353</v>
      </c>
      <c r="C388" s="149" t="s">
        <v>2354</v>
      </c>
      <c r="D388" s="149" t="s">
        <v>2355</v>
      </c>
      <c r="E388" s="151">
        <v>12</v>
      </c>
      <c r="F388" s="152" t="s">
        <v>300</v>
      </c>
      <c r="G388" s="151">
        <v>8</v>
      </c>
      <c r="H388" s="153" t="s">
        <v>2240</v>
      </c>
    </row>
    <row r="389" spans="1:8" ht="15.75" hidden="1">
      <c r="A389" s="149" t="s">
        <v>2356</v>
      </c>
      <c r="B389" s="150" t="s">
        <v>2357</v>
      </c>
      <c r="C389" s="149" t="s">
        <v>2358</v>
      </c>
      <c r="D389" s="149" t="s">
        <v>2359</v>
      </c>
      <c r="E389" s="151">
        <v>12</v>
      </c>
      <c r="F389" s="152" t="s">
        <v>300</v>
      </c>
      <c r="G389" s="151">
        <v>8</v>
      </c>
      <c r="H389" s="153" t="s">
        <v>2240</v>
      </c>
    </row>
    <row r="390" spans="1:8" ht="15.75" hidden="1">
      <c r="A390" s="149" t="s">
        <v>2360</v>
      </c>
      <c r="B390" s="150" t="s">
        <v>2361</v>
      </c>
      <c r="C390" s="149" t="s">
        <v>2362</v>
      </c>
      <c r="D390" s="149" t="s">
        <v>2363</v>
      </c>
      <c r="E390" s="151">
        <v>12</v>
      </c>
      <c r="F390" s="152" t="s">
        <v>300</v>
      </c>
      <c r="G390" s="151">
        <v>8</v>
      </c>
      <c r="H390" s="153" t="s">
        <v>2240</v>
      </c>
    </row>
    <row r="391" spans="1:8" ht="15.75" hidden="1">
      <c r="A391" s="149" t="s">
        <v>2364</v>
      </c>
      <c r="B391" s="150" t="s">
        <v>2365</v>
      </c>
      <c r="C391" s="149" t="s">
        <v>2366</v>
      </c>
      <c r="D391" s="149" t="s">
        <v>2367</v>
      </c>
      <c r="E391" s="151">
        <v>10</v>
      </c>
      <c r="F391" s="152" t="s">
        <v>209</v>
      </c>
      <c r="G391" s="151">
        <v>8</v>
      </c>
      <c r="H391" s="153" t="s">
        <v>2240</v>
      </c>
    </row>
    <row r="392" spans="1:8" ht="31.5" hidden="1">
      <c r="A392" s="149" t="s">
        <v>2368</v>
      </c>
      <c r="B392" s="150" t="s">
        <v>2369</v>
      </c>
      <c r="C392" s="149" t="s">
        <v>2370</v>
      </c>
      <c r="D392" s="149" t="s">
        <v>2371</v>
      </c>
      <c r="E392" s="151">
        <v>10</v>
      </c>
      <c r="F392" s="152" t="s">
        <v>209</v>
      </c>
      <c r="G392" s="151">
        <v>8</v>
      </c>
      <c r="H392" s="153" t="s">
        <v>2240</v>
      </c>
    </row>
    <row r="393" spans="1:8" ht="31.5" hidden="1">
      <c r="A393" s="149" t="s">
        <v>2372</v>
      </c>
      <c r="B393" s="150" t="s">
        <v>2373</v>
      </c>
      <c r="C393" s="149" t="s">
        <v>2374</v>
      </c>
      <c r="D393" s="149" t="s">
        <v>2375</v>
      </c>
      <c r="E393" s="151">
        <v>10</v>
      </c>
      <c r="F393" s="152" t="s">
        <v>209</v>
      </c>
      <c r="G393" s="151">
        <v>8</v>
      </c>
      <c r="H393" s="153" t="s">
        <v>2240</v>
      </c>
    </row>
    <row r="394" spans="1:8" ht="31.5" hidden="1">
      <c r="A394" s="149" t="s">
        <v>2376</v>
      </c>
      <c r="B394" s="150" t="s">
        <v>2377</v>
      </c>
      <c r="C394" s="149" t="s">
        <v>2378</v>
      </c>
      <c r="D394" s="149" t="s">
        <v>2379</v>
      </c>
      <c r="E394" s="151">
        <v>11</v>
      </c>
      <c r="F394" s="152" t="s">
        <v>300</v>
      </c>
      <c r="G394" s="151">
        <v>8</v>
      </c>
      <c r="H394" s="153" t="s">
        <v>2240</v>
      </c>
    </row>
    <row r="395" spans="1:8" ht="15.75" hidden="1">
      <c r="A395" s="149" t="s">
        <v>2380</v>
      </c>
      <c r="B395" s="150" t="s">
        <v>2381</v>
      </c>
      <c r="C395" s="149" t="s">
        <v>2382</v>
      </c>
      <c r="D395" s="149" t="s">
        <v>2383</v>
      </c>
      <c r="E395" s="151">
        <v>11</v>
      </c>
      <c r="F395" s="152" t="s">
        <v>300</v>
      </c>
      <c r="G395" s="151">
        <v>8</v>
      </c>
      <c r="H395" s="153" t="s">
        <v>2240</v>
      </c>
    </row>
    <row r="396" spans="1:8" ht="15.75" hidden="1">
      <c r="A396" s="149" t="s">
        <v>2384</v>
      </c>
      <c r="B396" s="150" t="s">
        <v>2385</v>
      </c>
      <c r="C396" s="149" t="s">
        <v>2386</v>
      </c>
      <c r="D396" s="149" t="s">
        <v>2387</v>
      </c>
      <c r="E396" s="151">
        <v>10</v>
      </c>
      <c r="F396" s="152" t="s">
        <v>209</v>
      </c>
      <c r="G396" s="151">
        <v>8</v>
      </c>
      <c r="H396" s="153" t="s">
        <v>2240</v>
      </c>
    </row>
    <row r="397" spans="1:8" ht="15.75" hidden="1">
      <c r="A397" s="149" t="s">
        <v>2388</v>
      </c>
      <c r="B397" s="150" t="s">
        <v>2389</v>
      </c>
      <c r="C397" s="149" t="s">
        <v>2390</v>
      </c>
      <c r="D397" s="149" t="s">
        <v>2391</v>
      </c>
      <c r="E397" s="151">
        <v>10</v>
      </c>
      <c r="F397" s="152" t="s">
        <v>209</v>
      </c>
      <c r="G397" s="151">
        <v>8</v>
      </c>
      <c r="H397" s="153" t="s">
        <v>2240</v>
      </c>
    </row>
    <row r="398" spans="1:8" ht="15.75" hidden="1">
      <c r="A398" s="149" t="s">
        <v>2392</v>
      </c>
      <c r="B398" s="150" t="s">
        <v>2393</v>
      </c>
      <c r="C398" s="149" t="s">
        <v>2394</v>
      </c>
      <c r="D398" s="149" t="s">
        <v>2395</v>
      </c>
      <c r="E398" s="151">
        <v>10</v>
      </c>
      <c r="F398" s="152" t="s">
        <v>209</v>
      </c>
      <c r="G398" s="151">
        <v>8</v>
      </c>
      <c r="H398" s="153" t="s">
        <v>2240</v>
      </c>
    </row>
    <row r="399" spans="1:8" ht="15.75" hidden="1">
      <c r="A399" s="149" t="s">
        <v>2396</v>
      </c>
      <c r="B399" s="150" t="s">
        <v>2397</v>
      </c>
      <c r="C399" s="149" t="s">
        <v>2398</v>
      </c>
      <c r="D399" s="149" t="s">
        <v>2399</v>
      </c>
      <c r="E399" s="151">
        <v>9</v>
      </c>
      <c r="F399" s="152" t="s">
        <v>209</v>
      </c>
      <c r="G399" s="151">
        <v>8</v>
      </c>
      <c r="H399" s="153" t="s">
        <v>2240</v>
      </c>
    </row>
    <row r="400" spans="1:8" ht="15.75" hidden="1">
      <c r="A400" s="149" t="s">
        <v>2400</v>
      </c>
      <c r="B400" s="150" t="s">
        <v>2401</v>
      </c>
      <c r="C400" s="149" t="s">
        <v>2402</v>
      </c>
      <c r="D400" s="149" t="s">
        <v>2403</v>
      </c>
      <c r="E400" s="151">
        <v>9</v>
      </c>
      <c r="F400" s="152" t="s">
        <v>209</v>
      </c>
      <c r="G400" s="151">
        <v>8</v>
      </c>
      <c r="H400" s="153" t="s">
        <v>2240</v>
      </c>
    </row>
    <row r="401" spans="1:8" ht="15.75" hidden="1">
      <c r="A401" s="149" t="s">
        <v>2404</v>
      </c>
      <c r="B401" s="150" t="s">
        <v>2405</v>
      </c>
      <c r="C401" s="149" t="s">
        <v>2406</v>
      </c>
      <c r="D401" s="149" t="s">
        <v>2407</v>
      </c>
      <c r="E401" s="151">
        <v>9</v>
      </c>
      <c r="F401" s="152" t="s">
        <v>209</v>
      </c>
      <c r="G401" s="151">
        <v>8</v>
      </c>
      <c r="H401" s="153" t="s">
        <v>2240</v>
      </c>
    </row>
    <row r="402" spans="1:8" ht="15.75" hidden="1">
      <c r="A402" s="149" t="s">
        <v>2408</v>
      </c>
      <c r="B402" s="150" t="s">
        <v>2409</v>
      </c>
      <c r="C402" s="149" t="s">
        <v>2410</v>
      </c>
      <c r="D402" s="149" t="s">
        <v>2411</v>
      </c>
      <c r="E402" s="151">
        <v>10</v>
      </c>
      <c r="F402" s="152" t="s">
        <v>209</v>
      </c>
      <c r="G402" s="151">
        <v>8</v>
      </c>
      <c r="H402" s="153" t="s">
        <v>2240</v>
      </c>
    </row>
    <row r="403" spans="1:8" ht="31.5" hidden="1">
      <c r="A403" s="149" t="s">
        <v>2412</v>
      </c>
      <c r="B403" s="150" t="s">
        <v>2413</v>
      </c>
      <c r="C403" s="149" t="s">
        <v>2414</v>
      </c>
      <c r="D403" s="149" t="s">
        <v>2415</v>
      </c>
      <c r="E403" s="151">
        <v>10</v>
      </c>
      <c r="F403" s="152" t="s">
        <v>209</v>
      </c>
      <c r="G403" s="151">
        <v>8</v>
      </c>
      <c r="H403" s="153" t="s">
        <v>2240</v>
      </c>
    </row>
    <row r="404" spans="1:8" ht="15.75" hidden="1">
      <c r="A404" s="149" t="s">
        <v>2416</v>
      </c>
      <c r="B404" s="150" t="s">
        <v>2417</v>
      </c>
      <c r="C404" s="149" t="s">
        <v>2418</v>
      </c>
      <c r="D404" s="149" t="s">
        <v>2419</v>
      </c>
      <c r="E404" s="151">
        <v>10</v>
      </c>
      <c r="F404" s="152" t="s">
        <v>209</v>
      </c>
      <c r="G404" s="151">
        <v>8</v>
      </c>
      <c r="H404" s="153" t="s">
        <v>2240</v>
      </c>
    </row>
    <row r="405" spans="1:8" ht="15.75" hidden="1">
      <c r="A405" s="149" t="s">
        <v>2420</v>
      </c>
      <c r="B405" s="150" t="s">
        <v>2421</v>
      </c>
      <c r="C405" s="149" t="s">
        <v>2422</v>
      </c>
      <c r="D405" s="149" t="s">
        <v>2423</v>
      </c>
      <c r="E405" s="151">
        <v>9</v>
      </c>
      <c r="F405" s="152" t="s">
        <v>209</v>
      </c>
      <c r="G405" s="151">
        <v>8</v>
      </c>
      <c r="H405" s="153" t="s">
        <v>2240</v>
      </c>
    </row>
    <row r="406" spans="1:8" ht="15.75" hidden="1">
      <c r="A406" s="149" t="s">
        <v>2424</v>
      </c>
      <c r="B406" s="150" t="s">
        <v>2425</v>
      </c>
      <c r="C406" s="149" t="s">
        <v>2426</v>
      </c>
      <c r="D406" s="149" t="s">
        <v>2427</v>
      </c>
      <c r="E406" s="151">
        <v>9</v>
      </c>
      <c r="F406" s="152" t="s">
        <v>209</v>
      </c>
      <c r="G406" s="151">
        <v>8</v>
      </c>
      <c r="H406" s="153" t="s">
        <v>2240</v>
      </c>
    </row>
    <row r="407" spans="1:8" ht="15.75" hidden="1">
      <c r="A407" s="149" t="s">
        <v>2428</v>
      </c>
      <c r="B407" s="150" t="s">
        <v>2429</v>
      </c>
      <c r="C407" s="149" t="s">
        <v>2430</v>
      </c>
      <c r="D407" s="149" t="s">
        <v>2431</v>
      </c>
      <c r="E407" s="151">
        <v>9</v>
      </c>
      <c r="F407" s="152" t="s">
        <v>209</v>
      </c>
      <c r="G407" s="151">
        <v>8</v>
      </c>
      <c r="H407" s="153" t="s">
        <v>2240</v>
      </c>
    </row>
    <row r="408" spans="1:8" ht="15.75" hidden="1">
      <c r="A408" s="149" t="s">
        <v>2432</v>
      </c>
      <c r="B408" s="150" t="s">
        <v>2433</v>
      </c>
      <c r="C408" s="149" t="s">
        <v>2433</v>
      </c>
      <c r="D408" s="149" t="s">
        <v>2434</v>
      </c>
      <c r="E408" s="151">
        <v>9</v>
      </c>
      <c r="F408" s="152" t="s">
        <v>209</v>
      </c>
      <c r="G408" s="151">
        <v>8</v>
      </c>
      <c r="H408" s="153" t="s">
        <v>2240</v>
      </c>
    </row>
    <row r="409" spans="1:8" ht="15.75" hidden="1">
      <c r="A409" s="149" t="s">
        <v>2435</v>
      </c>
      <c r="B409" s="150" t="s">
        <v>2436</v>
      </c>
      <c r="C409" s="149" t="s">
        <v>2437</v>
      </c>
      <c r="D409" s="149" t="s">
        <v>2438</v>
      </c>
      <c r="E409" s="151">
        <v>9</v>
      </c>
      <c r="F409" s="152" t="s">
        <v>209</v>
      </c>
      <c r="G409" s="151">
        <v>8</v>
      </c>
      <c r="H409" s="153" t="s">
        <v>2240</v>
      </c>
    </row>
    <row r="410" spans="1:8" ht="15.75" hidden="1">
      <c r="A410" s="149" t="s">
        <v>2439</v>
      </c>
      <c r="B410" s="150" t="s">
        <v>2440</v>
      </c>
      <c r="C410" s="149" t="s">
        <v>2441</v>
      </c>
      <c r="D410" s="149" t="s">
        <v>2442</v>
      </c>
      <c r="E410" s="151">
        <v>9</v>
      </c>
      <c r="F410" s="152" t="s">
        <v>209</v>
      </c>
      <c r="G410" s="151">
        <v>8</v>
      </c>
      <c r="H410" s="153" t="s">
        <v>2240</v>
      </c>
    </row>
    <row r="411" spans="1:8" ht="15.75" hidden="1">
      <c r="A411" s="149" t="s">
        <v>2443</v>
      </c>
      <c r="B411" s="150" t="s">
        <v>2444</v>
      </c>
      <c r="C411" s="149" t="s">
        <v>2445</v>
      </c>
      <c r="D411" s="149" t="s">
        <v>2446</v>
      </c>
      <c r="E411" s="151">
        <v>9</v>
      </c>
      <c r="F411" s="152" t="s">
        <v>209</v>
      </c>
      <c r="G411" s="151">
        <v>8</v>
      </c>
      <c r="H411" s="153" t="s">
        <v>2240</v>
      </c>
    </row>
    <row r="412" spans="1:8" ht="15.75" hidden="1">
      <c r="A412" s="149" t="s">
        <v>2447</v>
      </c>
      <c r="B412" s="150" t="s">
        <v>2448</v>
      </c>
      <c r="C412" s="149" t="s">
        <v>2449</v>
      </c>
      <c r="D412" s="149" t="s">
        <v>2450</v>
      </c>
      <c r="E412" s="151">
        <v>9</v>
      </c>
      <c r="F412" s="152" t="s">
        <v>209</v>
      </c>
      <c r="G412" s="151">
        <v>8</v>
      </c>
      <c r="H412" s="153" t="s">
        <v>2240</v>
      </c>
    </row>
    <row r="413" spans="1:8" ht="15.75" hidden="1">
      <c r="A413" s="149" t="s">
        <v>2451</v>
      </c>
      <c r="B413" s="150" t="s">
        <v>2452</v>
      </c>
      <c r="C413" s="149" t="s">
        <v>2453</v>
      </c>
      <c r="D413" s="149" t="s">
        <v>2454</v>
      </c>
      <c r="E413" s="151">
        <v>9</v>
      </c>
      <c r="F413" s="152" t="s">
        <v>209</v>
      </c>
      <c r="G413" s="151">
        <v>8</v>
      </c>
      <c r="H413" s="153" t="s">
        <v>2240</v>
      </c>
    </row>
    <row r="414" spans="1:8" ht="15.75" hidden="1">
      <c r="A414" s="149" t="s">
        <v>2455</v>
      </c>
      <c r="B414" s="150" t="s">
        <v>2456</v>
      </c>
      <c r="C414" s="149" t="s">
        <v>2457</v>
      </c>
      <c r="D414" s="149" t="s">
        <v>2458</v>
      </c>
      <c r="E414" s="151">
        <v>9</v>
      </c>
      <c r="F414" s="152" t="s">
        <v>209</v>
      </c>
      <c r="G414" s="151">
        <v>8</v>
      </c>
      <c r="H414" s="153" t="s">
        <v>2240</v>
      </c>
    </row>
    <row r="415" spans="1:8" ht="15.75" hidden="1">
      <c r="A415" s="149" t="s">
        <v>2459</v>
      </c>
      <c r="B415" s="150" t="s">
        <v>2460</v>
      </c>
      <c r="C415" s="149" t="s">
        <v>2461</v>
      </c>
      <c r="D415" s="149" t="s">
        <v>2462</v>
      </c>
      <c r="E415" s="151">
        <v>9</v>
      </c>
      <c r="F415" s="152" t="s">
        <v>209</v>
      </c>
      <c r="G415" s="151">
        <v>8</v>
      </c>
      <c r="H415" s="153" t="s">
        <v>2240</v>
      </c>
    </row>
    <row r="416" spans="1:8" ht="15.75" hidden="1">
      <c r="A416" s="149" t="s">
        <v>2463</v>
      </c>
      <c r="B416" s="150" t="s">
        <v>2464</v>
      </c>
      <c r="C416" s="149" t="s">
        <v>2465</v>
      </c>
      <c r="D416" s="149" t="s">
        <v>2466</v>
      </c>
      <c r="E416" s="151">
        <v>8</v>
      </c>
      <c r="F416" s="152" t="s">
        <v>209</v>
      </c>
      <c r="G416" s="151">
        <v>8</v>
      </c>
      <c r="H416" s="153" t="s">
        <v>2240</v>
      </c>
    </row>
    <row r="417" spans="1:8" ht="15.75" hidden="1">
      <c r="A417" s="149" t="s">
        <v>2467</v>
      </c>
      <c r="B417" s="150" t="s">
        <v>2468</v>
      </c>
      <c r="C417" s="149" t="s">
        <v>2469</v>
      </c>
      <c r="D417" s="149" t="s">
        <v>2470</v>
      </c>
      <c r="E417" s="151">
        <v>8</v>
      </c>
      <c r="F417" s="152" t="s">
        <v>209</v>
      </c>
      <c r="G417" s="151">
        <v>8</v>
      </c>
      <c r="H417" s="153" t="s">
        <v>2240</v>
      </c>
    </row>
    <row r="418" spans="1:8" ht="15.75" hidden="1">
      <c r="A418" s="149" t="s">
        <v>2471</v>
      </c>
      <c r="B418" s="150" t="s">
        <v>2472</v>
      </c>
      <c r="C418" s="149" t="s">
        <v>2473</v>
      </c>
      <c r="D418" s="149" t="s">
        <v>2474</v>
      </c>
      <c r="E418" s="151">
        <v>8</v>
      </c>
      <c r="F418" s="152" t="s">
        <v>209</v>
      </c>
      <c r="G418" s="151">
        <v>8</v>
      </c>
      <c r="H418" s="153" t="s">
        <v>2240</v>
      </c>
    </row>
    <row r="419" spans="1:8" ht="15.75" hidden="1">
      <c r="A419" s="149" t="s">
        <v>2475</v>
      </c>
      <c r="B419" s="150" t="s">
        <v>2476</v>
      </c>
      <c r="C419" s="149" t="s">
        <v>2477</v>
      </c>
      <c r="D419" s="149" t="s">
        <v>2478</v>
      </c>
      <c r="E419" s="151">
        <v>8</v>
      </c>
      <c r="F419" s="152" t="s">
        <v>209</v>
      </c>
      <c r="G419" s="151">
        <v>8</v>
      </c>
      <c r="H419" s="153" t="s">
        <v>2240</v>
      </c>
    </row>
    <row r="420" spans="1:8" ht="15.75" hidden="1">
      <c r="A420" s="149" t="s">
        <v>2479</v>
      </c>
      <c r="B420" s="150" t="s">
        <v>2480</v>
      </c>
      <c r="C420" s="149" t="s">
        <v>2480</v>
      </c>
      <c r="D420" s="149" t="s">
        <v>2481</v>
      </c>
      <c r="E420" s="151">
        <v>9</v>
      </c>
      <c r="F420" s="152" t="s">
        <v>209</v>
      </c>
      <c r="G420" s="151">
        <v>8</v>
      </c>
      <c r="H420" s="153" t="s">
        <v>2240</v>
      </c>
    </row>
    <row r="421" spans="1:8" ht="15.75" hidden="1">
      <c r="A421" s="149" t="s">
        <v>2482</v>
      </c>
      <c r="B421" s="150" t="s">
        <v>2483</v>
      </c>
      <c r="C421" s="149" t="s">
        <v>2484</v>
      </c>
      <c r="D421" s="149" t="s">
        <v>2485</v>
      </c>
      <c r="E421" s="151">
        <v>9</v>
      </c>
      <c r="F421" s="152" t="s">
        <v>209</v>
      </c>
      <c r="G421" s="151">
        <v>8</v>
      </c>
      <c r="H421" s="153" t="s">
        <v>2240</v>
      </c>
    </row>
    <row r="422" spans="1:8" ht="15.75" hidden="1">
      <c r="A422" s="149" t="s">
        <v>2486</v>
      </c>
      <c r="B422" s="150" t="s">
        <v>2487</v>
      </c>
      <c r="C422" s="149" t="s">
        <v>2488</v>
      </c>
      <c r="D422" s="149" t="s">
        <v>2489</v>
      </c>
      <c r="E422" s="151">
        <v>10</v>
      </c>
      <c r="F422" s="152" t="s">
        <v>209</v>
      </c>
      <c r="G422" s="151">
        <v>8</v>
      </c>
      <c r="H422" s="153" t="s">
        <v>2240</v>
      </c>
    </row>
    <row r="423" spans="1:8" ht="15.75" hidden="1">
      <c r="A423" s="149" t="s">
        <v>2490</v>
      </c>
      <c r="B423" s="150" t="s">
        <v>2491</v>
      </c>
      <c r="C423" s="149" t="s">
        <v>2492</v>
      </c>
      <c r="D423" s="149" t="s">
        <v>2493</v>
      </c>
      <c r="E423" s="151">
        <v>9</v>
      </c>
      <c r="F423" s="152" t="s">
        <v>209</v>
      </c>
      <c r="G423" s="151">
        <v>8</v>
      </c>
      <c r="H423" s="153" t="s">
        <v>2240</v>
      </c>
    </row>
    <row r="424" spans="1:8" ht="15.75" hidden="1">
      <c r="A424" s="149" t="s">
        <v>2494</v>
      </c>
      <c r="B424" s="150" t="s">
        <v>2495</v>
      </c>
      <c r="C424" s="149" t="s">
        <v>2496</v>
      </c>
      <c r="D424" s="149" t="s">
        <v>2497</v>
      </c>
      <c r="E424" s="151">
        <v>9</v>
      </c>
      <c r="F424" s="152" t="s">
        <v>209</v>
      </c>
      <c r="G424" s="151">
        <v>8</v>
      </c>
      <c r="H424" s="153" t="s">
        <v>2240</v>
      </c>
    </row>
    <row r="425" spans="1:8" ht="31.5" hidden="1">
      <c r="A425" s="149" t="s">
        <v>2498</v>
      </c>
      <c r="B425" s="150" t="s">
        <v>2499</v>
      </c>
      <c r="C425" s="149" t="s">
        <v>2500</v>
      </c>
      <c r="D425" s="149" t="s">
        <v>2501</v>
      </c>
      <c r="E425" s="151">
        <v>5</v>
      </c>
      <c r="F425" s="152" t="s">
        <v>373</v>
      </c>
      <c r="G425" s="151">
        <v>8</v>
      </c>
      <c r="H425" s="153" t="s">
        <v>2240</v>
      </c>
    </row>
    <row r="426" spans="1:8" ht="15.75" hidden="1">
      <c r="A426" s="149" t="s">
        <v>2502</v>
      </c>
      <c r="B426" s="150" t="s">
        <v>2503</v>
      </c>
      <c r="C426" s="149" t="s">
        <v>2504</v>
      </c>
      <c r="D426" s="149" t="s">
        <v>2505</v>
      </c>
      <c r="E426" s="151">
        <v>5</v>
      </c>
      <c r="F426" s="152" t="s">
        <v>373</v>
      </c>
      <c r="G426" s="151">
        <v>8</v>
      </c>
      <c r="H426" s="153" t="s">
        <v>2240</v>
      </c>
    </row>
    <row r="427" spans="1:8" ht="31.5" hidden="1">
      <c r="A427" s="149" t="s">
        <v>2506</v>
      </c>
      <c r="B427" s="150" t="s">
        <v>2507</v>
      </c>
      <c r="C427" s="149" t="s">
        <v>2508</v>
      </c>
      <c r="D427" s="149" t="s">
        <v>2509</v>
      </c>
      <c r="E427" s="151">
        <v>5</v>
      </c>
      <c r="F427" s="152" t="s">
        <v>209</v>
      </c>
      <c r="G427" s="151">
        <v>8</v>
      </c>
      <c r="H427" s="153" t="s">
        <v>2240</v>
      </c>
    </row>
    <row r="428" spans="1:8" ht="31.5" hidden="1">
      <c r="A428" s="149" t="s">
        <v>2510</v>
      </c>
      <c r="B428" s="150" t="s">
        <v>2511</v>
      </c>
      <c r="C428" s="149" t="s">
        <v>2512</v>
      </c>
      <c r="D428" s="149" t="s">
        <v>2513</v>
      </c>
      <c r="E428" s="151">
        <v>5</v>
      </c>
      <c r="F428" s="152" t="s">
        <v>209</v>
      </c>
      <c r="G428" s="151">
        <v>8</v>
      </c>
      <c r="H428" s="153" t="s">
        <v>2240</v>
      </c>
    </row>
    <row r="429" spans="1:8" ht="15.75" hidden="1">
      <c r="A429" s="149" t="s">
        <v>2514</v>
      </c>
      <c r="B429" s="150" t="s">
        <v>2515</v>
      </c>
      <c r="C429" s="149" t="s">
        <v>2516</v>
      </c>
      <c r="D429" s="149" t="s">
        <v>2517</v>
      </c>
      <c r="E429" s="151">
        <v>5</v>
      </c>
      <c r="F429" s="152" t="s">
        <v>373</v>
      </c>
      <c r="G429" s="151">
        <v>8</v>
      </c>
      <c r="H429" s="153" t="s">
        <v>2240</v>
      </c>
    </row>
    <row r="430" spans="1:8" ht="15.75" hidden="1">
      <c r="A430" s="149" t="s">
        <v>2518</v>
      </c>
      <c r="B430" s="150" t="s">
        <v>2519</v>
      </c>
      <c r="C430" s="149" t="s">
        <v>2520</v>
      </c>
      <c r="D430" s="149" t="s">
        <v>2521</v>
      </c>
      <c r="E430" s="151">
        <v>5</v>
      </c>
      <c r="F430" s="152" t="s">
        <v>373</v>
      </c>
      <c r="G430" s="151">
        <v>8</v>
      </c>
      <c r="H430" s="153" t="s">
        <v>2240</v>
      </c>
    </row>
    <row r="431" spans="1:8" ht="15.75" hidden="1">
      <c r="A431" s="149" t="s">
        <v>2522</v>
      </c>
      <c r="B431" s="150" t="s">
        <v>2523</v>
      </c>
      <c r="C431" s="149" t="s">
        <v>2524</v>
      </c>
      <c r="D431" s="149" t="s">
        <v>2525</v>
      </c>
      <c r="E431" s="151">
        <v>5</v>
      </c>
      <c r="F431" s="152" t="s">
        <v>373</v>
      </c>
      <c r="G431" s="151">
        <v>8</v>
      </c>
      <c r="H431" s="153" t="s">
        <v>2240</v>
      </c>
    </row>
    <row r="432" spans="1:8" ht="31.5" hidden="1">
      <c r="A432" s="149" t="s">
        <v>2526</v>
      </c>
      <c r="B432" s="150" t="s">
        <v>2527</v>
      </c>
      <c r="C432" s="149" t="s">
        <v>2528</v>
      </c>
      <c r="D432" s="149" t="s">
        <v>2529</v>
      </c>
      <c r="E432" s="151">
        <v>5</v>
      </c>
      <c r="F432" s="152" t="s">
        <v>373</v>
      </c>
      <c r="G432" s="151">
        <v>8</v>
      </c>
      <c r="H432" s="153" t="s">
        <v>2240</v>
      </c>
    </row>
    <row r="433" spans="1:8" ht="31.5" hidden="1">
      <c r="A433" s="149" t="s">
        <v>2530</v>
      </c>
      <c r="B433" s="150" t="s">
        <v>2531</v>
      </c>
      <c r="C433" s="149" t="s">
        <v>2532</v>
      </c>
      <c r="D433" s="149" t="s">
        <v>2533</v>
      </c>
      <c r="E433" s="151">
        <v>5</v>
      </c>
      <c r="F433" s="152" t="s">
        <v>373</v>
      </c>
      <c r="G433" s="151">
        <v>8</v>
      </c>
      <c r="H433" s="153" t="s">
        <v>2240</v>
      </c>
    </row>
    <row r="434" spans="1:8" ht="15.75" hidden="1">
      <c r="A434" s="149" t="s">
        <v>2534</v>
      </c>
      <c r="B434" s="150" t="s">
        <v>2535</v>
      </c>
      <c r="C434" s="149" t="s">
        <v>2536</v>
      </c>
      <c r="D434" s="149" t="s">
        <v>2537</v>
      </c>
      <c r="E434" s="151">
        <v>5</v>
      </c>
      <c r="F434" s="152" t="s">
        <v>209</v>
      </c>
      <c r="G434" s="151">
        <v>8</v>
      </c>
      <c r="H434" s="153" t="s">
        <v>2240</v>
      </c>
    </row>
    <row r="435" spans="1:8" ht="31.5" hidden="1">
      <c r="A435" s="149" t="s">
        <v>2538</v>
      </c>
      <c r="B435" s="150" t="s">
        <v>2539</v>
      </c>
      <c r="C435" s="149" t="s">
        <v>2540</v>
      </c>
      <c r="D435" s="149" t="s">
        <v>2540</v>
      </c>
      <c r="E435" s="151">
        <v>5</v>
      </c>
      <c r="F435" s="152" t="s">
        <v>209</v>
      </c>
      <c r="G435" s="151">
        <v>8</v>
      </c>
      <c r="H435" s="153" t="s">
        <v>2240</v>
      </c>
    </row>
    <row r="436" spans="1:8" ht="31.5" hidden="1">
      <c r="A436" s="149" t="s">
        <v>2541</v>
      </c>
      <c r="B436" s="150" t="s">
        <v>2542</v>
      </c>
      <c r="C436" s="149" t="s">
        <v>2542</v>
      </c>
      <c r="D436" s="149" t="s">
        <v>2543</v>
      </c>
      <c r="E436" s="151">
        <v>12</v>
      </c>
      <c r="F436" s="152" t="s">
        <v>300</v>
      </c>
      <c r="G436" s="151">
        <v>8</v>
      </c>
      <c r="H436" s="153" t="s">
        <v>2240</v>
      </c>
    </row>
    <row r="437" spans="1:8" ht="15.75" hidden="1">
      <c r="A437" s="149" t="s">
        <v>2544</v>
      </c>
      <c r="B437" s="150" t="s">
        <v>2545</v>
      </c>
      <c r="C437" s="149" t="s">
        <v>2546</v>
      </c>
      <c r="D437" s="149" t="s">
        <v>2547</v>
      </c>
      <c r="E437" s="151">
        <v>5</v>
      </c>
      <c r="F437" s="152" t="s">
        <v>373</v>
      </c>
      <c r="G437" s="151">
        <v>8</v>
      </c>
      <c r="H437" s="153" t="s">
        <v>2548</v>
      </c>
    </row>
    <row r="438" spans="1:8" ht="31.5" hidden="1">
      <c r="A438" s="149" t="s">
        <v>2549</v>
      </c>
      <c r="B438" s="150" t="s">
        <v>2550</v>
      </c>
      <c r="C438" s="149" t="s">
        <v>2551</v>
      </c>
      <c r="D438" s="149" t="s">
        <v>2552</v>
      </c>
      <c r="E438" s="151">
        <v>5</v>
      </c>
      <c r="F438" s="152" t="s">
        <v>373</v>
      </c>
      <c r="G438" s="151">
        <v>8</v>
      </c>
      <c r="H438" s="153" t="s">
        <v>2548</v>
      </c>
    </row>
    <row r="439" spans="1:8" ht="15.75" hidden="1">
      <c r="A439" s="149" t="s">
        <v>2553</v>
      </c>
      <c r="B439" s="150" t="s">
        <v>2554</v>
      </c>
      <c r="C439" s="149" t="s">
        <v>2555</v>
      </c>
      <c r="D439" s="149" t="s">
        <v>2556</v>
      </c>
      <c r="E439" s="151">
        <v>5</v>
      </c>
      <c r="F439" s="152" t="s">
        <v>373</v>
      </c>
      <c r="G439" s="151">
        <v>8</v>
      </c>
      <c r="H439" s="153" t="s">
        <v>2548</v>
      </c>
    </row>
    <row r="440" spans="1:8" ht="15.75" hidden="1">
      <c r="A440" s="149" t="s">
        <v>2557</v>
      </c>
      <c r="B440" s="150" t="s">
        <v>2558</v>
      </c>
      <c r="C440" s="149" t="s">
        <v>2559</v>
      </c>
      <c r="D440" s="149" t="s">
        <v>2560</v>
      </c>
      <c r="E440" s="151">
        <v>5</v>
      </c>
      <c r="F440" s="152" t="s">
        <v>373</v>
      </c>
      <c r="G440" s="151">
        <v>8</v>
      </c>
      <c r="H440" s="153" t="s">
        <v>2548</v>
      </c>
    </row>
    <row r="441" spans="1:8" ht="31.5" hidden="1">
      <c r="A441" s="149" t="s">
        <v>2561</v>
      </c>
      <c r="B441" s="150" t="s">
        <v>2562</v>
      </c>
      <c r="C441" s="149" t="s">
        <v>2563</v>
      </c>
      <c r="D441" s="149" t="s">
        <v>2564</v>
      </c>
      <c r="E441" s="151">
        <v>5</v>
      </c>
      <c r="F441" s="152" t="s">
        <v>373</v>
      </c>
      <c r="G441" s="151">
        <v>8</v>
      </c>
      <c r="H441" s="153" t="s">
        <v>2548</v>
      </c>
    </row>
    <row r="442" spans="1:8" ht="15.75" hidden="1">
      <c r="A442" s="149" t="s">
        <v>2565</v>
      </c>
      <c r="B442" s="150" t="s">
        <v>2566</v>
      </c>
      <c r="C442" s="149" t="s">
        <v>2567</v>
      </c>
      <c r="D442" s="149" t="s">
        <v>2568</v>
      </c>
      <c r="E442" s="151">
        <v>5</v>
      </c>
      <c r="F442" s="152" t="s">
        <v>373</v>
      </c>
      <c r="G442" s="151">
        <v>8</v>
      </c>
      <c r="H442" s="153" t="s">
        <v>2548</v>
      </c>
    </row>
    <row r="443" spans="1:8" ht="31.5" hidden="1">
      <c r="A443" s="149" t="s">
        <v>2569</v>
      </c>
      <c r="B443" s="150" t="s">
        <v>2570</v>
      </c>
      <c r="C443" s="149" t="s">
        <v>2571</v>
      </c>
      <c r="D443" s="149" t="s">
        <v>2572</v>
      </c>
      <c r="E443" s="151">
        <v>5</v>
      </c>
      <c r="F443" s="152" t="s">
        <v>373</v>
      </c>
      <c r="G443" s="151">
        <v>8</v>
      </c>
      <c r="H443" s="153" t="s">
        <v>2548</v>
      </c>
    </row>
    <row r="444" spans="1:8" ht="15.75" hidden="1">
      <c r="A444" s="149" t="s">
        <v>2573</v>
      </c>
      <c r="B444" s="150" t="s">
        <v>2574</v>
      </c>
      <c r="C444" s="149" t="s">
        <v>2575</v>
      </c>
      <c r="D444" s="149" t="s">
        <v>2576</v>
      </c>
      <c r="E444" s="151">
        <v>5</v>
      </c>
      <c r="F444" s="152" t="s">
        <v>209</v>
      </c>
      <c r="G444" s="151">
        <v>8</v>
      </c>
      <c r="H444" s="153" t="s">
        <v>2548</v>
      </c>
    </row>
    <row r="445" spans="1:8" ht="15.75" hidden="1">
      <c r="A445" s="149" t="s">
        <v>2577</v>
      </c>
      <c r="B445" s="150" t="s">
        <v>2578</v>
      </c>
      <c r="C445" s="149" t="s">
        <v>2579</v>
      </c>
      <c r="D445" s="149" t="s">
        <v>2580</v>
      </c>
      <c r="E445" s="151">
        <v>5</v>
      </c>
      <c r="F445" s="152" t="s">
        <v>209</v>
      </c>
      <c r="G445" s="151">
        <v>8</v>
      </c>
      <c r="H445" s="153" t="s">
        <v>2548</v>
      </c>
    </row>
    <row r="446" spans="1:8" ht="15.75" hidden="1">
      <c r="A446" s="149" t="s">
        <v>2581</v>
      </c>
      <c r="B446" s="150" t="s">
        <v>2582</v>
      </c>
      <c r="C446" s="149" t="s">
        <v>2583</v>
      </c>
      <c r="D446" s="149" t="s">
        <v>2584</v>
      </c>
      <c r="E446" s="151">
        <v>5</v>
      </c>
      <c r="F446" s="152" t="s">
        <v>373</v>
      </c>
      <c r="G446" s="151">
        <v>8</v>
      </c>
      <c r="H446" s="153" t="s">
        <v>2548</v>
      </c>
    </row>
    <row r="447" spans="1:8" ht="15.75" hidden="1">
      <c r="A447" s="149" t="s">
        <v>2585</v>
      </c>
      <c r="B447" s="150" t="s">
        <v>2586</v>
      </c>
      <c r="C447" s="149" t="s">
        <v>2586</v>
      </c>
      <c r="D447" s="149" t="s">
        <v>2587</v>
      </c>
      <c r="E447" s="151">
        <v>5</v>
      </c>
      <c r="F447" s="152" t="s">
        <v>373</v>
      </c>
      <c r="G447" s="151">
        <v>8</v>
      </c>
      <c r="H447" s="153" t="s">
        <v>2548</v>
      </c>
    </row>
    <row r="448" spans="1:8" ht="15.75" hidden="1">
      <c r="A448" s="149" t="s">
        <v>2588</v>
      </c>
      <c r="B448" s="150" t="s">
        <v>2589</v>
      </c>
      <c r="C448" s="149" t="s">
        <v>2590</v>
      </c>
      <c r="D448" s="149" t="s">
        <v>2591</v>
      </c>
      <c r="E448" s="151">
        <v>6</v>
      </c>
      <c r="F448" s="152" t="s">
        <v>373</v>
      </c>
      <c r="G448" s="151">
        <v>8</v>
      </c>
      <c r="H448" s="153" t="s">
        <v>2548</v>
      </c>
    </row>
    <row r="449" spans="1:8" ht="15.75" hidden="1">
      <c r="A449" s="149" t="s">
        <v>2592</v>
      </c>
      <c r="B449" s="150" t="s">
        <v>2593</v>
      </c>
      <c r="C449" s="149" t="s">
        <v>2594</v>
      </c>
      <c r="D449" s="149" t="s">
        <v>2595</v>
      </c>
      <c r="E449" s="151">
        <v>6</v>
      </c>
      <c r="F449" s="152" t="s">
        <v>373</v>
      </c>
      <c r="G449" s="151">
        <v>8</v>
      </c>
      <c r="H449" s="153" t="s">
        <v>2548</v>
      </c>
    </row>
    <row r="450" spans="1:8" ht="15.75" hidden="1">
      <c r="A450" s="149" t="s">
        <v>2596</v>
      </c>
      <c r="B450" s="150" t="s">
        <v>2597</v>
      </c>
      <c r="C450" s="149" t="s">
        <v>2598</v>
      </c>
      <c r="D450" s="149" t="s">
        <v>2599</v>
      </c>
      <c r="E450" s="151">
        <v>6</v>
      </c>
      <c r="F450" s="152" t="s">
        <v>373</v>
      </c>
      <c r="G450" s="151">
        <v>8</v>
      </c>
      <c r="H450" s="153" t="s">
        <v>2548</v>
      </c>
    </row>
    <row r="451" spans="1:8" ht="15.75" hidden="1">
      <c r="A451" s="149" t="s">
        <v>2600</v>
      </c>
      <c r="B451" s="150" t="s">
        <v>2601</v>
      </c>
      <c r="C451" s="149" t="s">
        <v>2602</v>
      </c>
      <c r="D451" s="149" t="s">
        <v>2603</v>
      </c>
      <c r="E451" s="151">
        <v>6</v>
      </c>
      <c r="F451" s="152" t="s">
        <v>373</v>
      </c>
      <c r="G451" s="151">
        <v>8</v>
      </c>
      <c r="H451" s="153" t="s">
        <v>2548</v>
      </c>
    </row>
    <row r="452" spans="1:8" ht="15.75" hidden="1">
      <c r="A452" s="149" t="s">
        <v>2604</v>
      </c>
      <c r="B452" s="150" t="s">
        <v>2605</v>
      </c>
      <c r="C452" s="149" t="s">
        <v>2606</v>
      </c>
      <c r="D452" s="149" t="s">
        <v>2607</v>
      </c>
      <c r="E452" s="151">
        <v>6</v>
      </c>
      <c r="F452" s="152" t="s">
        <v>373</v>
      </c>
      <c r="G452" s="151">
        <v>8</v>
      </c>
      <c r="H452" s="153" t="s">
        <v>2548</v>
      </c>
    </row>
    <row r="453" spans="1:8" ht="15.75" hidden="1">
      <c r="A453" s="149" t="s">
        <v>2608</v>
      </c>
      <c r="B453" s="150" t="s">
        <v>2609</v>
      </c>
      <c r="C453" s="149" t="s">
        <v>2610</v>
      </c>
      <c r="D453" s="149" t="s">
        <v>2611</v>
      </c>
      <c r="E453" s="151">
        <v>6</v>
      </c>
      <c r="F453" s="152" t="s">
        <v>373</v>
      </c>
      <c r="G453" s="151">
        <v>8</v>
      </c>
      <c r="H453" s="153" t="s">
        <v>2548</v>
      </c>
    </row>
    <row r="454" spans="1:8" ht="15.75" hidden="1">
      <c r="A454" s="149" t="s">
        <v>2612</v>
      </c>
      <c r="B454" s="150" t="s">
        <v>2613</v>
      </c>
      <c r="C454" s="149" t="s">
        <v>2614</v>
      </c>
      <c r="D454" s="149" t="s">
        <v>2615</v>
      </c>
      <c r="E454" s="151">
        <v>6</v>
      </c>
      <c r="F454" s="152" t="s">
        <v>373</v>
      </c>
      <c r="G454" s="151">
        <v>8</v>
      </c>
      <c r="H454" s="153" t="s">
        <v>2548</v>
      </c>
    </row>
    <row r="455" spans="1:8" ht="15.75" hidden="1">
      <c r="A455" s="149" t="s">
        <v>2616</v>
      </c>
      <c r="B455" s="150" t="s">
        <v>2617</v>
      </c>
      <c r="C455" s="149" t="s">
        <v>2618</v>
      </c>
      <c r="D455" s="149" t="s">
        <v>2619</v>
      </c>
      <c r="E455" s="151">
        <v>6</v>
      </c>
      <c r="F455" s="152" t="s">
        <v>373</v>
      </c>
      <c r="G455" s="151">
        <v>8</v>
      </c>
      <c r="H455" s="153" t="s">
        <v>2548</v>
      </c>
    </row>
    <row r="456" spans="1:8" ht="15.75" hidden="1">
      <c r="A456" s="149" t="s">
        <v>2620</v>
      </c>
      <c r="B456" s="150" t="s">
        <v>2621</v>
      </c>
      <c r="C456" s="149" t="s">
        <v>2622</v>
      </c>
      <c r="D456" s="149" t="s">
        <v>2623</v>
      </c>
      <c r="E456" s="151">
        <v>6</v>
      </c>
      <c r="F456" s="152" t="s">
        <v>373</v>
      </c>
      <c r="G456" s="151">
        <v>8</v>
      </c>
      <c r="H456" s="153" t="s">
        <v>2548</v>
      </c>
    </row>
    <row r="457" spans="1:8" ht="15.75" hidden="1">
      <c r="A457" s="149" t="s">
        <v>2624</v>
      </c>
      <c r="B457" s="150" t="s">
        <v>2625</v>
      </c>
      <c r="C457" s="149" t="s">
        <v>2626</v>
      </c>
      <c r="D457" s="149" t="s">
        <v>2627</v>
      </c>
      <c r="E457" s="151">
        <v>6</v>
      </c>
      <c r="F457" s="152" t="s">
        <v>373</v>
      </c>
      <c r="G457" s="151">
        <v>8</v>
      </c>
      <c r="H457" s="153" t="s">
        <v>2548</v>
      </c>
    </row>
    <row r="458" spans="1:8" ht="15.75" hidden="1">
      <c r="A458" s="149" t="s">
        <v>2628</v>
      </c>
      <c r="B458" s="150" t="s">
        <v>2629</v>
      </c>
      <c r="C458" s="149" t="s">
        <v>2630</v>
      </c>
      <c r="D458" s="149" t="s">
        <v>2631</v>
      </c>
      <c r="E458" s="151">
        <v>6</v>
      </c>
      <c r="F458" s="152" t="s">
        <v>373</v>
      </c>
      <c r="G458" s="151">
        <v>8</v>
      </c>
      <c r="H458" s="153" t="s">
        <v>2548</v>
      </c>
    </row>
    <row r="459" spans="1:8" ht="15.75" hidden="1">
      <c r="A459" s="149" t="s">
        <v>2632</v>
      </c>
      <c r="B459" s="150" t="s">
        <v>2633</v>
      </c>
      <c r="C459" s="149" t="s">
        <v>2634</v>
      </c>
      <c r="D459" s="149" t="s">
        <v>2635</v>
      </c>
      <c r="E459" s="151">
        <v>6</v>
      </c>
      <c r="F459" s="152" t="s">
        <v>373</v>
      </c>
      <c r="G459" s="151">
        <v>8</v>
      </c>
      <c r="H459" s="153" t="s">
        <v>2548</v>
      </c>
    </row>
    <row r="460" spans="1:8" ht="31.5" hidden="1">
      <c r="A460" s="149" t="s">
        <v>2636</v>
      </c>
      <c r="B460" s="150" t="s">
        <v>2637</v>
      </c>
      <c r="C460" s="149" t="s">
        <v>2638</v>
      </c>
      <c r="D460" s="149" t="s">
        <v>2639</v>
      </c>
      <c r="E460" s="151">
        <v>6</v>
      </c>
      <c r="F460" s="152" t="s">
        <v>373</v>
      </c>
      <c r="G460" s="151">
        <v>8</v>
      </c>
      <c r="H460" s="153" t="s">
        <v>2548</v>
      </c>
    </row>
    <row r="461" spans="1:8" ht="31.5" hidden="1">
      <c r="A461" s="149" t="s">
        <v>2640</v>
      </c>
      <c r="B461" s="150" t="s">
        <v>2641</v>
      </c>
      <c r="C461" s="149" t="s">
        <v>2642</v>
      </c>
      <c r="D461" s="149" t="s">
        <v>2643</v>
      </c>
      <c r="E461" s="151">
        <v>6</v>
      </c>
      <c r="F461" s="152" t="s">
        <v>373</v>
      </c>
      <c r="G461" s="151">
        <v>8</v>
      </c>
      <c r="H461" s="153" t="s">
        <v>2548</v>
      </c>
    </row>
    <row r="462" spans="1:8" ht="31.5" hidden="1">
      <c r="A462" s="149" t="s">
        <v>2644</v>
      </c>
      <c r="B462" s="150" t="s">
        <v>2645</v>
      </c>
      <c r="C462" s="149" t="s">
        <v>2646</v>
      </c>
      <c r="D462" s="149" t="s">
        <v>2647</v>
      </c>
      <c r="E462" s="151">
        <v>7</v>
      </c>
      <c r="F462" s="152" t="s">
        <v>373</v>
      </c>
      <c r="G462" s="151">
        <v>8</v>
      </c>
      <c r="H462" s="153" t="s">
        <v>2548</v>
      </c>
    </row>
    <row r="463" spans="1:8" ht="31.5" hidden="1">
      <c r="A463" s="149" t="s">
        <v>2648</v>
      </c>
      <c r="B463" s="150" t="s">
        <v>2649</v>
      </c>
      <c r="C463" s="149" t="s">
        <v>2650</v>
      </c>
      <c r="D463" s="149" t="s">
        <v>2651</v>
      </c>
      <c r="E463" s="151">
        <v>7</v>
      </c>
      <c r="F463" s="152" t="s">
        <v>373</v>
      </c>
      <c r="G463" s="151">
        <v>8</v>
      </c>
      <c r="H463" s="153" t="s">
        <v>2548</v>
      </c>
    </row>
    <row r="464" spans="1:8" ht="31.5" hidden="1">
      <c r="A464" s="149" t="s">
        <v>2652</v>
      </c>
      <c r="B464" s="150" t="s">
        <v>2653</v>
      </c>
      <c r="C464" s="149" t="s">
        <v>2654</v>
      </c>
      <c r="D464" s="149" t="s">
        <v>2655</v>
      </c>
      <c r="E464" s="151">
        <v>7</v>
      </c>
      <c r="F464" s="152" t="s">
        <v>373</v>
      </c>
      <c r="G464" s="151">
        <v>8</v>
      </c>
      <c r="H464" s="153" t="s">
        <v>2548</v>
      </c>
    </row>
    <row r="465" spans="1:8" ht="31.5" hidden="1">
      <c r="A465" s="149" t="s">
        <v>2656</v>
      </c>
      <c r="B465" s="150" t="s">
        <v>2657</v>
      </c>
      <c r="C465" s="149" t="s">
        <v>2658</v>
      </c>
      <c r="D465" s="149" t="s">
        <v>2659</v>
      </c>
      <c r="E465" s="151">
        <v>7</v>
      </c>
      <c r="F465" s="152" t="s">
        <v>373</v>
      </c>
      <c r="G465" s="151">
        <v>8</v>
      </c>
      <c r="H465" s="153" t="s">
        <v>2548</v>
      </c>
    </row>
    <row r="466" spans="1:8" ht="31.5" hidden="1">
      <c r="A466" s="149" t="s">
        <v>2660</v>
      </c>
      <c r="B466" s="150" t="s">
        <v>2661</v>
      </c>
      <c r="C466" s="149" t="s">
        <v>2662</v>
      </c>
      <c r="D466" s="149" t="s">
        <v>2663</v>
      </c>
      <c r="E466" s="151">
        <v>7</v>
      </c>
      <c r="F466" s="152" t="s">
        <v>373</v>
      </c>
      <c r="G466" s="151">
        <v>8</v>
      </c>
      <c r="H466" s="153" t="s">
        <v>2548</v>
      </c>
    </row>
    <row r="467" spans="1:8" ht="31.5" hidden="1">
      <c r="A467" s="149" t="s">
        <v>2664</v>
      </c>
      <c r="B467" s="150" t="s">
        <v>2665</v>
      </c>
      <c r="C467" s="149" t="s">
        <v>2666</v>
      </c>
      <c r="D467" s="149" t="s">
        <v>2667</v>
      </c>
      <c r="E467" s="151">
        <v>7</v>
      </c>
      <c r="F467" s="152" t="s">
        <v>373</v>
      </c>
      <c r="G467" s="151">
        <v>8</v>
      </c>
      <c r="H467" s="153" t="s">
        <v>2548</v>
      </c>
    </row>
    <row r="468" spans="1:8" ht="31.5" hidden="1">
      <c r="A468" s="149" t="s">
        <v>2668</v>
      </c>
      <c r="B468" s="150" t="s">
        <v>2669</v>
      </c>
      <c r="C468" s="149" t="s">
        <v>2670</v>
      </c>
      <c r="D468" s="149" t="s">
        <v>2671</v>
      </c>
      <c r="E468" s="151">
        <v>7</v>
      </c>
      <c r="F468" s="152" t="s">
        <v>373</v>
      </c>
      <c r="G468" s="151">
        <v>8</v>
      </c>
      <c r="H468" s="153" t="s">
        <v>2548</v>
      </c>
    </row>
    <row r="469" spans="1:8" ht="31.5" hidden="1">
      <c r="A469" s="149" t="s">
        <v>2672</v>
      </c>
      <c r="B469" s="150" t="s">
        <v>2673</v>
      </c>
      <c r="C469" s="149" t="s">
        <v>2674</v>
      </c>
      <c r="D469" s="149" t="s">
        <v>2675</v>
      </c>
      <c r="E469" s="151">
        <v>7</v>
      </c>
      <c r="F469" s="152" t="s">
        <v>373</v>
      </c>
      <c r="G469" s="151">
        <v>8</v>
      </c>
      <c r="H469" s="153" t="s">
        <v>2548</v>
      </c>
    </row>
    <row r="470" spans="1:8" ht="31.5" hidden="1">
      <c r="A470" s="149" t="s">
        <v>2676</v>
      </c>
      <c r="B470" s="150" t="s">
        <v>2677</v>
      </c>
      <c r="C470" s="149" t="s">
        <v>2678</v>
      </c>
      <c r="D470" s="149" t="s">
        <v>2679</v>
      </c>
      <c r="E470" s="151">
        <v>7</v>
      </c>
      <c r="F470" s="152" t="s">
        <v>373</v>
      </c>
      <c r="G470" s="151">
        <v>8</v>
      </c>
      <c r="H470" s="153" t="s">
        <v>2548</v>
      </c>
    </row>
    <row r="471" spans="1:8" ht="31.5" hidden="1">
      <c r="A471" s="149" t="s">
        <v>2680</v>
      </c>
      <c r="B471" s="150" t="s">
        <v>2681</v>
      </c>
      <c r="C471" s="149" t="s">
        <v>2682</v>
      </c>
      <c r="D471" s="149" t="s">
        <v>2683</v>
      </c>
      <c r="E471" s="151">
        <v>7</v>
      </c>
      <c r="F471" s="152" t="s">
        <v>373</v>
      </c>
      <c r="G471" s="151">
        <v>8</v>
      </c>
      <c r="H471" s="153" t="s">
        <v>2548</v>
      </c>
    </row>
    <row r="472" spans="1:8" ht="15.75" hidden="1">
      <c r="A472" s="149" t="s">
        <v>2684</v>
      </c>
      <c r="B472" s="150" t="s">
        <v>2685</v>
      </c>
      <c r="C472" s="149" t="s">
        <v>2686</v>
      </c>
      <c r="D472" s="149" t="s">
        <v>2687</v>
      </c>
      <c r="E472" s="151">
        <v>7</v>
      </c>
      <c r="F472" s="152" t="s">
        <v>373</v>
      </c>
      <c r="G472" s="151">
        <v>8</v>
      </c>
      <c r="H472" s="153" t="s">
        <v>2548</v>
      </c>
    </row>
    <row r="473" spans="1:8" ht="31.5" hidden="1">
      <c r="A473" s="149" t="s">
        <v>2688</v>
      </c>
      <c r="B473" s="150" t="s">
        <v>2689</v>
      </c>
      <c r="C473" s="149" t="s">
        <v>2690</v>
      </c>
      <c r="D473" s="149" t="s">
        <v>2691</v>
      </c>
      <c r="E473" s="151">
        <v>7</v>
      </c>
      <c r="F473" s="152" t="s">
        <v>373</v>
      </c>
      <c r="G473" s="151">
        <v>8</v>
      </c>
      <c r="H473" s="153" t="s">
        <v>2548</v>
      </c>
    </row>
    <row r="474" spans="1:8" ht="15.75" hidden="1">
      <c r="A474" s="149" t="s">
        <v>2692</v>
      </c>
      <c r="B474" s="150" t="s">
        <v>2693</v>
      </c>
      <c r="C474" s="149" t="s">
        <v>2694</v>
      </c>
      <c r="D474" s="149" t="s">
        <v>2695</v>
      </c>
      <c r="E474" s="151">
        <v>7</v>
      </c>
      <c r="F474" s="152" t="s">
        <v>373</v>
      </c>
      <c r="G474" s="151">
        <v>8</v>
      </c>
      <c r="H474" s="153" t="s">
        <v>2548</v>
      </c>
    </row>
    <row r="475" spans="1:8" ht="15.75" hidden="1">
      <c r="A475" s="149" t="s">
        <v>2696</v>
      </c>
      <c r="B475" s="150" t="s">
        <v>2697</v>
      </c>
      <c r="C475" s="149" t="s">
        <v>2698</v>
      </c>
      <c r="D475" s="149" t="s">
        <v>2699</v>
      </c>
      <c r="E475" s="151">
        <v>7</v>
      </c>
      <c r="F475" s="152" t="s">
        <v>373</v>
      </c>
      <c r="G475" s="151">
        <v>8</v>
      </c>
      <c r="H475" s="153" t="s">
        <v>2548</v>
      </c>
    </row>
    <row r="476" spans="1:8" ht="15.75" hidden="1">
      <c r="A476" s="149" t="s">
        <v>2700</v>
      </c>
      <c r="B476" s="150" t="s">
        <v>2701</v>
      </c>
      <c r="C476" s="149" t="s">
        <v>2702</v>
      </c>
      <c r="D476" s="149" t="s">
        <v>2703</v>
      </c>
      <c r="E476" s="151">
        <v>7</v>
      </c>
      <c r="F476" s="152" t="s">
        <v>373</v>
      </c>
      <c r="G476" s="151">
        <v>8</v>
      </c>
      <c r="H476" s="153" t="s">
        <v>2548</v>
      </c>
    </row>
    <row r="477" spans="1:8" ht="15.75" hidden="1">
      <c r="A477" s="149" t="s">
        <v>2704</v>
      </c>
      <c r="B477" s="150" t="s">
        <v>2705</v>
      </c>
      <c r="C477" s="149" t="s">
        <v>2706</v>
      </c>
      <c r="D477" s="149" t="s">
        <v>2707</v>
      </c>
      <c r="E477" s="151">
        <v>7</v>
      </c>
      <c r="F477" s="152" t="s">
        <v>373</v>
      </c>
      <c r="G477" s="151">
        <v>8</v>
      </c>
      <c r="H477" s="153" t="s">
        <v>2548</v>
      </c>
    </row>
    <row r="478" spans="1:8" ht="15.75" hidden="1">
      <c r="A478" s="149" t="s">
        <v>2708</v>
      </c>
      <c r="B478" s="150" t="s">
        <v>2709</v>
      </c>
      <c r="C478" s="149" t="s">
        <v>2710</v>
      </c>
      <c r="D478" s="149" t="s">
        <v>2711</v>
      </c>
      <c r="E478" s="151">
        <v>7</v>
      </c>
      <c r="F478" s="152" t="s">
        <v>373</v>
      </c>
      <c r="G478" s="151">
        <v>8</v>
      </c>
      <c r="H478" s="153" t="s">
        <v>2548</v>
      </c>
    </row>
    <row r="479" spans="1:8" ht="15.75" hidden="1">
      <c r="A479" s="149" t="s">
        <v>2712</v>
      </c>
      <c r="B479" s="150" t="s">
        <v>2713</v>
      </c>
      <c r="C479" s="149" t="s">
        <v>2714</v>
      </c>
      <c r="D479" s="149" t="s">
        <v>2715</v>
      </c>
      <c r="E479" s="151">
        <v>7</v>
      </c>
      <c r="F479" s="152" t="s">
        <v>373</v>
      </c>
      <c r="G479" s="151">
        <v>8</v>
      </c>
      <c r="H479" s="153" t="s">
        <v>2548</v>
      </c>
    </row>
    <row r="480" spans="1:8" ht="31.5" hidden="1">
      <c r="A480" s="149" t="s">
        <v>2716</v>
      </c>
      <c r="B480" s="150" t="s">
        <v>2717</v>
      </c>
      <c r="C480" s="149" t="s">
        <v>2718</v>
      </c>
      <c r="D480" s="149" t="s">
        <v>2719</v>
      </c>
      <c r="E480" s="151">
        <v>7</v>
      </c>
      <c r="F480" s="152" t="s">
        <v>373</v>
      </c>
      <c r="G480" s="151">
        <v>8</v>
      </c>
      <c r="H480" s="153" t="s">
        <v>2548</v>
      </c>
    </row>
    <row r="481" spans="1:8" ht="31.5" hidden="1">
      <c r="A481" s="149" t="s">
        <v>2720</v>
      </c>
      <c r="B481" s="150" t="s">
        <v>2721</v>
      </c>
      <c r="C481" s="149" t="s">
        <v>2722</v>
      </c>
      <c r="D481" s="149" t="s">
        <v>2723</v>
      </c>
      <c r="E481" s="151">
        <v>7</v>
      </c>
      <c r="F481" s="152" t="s">
        <v>373</v>
      </c>
      <c r="G481" s="151">
        <v>8</v>
      </c>
      <c r="H481" s="153" t="s">
        <v>2548</v>
      </c>
    </row>
    <row r="482" spans="1:8" ht="15.75" hidden="1">
      <c r="A482" s="149" t="s">
        <v>2724</v>
      </c>
      <c r="B482" s="150" t="s">
        <v>2725</v>
      </c>
      <c r="C482" s="149" t="s">
        <v>2726</v>
      </c>
      <c r="D482" s="149" t="s">
        <v>2727</v>
      </c>
      <c r="E482" s="151">
        <v>7</v>
      </c>
      <c r="F482" s="152" t="s">
        <v>373</v>
      </c>
      <c r="G482" s="151">
        <v>8</v>
      </c>
      <c r="H482" s="153" t="s">
        <v>2548</v>
      </c>
    </row>
    <row r="483" spans="1:8" ht="15.75" hidden="1">
      <c r="A483" s="149" t="s">
        <v>2728</v>
      </c>
      <c r="B483" s="150" t="s">
        <v>2729</v>
      </c>
      <c r="C483" s="149" t="s">
        <v>2730</v>
      </c>
      <c r="D483" s="149" t="s">
        <v>2731</v>
      </c>
      <c r="E483" s="151">
        <v>7</v>
      </c>
      <c r="F483" s="152" t="s">
        <v>373</v>
      </c>
      <c r="G483" s="151">
        <v>8</v>
      </c>
      <c r="H483" s="153" t="s">
        <v>2548</v>
      </c>
    </row>
    <row r="484" spans="1:8" ht="31.5" hidden="1">
      <c r="A484" s="149" t="s">
        <v>2732</v>
      </c>
      <c r="B484" s="150" t="s">
        <v>2733</v>
      </c>
      <c r="C484" s="149" t="s">
        <v>2734</v>
      </c>
      <c r="D484" s="149" t="s">
        <v>2735</v>
      </c>
      <c r="E484" s="151">
        <v>7</v>
      </c>
      <c r="F484" s="152" t="s">
        <v>373</v>
      </c>
      <c r="G484" s="151">
        <v>8</v>
      </c>
      <c r="H484" s="153" t="s">
        <v>2548</v>
      </c>
    </row>
    <row r="485" spans="1:8" ht="15.75" hidden="1">
      <c r="A485" s="149" t="s">
        <v>2736</v>
      </c>
      <c r="B485" s="150" t="s">
        <v>2737</v>
      </c>
      <c r="C485" s="149" t="s">
        <v>2738</v>
      </c>
      <c r="D485" s="149" t="s">
        <v>2739</v>
      </c>
      <c r="E485" s="151">
        <v>7</v>
      </c>
      <c r="F485" s="152" t="s">
        <v>373</v>
      </c>
      <c r="G485" s="151">
        <v>8</v>
      </c>
      <c r="H485" s="153" t="s">
        <v>2548</v>
      </c>
    </row>
    <row r="486" spans="1:8" ht="31.5" hidden="1">
      <c r="A486" s="149" t="s">
        <v>2740</v>
      </c>
      <c r="B486" s="150" t="s">
        <v>2741</v>
      </c>
      <c r="C486" s="149" t="s">
        <v>2742</v>
      </c>
      <c r="D486" s="149" t="s">
        <v>2743</v>
      </c>
      <c r="E486" s="151">
        <v>7</v>
      </c>
      <c r="F486" s="152" t="s">
        <v>373</v>
      </c>
      <c r="G486" s="151">
        <v>8</v>
      </c>
      <c r="H486" s="153" t="s">
        <v>2548</v>
      </c>
    </row>
    <row r="487" spans="1:8" ht="31.5" hidden="1">
      <c r="A487" s="149" t="s">
        <v>2744</v>
      </c>
      <c r="B487" s="150" t="s">
        <v>2745</v>
      </c>
      <c r="C487" s="149" t="s">
        <v>2746</v>
      </c>
      <c r="D487" s="149" t="s">
        <v>2747</v>
      </c>
      <c r="E487" s="151">
        <v>7</v>
      </c>
      <c r="F487" s="152" t="s">
        <v>373</v>
      </c>
      <c r="G487" s="151">
        <v>8</v>
      </c>
      <c r="H487" s="153" t="s">
        <v>2548</v>
      </c>
    </row>
    <row r="488" spans="1:8" ht="15.75" hidden="1">
      <c r="A488" s="149" t="s">
        <v>2748</v>
      </c>
      <c r="B488" s="150" t="s">
        <v>2749</v>
      </c>
      <c r="C488" s="149" t="s">
        <v>2750</v>
      </c>
      <c r="D488" s="149" t="s">
        <v>2751</v>
      </c>
      <c r="E488" s="151">
        <v>7</v>
      </c>
      <c r="F488" s="152" t="s">
        <v>373</v>
      </c>
      <c r="G488" s="151">
        <v>8</v>
      </c>
      <c r="H488" s="153" t="s">
        <v>2548</v>
      </c>
    </row>
    <row r="489" spans="1:8" ht="15.75" hidden="1">
      <c r="A489" s="149" t="s">
        <v>2752</v>
      </c>
      <c r="B489" s="150" t="s">
        <v>2753</v>
      </c>
      <c r="C489" s="149" t="s">
        <v>2754</v>
      </c>
      <c r="D489" s="149" t="s">
        <v>2755</v>
      </c>
      <c r="E489" s="151">
        <v>7</v>
      </c>
      <c r="F489" s="152" t="s">
        <v>373</v>
      </c>
      <c r="G489" s="151">
        <v>8</v>
      </c>
      <c r="H489" s="153" t="s">
        <v>2548</v>
      </c>
    </row>
    <row r="490" spans="1:8" ht="31.5" hidden="1">
      <c r="A490" s="149" t="s">
        <v>2756</v>
      </c>
      <c r="B490" s="150" t="s">
        <v>2757</v>
      </c>
      <c r="C490" s="149" t="s">
        <v>2758</v>
      </c>
      <c r="D490" s="149" t="s">
        <v>2759</v>
      </c>
      <c r="E490" s="151">
        <v>7</v>
      </c>
      <c r="F490" s="152" t="s">
        <v>373</v>
      </c>
      <c r="G490" s="151">
        <v>8</v>
      </c>
      <c r="H490" s="153" t="s">
        <v>2548</v>
      </c>
    </row>
    <row r="491" spans="1:8" ht="31.5" hidden="1">
      <c r="A491" s="149" t="s">
        <v>2760</v>
      </c>
      <c r="B491" s="150" t="s">
        <v>2761</v>
      </c>
      <c r="C491" s="149" t="s">
        <v>2762</v>
      </c>
      <c r="D491" s="149" t="s">
        <v>2763</v>
      </c>
      <c r="E491" s="151">
        <v>7</v>
      </c>
      <c r="F491" s="152" t="s">
        <v>373</v>
      </c>
      <c r="G491" s="151">
        <v>8</v>
      </c>
      <c r="H491" s="153" t="s">
        <v>2548</v>
      </c>
    </row>
    <row r="492" spans="1:8" ht="31.5" hidden="1">
      <c r="A492" s="149" t="s">
        <v>2764</v>
      </c>
      <c r="B492" s="150" t="s">
        <v>2765</v>
      </c>
      <c r="C492" s="149" t="s">
        <v>2766</v>
      </c>
      <c r="D492" s="149" t="s">
        <v>2767</v>
      </c>
      <c r="E492" s="151">
        <v>7</v>
      </c>
      <c r="F492" s="152" t="s">
        <v>373</v>
      </c>
      <c r="G492" s="151">
        <v>8</v>
      </c>
      <c r="H492" s="153" t="s">
        <v>2548</v>
      </c>
    </row>
    <row r="493" spans="1:8" ht="31.5" hidden="1">
      <c r="A493" s="149" t="s">
        <v>2768</v>
      </c>
      <c r="B493" s="150" t="s">
        <v>2769</v>
      </c>
      <c r="C493" s="149" t="s">
        <v>2770</v>
      </c>
      <c r="D493" s="149" t="s">
        <v>2771</v>
      </c>
      <c r="E493" s="151">
        <v>7</v>
      </c>
      <c r="F493" s="152" t="s">
        <v>373</v>
      </c>
      <c r="G493" s="151">
        <v>8</v>
      </c>
      <c r="H493" s="153" t="s">
        <v>2548</v>
      </c>
    </row>
    <row r="494" spans="1:8" ht="31.5" hidden="1">
      <c r="A494" s="149" t="s">
        <v>2772</v>
      </c>
      <c r="B494" s="150" t="s">
        <v>2773</v>
      </c>
      <c r="C494" s="149" t="s">
        <v>2774</v>
      </c>
      <c r="D494" s="149" t="s">
        <v>2775</v>
      </c>
      <c r="E494" s="151">
        <v>7</v>
      </c>
      <c r="F494" s="152" t="s">
        <v>373</v>
      </c>
      <c r="G494" s="151">
        <v>8</v>
      </c>
      <c r="H494" s="153" t="s">
        <v>2548</v>
      </c>
    </row>
    <row r="495" spans="1:8" ht="15.75" hidden="1">
      <c r="A495" s="149" t="s">
        <v>2776</v>
      </c>
      <c r="B495" s="150" t="s">
        <v>2777</v>
      </c>
      <c r="C495" s="149" t="s">
        <v>2778</v>
      </c>
      <c r="D495" s="149" t="s">
        <v>2779</v>
      </c>
      <c r="E495" s="151">
        <v>7</v>
      </c>
      <c r="F495" s="152" t="s">
        <v>373</v>
      </c>
      <c r="G495" s="151">
        <v>8</v>
      </c>
      <c r="H495" s="153" t="s">
        <v>2548</v>
      </c>
    </row>
    <row r="496" spans="1:8" ht="31.5" hidden="1">
      <c r="A496" s="149" t="s">
        <v>2780</v>
      </c>
      <c r="B496" s="150" t="s">
        <v>2781</v>
      </c>
      <c r="C496" s="149" t="s">
        <v>2782</v>
      </c>
      <c r="D496" s="149" t="s">
        <v>2783</v>
      </c>
      <c r="E496" s="151">
        <v>7</v>
      </c>
      <c r="F496" s="152" t="s">
        <v>373</v>
      </c>
      <c r="G496" s="151">
        <v>8</v>
      </c>
      <c r="H496" s="153" t="s">
        <v>2548</v>
      </c>
    </row>
    <row r="497" spans="1:8" ht="31.5" hidden="1">
      <c r="A497" s="149" t="s">
        <v>2784</v>
      </c>
      <c r="B497" s="150" t="s">
        <v>2785</v>
      </c>
      <c r="C497" s="149" t="s">
        <v>2786</v>
      </c>
      <c r="D497" s="149" t="s">
        <v>2787</v>
      </c>
      <c r="E497" s="151">
        <v>7</v>
      </c>
      <c r="F497" s="152" t="s">
        <v>373</v>
      </c>
      <c r="G497" s="151">
        <v>8</v>
      </c>
      <c r="H497" s="153" t="s">
        <v>2548</v>
      </c>
    </row>
    <row r="498" spans="1:8" ht="31.5" hidden="1">
      <c r="A498" s="149" t="s">
        <v>2788</v>
      </c>
      <c r="B498" s="150" t="s">
        <v>2789</v>
      </c>
      <c r="C498" s="149" t="s">
        <v>2790</v>
      </c>
      <c r="D498" s="149" t="s">
        <v>2791</v>
      </c>
      <c r="E498" s="151">
        <v>7</v>
      </c>
      <c r="F498" s="152" t="s">
        <v>373</v>
      </c>
      <c r="G498" s="151">
        <v>8</v>
      </c>
      <c r="H498" s="153" t="s">
        <v>2548</v>
      </c>
    </row>
    <row r="499" spans="1:8" ht="31.5" hidden="1">
      <c r="A499" s="149" t="s">
        <v>2792</v>
      </c>
      <c r="B499" s="150" t="s">
        <v>2793</v>
      </c>
      <c r="C499" s="149" t="s">
        <v>2794</v>
      </c>
      <c r="D499" s="149" t="s">
        <v>2795</v>
      </c>
      <c r="E499" s="151">
        <v>7</v>
      </c>
      <c r="F499" s="152" t="s">
        <v>373</v>
      </c>
      <c r="G499" s="151">
        <v>8</v>
      </c>
      <c r="H499" s="153" t="s">
        <v>2548</v>
      </c>
    </row>
    <row r="500" spans="1:8" ht="31.5" hidden="1">
      <c r="A500" s="149" t="s">
        <v>2796</v>
      </c>
      <c r="B500" s="150" t="s">
        <v>2797</v>
      </c>
      <c r="C500" s="149" t="s">
        <v>2797</v>
      </c>
      <c r="D500" s="149" t="s">
        <v>2798</v>
      </c>
      <c r="E500" s="151">
        <v>7</v>
      </c>
      <c r="F500" s="152" t="s">
        <v>373</v>
      </c>
      <c r="G500" s="151">
        <v>8</v>
      </c>
      <c r="H500" s="153" t="s">
        <v>2548</v>
      </c>
    </row>
    <row r="501" spans="1:8" ht="31.5" hidden="1">
      <c r="A501" s="149" t="s">
        <v>2799</v>
      </c>
      <c r="B501" s="150" t="s">
        <v>2800</v>
      </c>
      <c r="C501" s="149" t="s">
        <v>2800</v>
      </c>
      <c r="D501" s="149" t="s">
        <v>2801</v>
      </c>
      <c r="E501" s="151">
        <v>7</v>
      </c>
      <c r="F501" s="152" t="s">
        <v>373</v>
      </c>
      <c r="G501" s="151">
        <v>8</v>
      </c>
      <c r="H501" s="153" t="s">
        <v>2548</v>
      </c>
    </row>
    <row r="502" spans="1:8" ht="31.5" hidden="1">
      <c r="A502" s="149" t="s">
        <v>2802</v>
      </c>
      <c r="B502" s="150" t="s">
        <v>2803</v>
      </c>
      <c r="C502" s="149" t="s">
        <v>2803</v>
      </c>
      <c r="D502" s="149" t="s">
        <v>2804</v>
      </c>
      <c r="E502" s="151">
        <v>7</v>
      </c>
      <c r="F502" s="152" t="s">
        <v>373</v>
      </c>
      <c r="G502" s="151">
        <v>8</v>
      </c>
      <c r="H502" s="153" t="s">
        <v>2548</v>
      </c>
    </row>
    <row r="503" spans="1:8" ht="15.75" hidden="1">
      <c r="A503" s="149" t="s">
        <v>2805</v>
      </c>
      <c r="B503" s="150" t="s">
        <v>2806</v>
      </c>
      <c r="C503" s="149" t="s">
        <v>2807</v>
      </c>
      <c r="D503" s="149" t="s">
        <v>2808</v>
      </c>
      <c r="E503" s="151">
        <v>7</v>
      </c>
      <c r="F503" s="152" t="s">
        <v>373</v>
      </c>
      <c r="G503" s="151">
        <v>8</v>
      </c>
      <c r="H503" s="153" t="s">
        <v>2548</v>
      </c>
    </row>
    <row r="504" spans="1:8" ht="15.75" hidden="1">
      <c r="A504" s="149" t="s">
        <v>2809</v>
      </c>
      <c r="B504" s="150" t="s">
        <v>2810</v>
      </c>
      <c r="C504" s="149" t="s">
        <v>2811</v>
      </c>
      <c r="D504" s="149" t="s">
        <v>2812</v>
      </c>
      <c r="E504" s="151">
        <v>7</v>
      </c>
      <c r="F504" s="152" t="s">
        <v>373</v>
      </c>
      <c r="G504" s="151">
        <v>8</v>
      </c>
      <c r="H504" s="153" t="s">
        <v>2548</v>
      </c>
    </row>
    <row r="505" spans="1:8" ht="31.5" hidden="1">
      <c r="A505" s="149" t="s">
        <v>2813</v>
      </c>
      <c r="B505" s="150" t="s">
        <v>2814</v>
      </c>
      <c r="C505" s="149" t="s">
        <v>2815</v>
      </c>
      <c r="D505" s="149" t="s">
        <v>2816</v>
      </c>
      <c r="E505" s="151">
        <v>5</v>
      </c>
      <c r="F505" s="152" t="s">
        <v>209</v>
      </c>
      <c r="G505" s="151">
        <v>8</v>
      </c>
      <c r="H505" s="153" t="s">
        <v>2548</v>
      </c>
    </row>
    <row r="506" spans="1:8" ht="31.5" hidden="1">
      <c r="A506" s="149" t="s">
        <v>2817</v>
      </c>
      <c r="B506" s="150" t="s">
        <v>2818</v>
      </c>
      <c r="C506" s="149" t="s">
        <v>2819</v>
      </c>
      <c r="D506" s="149" t="s">
        <v>2820</v>
      </c>
      <c r="E506" s="151">
        <v>5</v>
      </c>
      <c r="F506" s="152" t="s">
        <v>209</v>
      </c>
      <c r="G506" s="151">
        <v>8</v>
      </c>
      <c r="H506" s="153" t="s">
        <v>2548</v>
      </c>
    </row>
    <row r="507" spans="1:8" ht="31.5" hidden="1">
      <c r="A507" s="149" t="s">
        <v>2821</v>
      </c>
      <c r="B507" s="150" t="s">
        <v>2822</v>
      </c>
      <c r="C507" s="149" t="s">
        <v>2823</v>
      </c>
      <c r="D507" s="149" t="s">
        <v>2820</v>
      </c>
      <c r="E507" s="151">
        <v>5</v>
      </c>
      <c r="F507" s="152" t="s">
        <v>209</v>
      </c>
      <c r="G507" s="151">
        <v>8</v>
      </c>
      <c r="H507" s="153" t="s">
        <v>2548</v>
      </c>
    </row>
    <row r="508" spans="1:8" ht="15.75" hidden="1">
      <c r="A508" s="161" t="s">
        <v>2824</v>
      </c>
      <c r="B508" s="150" t="s">
        <v>2825</v>
      </c>
      <c r="C508" s="149" t="s">
        <v>2826</v>
      </c>
      <c r="D508" s="149" t="s">
        <v>2827</v>
      </c>
      <c r="E508" s="151">
        <v>6</v>
      </c>
      <c r="F508" s="152" t="s">
        <v>373</v>
      </c>
      <c r="G508" s="151">
        <v>8</v>
      </c>
      <c r="H508" s="153" t="s">
        <v>2548</v>
      </c>
    </row>
    <row r="509" spans="1:8" ht="31.5" hidden="1">
      <c r="A509" s="161" t="s">
        <v>2824</v>
      </c>
      <c r="B509" s="150" t="s">
        <v>2828</v>
      </c>
      <c r="C509" s="149" t="s">
        <v>2826</v>
      </c>
      <c r="D509" s="149" t="s">
        <v>2829</v>
      </c>
      <c r="E509" s="151">
        <v>6</v>
      </c>
      <c r="F509" s="152" t="s">
        <v>373</v>
      </c>
      <c r="G509" s="151">
        <v>8</v>
      </c>
      <c r="H509" s="153" t="s">
        <v>2548</v>
      </c>
    </row>
    <row r="510" spans="1:8" ht="15.75" hidden="1">
      <c r="A510" s="149" t="s">
        <v>2830</v>
      </c>
      <c r="B510" s="150" t="s">
        <v>2831</v>
      </c>
      <c r="C510" s="149" t="s">
        <v>2831</v>
      </c>
      <c r="D510" s="149" t="s">
        <v>2832</v>
      </c>
      <c r="E510" s="151">
        <v>5</v>
      </c>
      <c r="F510" s="152" t="s">
        <v>373</v>
      </c>
      <c r="G510" s="151">
        <v>8</v>
      </c>
      <c r="H510" s="153" t="s">
        <v>2548</v>
      </c>
    </row>
    <row r="511" spans="1:8" ht="15.75" hidden="1">
      <c r="A511" s="149" t="s">
        <v>2833</v>
      </c>
      <c r="B511" s="150" t="s">
        <v>2834</v>
      </c>
      <c r="C511" s="149" t="s">
        <v>2835</v>
      </c>
      <c r="D511" s="149" t="s">
        <v>2836</v>
      </c>
      <c r="E511" s="151">
        <v>5</v>
      </c>
      <c r="F511" s="152" t="s">
        <v>373</v>
      </c>
      <c r="G511" s="151">
        <v>8</v>
      </c>
      <c r="H511" s="153" t="s">
        <v>2548</v>
      </c>
    </row>
    <row r="512" spans="1:8" ht="31.5" hidden="1">
      <c r="A512" s="149" t="s">
        <v>2837</v>
      </c>
      <c r="B512" s="150" t="s">
        <v>2838</v>
      </c>
      <c r="C512" s="149" t="s">
        <v>2839</v>
      </c>
      <c r="D512" s="149" t="s">
        <v>2840</v>
      </c>
      <c r="E512" s="151">
        <v>5</v>
      </c>
      <c r="F512" s="152" t="s">
        <v>373</v>
      </c>
      <c r="G512" s="151">
        <v>8</v>
      </c>
      <c r="H512" s="153" t="s">
        <v>2548</v>
      </c>
    </row>
    <row r="513" spans="1:8" ht="15.75" hidden="1">
      <c r="A513" s="149" t="s">
        <v>2841</v>
      </c>
      <c r="B513" s="150" t="s">
        <v>2842</v>
      </c>
      <c r="C513" s="149" t="s">
        <v>2842</v>
      </c>
      <c r="D513" s="149" t="s">
        <v>2843</v>
      </c>
      <c r="E513" s="151">
        <v>5</v>
      </c>
      <c r="F513" s="152" t="s">
        <v>373</v>
      </c>
      <c r="G513" s="151">
        <v>8</v>
      </c>
      <c r="H513" s="153" t="s">
        <v>2548</v>
      </c>
    </row>
    <row r="514" spans="1:8" ht="31.5" hidden="1">
      <c r="A514" s="149" t="s">
        <v>2844</v>
      </c>
      <c r="B514" s="150" t="s">
        <v>2845</v>
      </c>
      <c r="C514" s="149" t="s">
        <v>2846</v>
      </c>
      <c r="D514" s="149" t="s">
        <v>2847</v>
      </c>
      <c r="E514" s="151">
        <v>5</v>
      </c>
      <c r="F514" s="152" t="s">
        <v>373</v>
      </c>
      <c r="G514" s="151">
        <v>8</v>
      </c>
      <c r="H514" s="153" t="s">
        <v>2548</v>
      </c>
    </row>
    <row r="515" spans="1:8" ht="15.75" hidden="1">
      <c r="A515" s="149" t="s">
        <v>2848</v>
      </c>
      <c r="B515" s="150" t="s">
        <v>2849</v>
      </c>
      <c r="C515" s="149" t="s">
        <v>2849</v>
      </c>
      <c r="D515" s="149" t="s">
        <v>2850</v>
      </c>
      <c r="E515" s="151">
        <v>5</v>
      </c>
      <c r="F515" s="152" t="s">
        <v>373</v>
      </c>
      <c r="G515" s="151">
        <v>8</v>
      </c>
      <c r="H515" s="153" t="s">
        <v>2548</v>
      </c>
    </row>
    <row r="516" spans="1:8" ht="15.75" hidden="1">
      <c r="A516" s="149" t="s">
        <v>2851</v>
      </c>
      <c r="B516" s="150" t="s">
        <v>2852</v>
      </c>
      <c r="C516" s="149" t="s">
        <v>2852</v>
      </c>
      <c r="D516" s="149" t="s">
        <v>2853</v>
      </c>
      <c r="E516" s="151">
        <v>6</v>
      </c>
      <c r="F516" s="152" t="s">
        <v>373</v>
      </c>
      <c r="G516" s="151">
        <v>8</v>
      </c>
      <c r="H516" s="153" t="s">
        <v>2548</v>
      </c>
    </row>
    <row r="517" spans="1:8" ht="31.5" hidden="1">
      <c r="A517" s="154" t="s">
        <v>2854</v>
      </c>
      <c r="B517" s="155" t="s">
        <v>2855</v>
      </c>
      <c r="C517" s="154" t="s">
        <v>2855</v>
      </c>
      <c r="D517" s="154" t="s">
        <v>2856</v>
      </c>
      <c r="E517" s="156">
        <v>6</v>
      </c>
      <c r="F517" s="157" t="s">
        <v>373</v>
      </c>
      <c r="G517" s="156">
        <v>8</v>
      </c>
      <c r="H517" s="158" t="s">
        <v>2548</v>
      </c>
    </row>
    <row r="518" spans="1:8" ht="15.75" hidden="1">
      <c r="A518" s="162" t="s">
        <v>2857</v>
      </c>
      <c r="B518" s="163" t="s">
        <v>1047</v>
      </c>
      <c r="C518" s="162" t="s">
        <v>1047</v>
      </c>
      <c r="D518" s="162" t="s">
        <v>2858</v>
      </c>
      <c r="E518" s="164">
        <v>1</v>
      </c>
      <c r="F518" s="165" t="s">
        <v>257</v>
      </c>
      <c r="G518" s="164">
        <v>10</v>
      </c>
      <c r="H518" s="166" t="s">
        <v>2859</v>
      </c>
    </row>
    <row r="519" spans="1:8" ht="31.5" hidden="1">
      <c r="A519" s="149" t="s">
        <v>2860</v>
      </c>
      <c r="B519" s="150" t="s">
        <v>2861</v>
      </c>
      <c r="C519" s="149" t="s">
        <v>2862</v>
      </c>
      <c r="D519" s="149" t="s">
        <v>2863</v>
      </c>
      <c r="E519" s="151">
        <v>1</v>
      </c>
      <c r="F519" s="152" t="s">
        <v>257</v>
      </c>
      <c r="G519" s="151">
        <v>10</v>
      </c>
      <c r="H519" s="153" t="s">
        <v>2859</v>
      </c>
    </row>
    <row r="520" spans="1:8" ht="15.75" hidden="1">
      <c r="A520" s="149" t="s">
        <v>2864</v>
      </c>
      <c r="B520" s="150" t="s">
        <v>2865</v>
      </c>
      <c r="C520" s="149" t="s">
        <v>2866</v>
      </c>
      <c r="D520" s="149" t="s">
        <v>2867</v>
      </c>
      <c r="E520" s="151">
        <v>1</v>
      </c>
      <c r="F520" s="152" t="s">
        <v>257</v>
      </c>
      <c r="G520" s="151">
        <v>10</v>
      </c>
      <c r="H520" s="153" t="s">
        <v>2859</v>
      </c>
    </row>
    <row r="521" spans="1:8" ht="15.75" hidden="1">
      <c r="A521" s="149" t="s">
        <v>2868</v>
      </c>
      <c r="B521" s="150" t="s">
        <v>2869</v>
      </c>
      <c r="C521" s="149" t="s">
        <v>2870</v>
      </c>
      <c r="D521" s="149" t="s">
        <v>2871</v>
      </c>
      <c r="E521" s="151">
        <v>1</v>
      </c>
      <c r="F521" s="152" t="s">
        <v>257</v>
      </c>
      <c r="G521" s="151">
        <v>10</v>
      </c>
      <c r="H521" s="153" t="s">
        <v>2859</v>
      </c>
    </row>
    <row r="522" spans="1:8" ht="15.75" hidden="1">
      <c r="A522" s="149" t="s">
        <v>2872</v>
      </c>
      <c r="B522" s="150" t="s">
        <v>2873</v>
      </c>
      <c r="C522" s="149" t="s">
        <v>2874</v>
      </c>
      <c r="D522" s="149" t="s">
        <v>2875</v>
      </c>
      <c r="E522" s="151">
        <v>1</v>
      </c>
      <c r="F522" s="152" t="s">
        <v>257</v>
      </c>
      <c r="G522" s="151">
        <v>10</v>
      </c>
      <c r="H522" s="153" t="s">
        <v>2859</v>
      </c>
    </row>
    <row r="523" spans="1:8" ht="15.75" hidden="1">
      <c r="A523" s="149" t="s">
        <v>2876</v>
      </c>
      <c r="B523" s="150" t="s">
        <v>2877</v>
      </c>
      <c r="C523" s="149" t="s">
        <v>2878</v>
      </c>
      <c r="D523" s="149" t="s">
        <v>2879</v>
      </c>
      <c r="E523" s="151">
        <v>1</v>
      </c>
      <c r="F523" s="152" t="s">
        <v>257</v>
      </c>
      <c r="G523" s="151">
        <v>10</v>
      </c>
      <c r="H523" s="153" t="s">
        <v>2859</v>
      </c>
    </row>
    <row r="524" spans="1:8" ht="15.75" hidden="1">
      <c r="A524" s="149" t="s">
        <v>2880</v>
      </c>
      <c r="B524" s="150" t="s">
        <v>2881</v>
      </c>
      <c r="C524" s="149" t="s">
        <v>2881</v>
      </c>
      <c r="D524" s="149" t="s">
        <v>2882</v>
      </c>
      <c r="E524" s="151">
        <v>1</v>
      </c>
      <c r="F524" s="152" t="s">
        <v>257</v>
      </c>
      <c r="G524" s="151">
        <v>10</v>
      </c>
      <c r="H524" s="153" t="s">
        <v>2859</v>
      </c>
    </row>
    <row r="525" spans="1:8" ht="31.5" hidden="1">
      <c r="A525" s="149" t="s">
        <v>2883</v>
      </c>
      <c r="B525" s="150" t="s">
        <v>2884</v>
      </c>
      <c r="C525" s="149" t="s">
        <v>2885</v>
      </c>
      <c r="D525" s="149" t="s">
        <v>2886</v>
      </c>
      <c r="E525" s="151">
        <v>1</v>
      </c>
      <c r="F525" s="152" t="s">
        <v>257</v>
      </c>
      <c r="G525" s="151">
        <v>10</v>
      </c>
      <c r="H525" s="153" t="s">
        <v>2859</v>
      </c>
    </row>
    <row r="526" spans="1:8" ht="31.5" hidden="1">
      <c r="A526" s="149" t="s">
        <v>2887</v>
      </c>
      <c r="B526" s="150" t="s">
        <v>2888</v>
      </c>
      <c r="C526" s="149" t="s">
        <v>2889</v>
      </c>
      <c r="D526" s="149" t="s">
        <v>2890</v>
      </c>
      <c r="E526" s="151">
        <v>1</v>
      </c>
      <c r="F526" s="152" t="s">
        <v>257</v>
      </c>
      <c r="G526" s="151">
        <v>10</v>
      </c>
      <c r="H526" s="153" t="s">
        <v>2859</v>
      </c>
    </row>
    <row r="527" spans="1:8" ht="31.5" hidden="1">
      <c r="A527" s="149" t="s">
        <v>2891</v>
      </c>
      <c r="B527" s="150" t="s">
        <v>2892</v>
      </c>
      <c r="C527" s="149" t="s">
        <v>2893</v>
      </c>
      <c r="D527" s="149" t="s">
        <v>2894</v>
      </c>
      <c r="E527" s="151">
        <v>1</v>
      </c>
      <c r="F527" s="152" t="s">
        <v>257</v>
      </c>
      <c r="G527" s="151">
        <v>10</v>
      </c>
      <c r="H527" s="153" t="s">
        <v>2859</v>
      </c>
    </row>
    <row r="528" spans="1:8" ht="31.5" hidden="1">
      <c r="A528" s="149" t="s">
        <v>2895</v>
      </c>
      <c r="B528" s="150" t="s">
        <v>2896</v>
      </c>
      <c r="C528" s="149" t="s">
        <v>2897</v>
      </c>
      <c r="D528" s="149" t="s">
        <v>2898</v>
      </c>
      <c r="E528" s="151">
        <v>1</v>
      </c>
      <c r="F528" s="152" t="s">
        <v>257</v>
      </c>
      <c r="G528" s="151">
        <v>10</v>
      </c>
      <c r="H528" s="153" t="s">
        <v>2859</v>
      </c>
    </row>
    <row r="529" spans="1:8" ht="15.75" hidden="1">
      <c r="A529" s="149" t="s">
        <v>2899</v>
      </c>
      <c r="B529" s="150" t="s">
        <v>2900</v>
      </c>
      <c r="C529" s="149" t="s">
        <v>2901</v>
      </c>
      <c r="D529" s="149" t="s">
        <v>2902</v>
      </c>
      <c r="E529" s="151">
        <v>1</v>
      </c>
      <c r="F529" s="152" t="s">
        <v>257</v>
      </c>
      <c r="G529" s="151">
        <v>10</v>
      </c>
      <c r="H529" s="153" t="s">
        <v>2859</v>
      </c>
    </row>
    <row r="530" spans="1:8" ht="15.75" hidden="1">
      <c r="A530" s="149" t="s">
        <v>2903</v>
      </c>
      <c r="B530" s="150" t="s">
        <v>1062</v>
      </c>
      <c r="C530" s="149" t="s">
        <v>1062</v>
      </c>
      <c r="D530" s="149" t="s">
        <v>2904</v>
      </c>
      <c r="E530" s="151">
        <v>2</v>
      </c>
      <c r="F530" s="152" t="s">
        <v>257</v>
      </c>
      <c r="G530" s="151">
        <v>10</v>
      </c>
      <c r="H530" s="153" t="s">
        <v>2859</v>
      </c>
    </row>
    <row r="531" spans="1:8" ht="15.75" hidden="1">
      <c r="A531" s="149" t="s">
        <v>2905</v>
      </c>
      <c r="B531" s="150" t="s">
        <v>2906</v>
      </c>
      <c r="C531" s="149" t="s">
        <v>2907</v>
      </c>
      <c r="D531" s="149" t="s">
        <v>2908</v>
      </c>
      <c r="E531" s="151">
        <v>1</v>
      </c>
      <c r="F531" s="152" t="s">
        <v>257</v>
      </c>
      <c r="G531" s="151">
        <v>10</v>
      </c>
      <c r="H531" s="153" t="s">
        <v>2859</v>
      </c>
    </row>
    <row r="532" spans="1:8" ht="15.75" hidden="1">
      <c r="A532" s="149" t="s">
        <v>2909</v>
      </c>
      <c r="B532" s="150" t="s">
        <v>2910</v>
      </c>
      <c r="C532" s="149" t="s">
        <v>2911</v>
      </c>
      <c r="D532" s="149" t="s">
        <v>2912</v>
      </c>
      <c r="E532" s="151">
        <v>10</v>
      </c>
      <c r="F532" s="152" t="s">
        <v>257</v>
      </c>
      <c r="G532" s="151">
        <v>10</v>
      </c>
      <c r="H532" s="153" t="s">
        <v>2859</v>
      </c>
    </row>
    <row r="533" spans="1:8" ht="15.75" hidden="1">
      <c r="A533" s="149" t="s">
        <v>2913</v>
      </c>
      <c r="B533" s="150" t="s">
        <v>2914</v>
      </c>
      <c r="C533" s="149" t="s">
        <v>2915</v>
      </c>
      <c r="D533" s="149" t="s">
        <v>2916</v>
      </c>
      <c r="E533" s="151">
        <v>10</v>
      </c>
      <c r="F533" s="152" t="s">
        <v>257</v>
      </c>
      <c r="G533" s="151">
        <v>10</v>
      </c>
      <c r="H533" s="153" t="s">
        <v>2859</v>
      </c>
    </row>
    <row r="534" spans="1:8" ht="15.75" hidden="1">
      <c r="A534" s="149" t="s">
        <v>2917</v>
      </c>
      <c r="B534" s="150" t="s">
        <v>2918</v>
      </c>
      <c r="C534" s="149" t="s">
        <v>2918</v>
      </c>
      <c r="D534" s="149" t="s">
        <v>2919</v>
      </c>
      <c r="E534" s="151">
        <v>10</v>
      </c>
      <c r="F534" s="152" t="s">
        <v>257</v>
      </c>
      <c r="G534" s="151">
        <v>10</v>
      </c>
      <c r="H534" s="153" t="s">
        <v>2859</v>
      </c>
    </row>
    <row r="535" spans="1:8" ht="15.75" hidden="1">
      <c r="A535" s="149" t="s">
        <v>2920</v>
      </c>
      <c r="B535" s="150" t="s">
        <v>2921</v>
      </c>
      <c r="C535" s="149" t="s">
        <v>2921</v>
      </c>
      <c r="D535" s="149" t="s">
        <v>2922</v>
      </c>
      <c r="E535" s="151">
        <v>9</v>
      </c>
      <c r="F535" s="152" t="s">
        <v>257</v>
      </c>
      <c r="G535" s="151">
        <v>10</v>
      </c>
      <c r="H535" s="153" t="s">
        <v>2859</v>
      </c>
    </row>
    <row r="536" spans="1:8" ht="15.75" hidden="1">
      <c r="A536" s="149" t="s">
        <v>2923</v>
      </c>
      <c r="B536" s="150" t="s">
        <v>2924</v>
      </c>
      <c r="C536" s="149" t="s">
        <v>2924</v>
      </c>
      <c r="D536" s="149" t="s">
        <v>2925</v>
      </c>
      <c r="E536" s="151">
        <v>10</v>
      </c>
      <c r="F536" s="152" t="s">
        <v>257</v>
      </c>
      <c r="G536" s="151">
        <v>10</v>
      </c>
      <c r="H536" s="153" t="s">
        <v>2859</v>
      </c>
    </row>
    <row r="537" spans="1:8" ht="31.5" hidden="1">
      <c r="A537" s="149" t="s">
        <v>2926</v>
      </c>
      <c r="B537" s="150" t="s">
        <v>2927</v>
      </c>
      <c r="C537" s="149" t="s">
        <v>2928</v>
      </c>
      <c r="D537" s="149" t="s">
        <v>2929</v>
      </c>
      <c r="E537" s="151">
        <v>10</v>
      </c>
      <c r="F537" s="152" t="s">
        <v>234</v>
      </c>
      <c r="G537" s="151">
        <v>10</v>
      </c>
      <c r="H537" s="153" t="s">
        <v>2859</v>
      </c>
    </row>
    <row r="538" spans="1:8" ht="31.5" hidden="1">
      <c r="A538" s="149" t="s">
        <v>2930</v>
      </c>
      <c r="B538" s="150" t="s">
        <v>2931</v>
      </c>
      <c r="C538" s="149" t="s">
        <v>2932</v>
      </c>
      <c r="D538" s="149" t="s">
        <v>2933</v>
      </c>
      <c r="E538" s="151">
        <v>12</v>
      </c>
      <c r="F538" s="152" t="s">
        <v>234</v>
      </c>
      <c r="G538" s="151">
        <v>10</v>
      </c>
      <c r="H538" s="153" t="s">
        <v>2859</v>
      </c>
    </row>
    <row r="539" spans="1:8" ht="15.75" hidden="1">
      <c r="A539" s="149" t="s">
        <v>2934</v>
      </c>
      <c r="B539" s="150" t="s">
        <v>2935</v>
      </c>
      <c r="C539" s="149" t="s">
        <v>2936</v>
      </c>
      <c r="D539" s="149" t="s">
        <v>2937</v>
      </c>
      <c r="E539" s="151">
        <v>12</v>
      </c>
      <c r="F539" s="152" t="s">
        <v>234</v>
      </c>
      <c r="G539" s="151">
        <v>10</v>
      </c>
      <c r="H539" s="153" t="s">
        <v>2859</v>
      </c>
    </row>
    <row r="540" spans="1:8" ht="15.75" hidden="1">
      <c r="A540" s="167" t="s">
        <v>2938</v>
      </c>
      <c r="B540" s="168" t="s">
        <v>2939</v>
      </c>
      <c r="C540" s="167" t="s">
        <v>2940</v>
      </c>
      <c r="D540" s="167" t="s">
        <v>2941</v>
      </c>
      <c r="E540" s="169">
        <v>12</v>
      </c>
      <c r="F540" s="170" t="s">
        <v>214</v>
      </c>
      <c r="G540" s="169">
        <v>10</v>
      </c>
      <c r="H540" s="171" t="s">
        <v>2859</v>
      </c>
    </row>
    <row r="541" spans="1:8" ht="15.75" hidden="1">
      <c r="A541" s="167" t="s">
        <v>2942</v>
      </c>
      <c r="B541" s="168" t="s">
        <v>2943</v>
      </c>
      <c r="C541" s="167" t="s">
        <v>2944</v>
      </c>
      <c r="D541" s="167" t="s">
        <v>2945</v>
      </c>
      <c r="E541" s="169">
        <v>8</v>
      </c>
      <c r="F541" s="170" t="s">
        <v>214</v>
      </c>
      <c r="G541" s="169">
        <v>10</v>
      </c>
      <c r="H541" s="171" t="s">
        <v>2859</v>
      </c>
    </row>
    <row r="542" spans="1:8" ht="15.75" hidden="1">
      <c r="A542" s="149" t="s">
        <v>2946</v>
      </c>
      <c r="B542" s="150" t="s">
        <v>2947</v>
      </c>
      <c r="C542" s="149" t="s">
        <v>2948</v>
      </c>
      <c r="D542" s="149" t="s">
        <v>2949</v>
      </c>
      <c r="E542" s="151">
        <v>8</v>
      </c>
      <c r="F542" s="152" t="s">
        <v>214</v>
      </c>
      <c r="G542" s="151">
        <v>10</v>
      </c>
      <c r="H542" s="153" t="s">
        <v>2859</v>
      </c>
    </row>
    <row r="543" spans="1:8" ht="15.75" hidden="1">
      <c r="A543" s="149" t="s">
        <v>2950</v>
      </c>
      <c r="B543" s="150" t="s">
        <v>2951</v>
      </c>
      <c r="C543" s="149" t="s">
        <v>2952</v>
      </c>
      <c r="D543" s="149" t="s">
        <v>2953</v>
      </c>
      <c r="E543" s="151">
        <v>6</v>
      </c>
      <c r="F543" s="152" t="s">
        <v>214</v>
      </c>
      <c r="G543" s="151">
        <v>10</v>
      </c>
      <c r="H543" s="153" t="s">
        <v>2859</v>
      </c>
    </row>
    <row r="544" spans="1:8" ht="15.75" hidden="1">
      <c r="A544" s="149" t="s">
        <v>2954</v>
      </c>
      <c r="B544" s="150" t="s">
        <v>2955</v>
      </c>
      <c r="C544" s="149" t="s">
        <v>2956</v>
      </c>
      <c r="D544" s="149" t="s">
        <v>2957</v>
      </c>
      <c r="E544" s="151">
        <v>6</v>
      </c>
      <c r="F544" s="152" t="s">
        <v>214</v>
      </c>
      <c r="G544" s="151">
        <v>10</v>
      </c>
      <c r="H544" s="153" t="s">
        <v>2859</v>
      </c>
    </row>
    <row r="545" spans="1:8" ht="31.5" hidden="1">
      <c r="A545" s="149" t="s">
        <v>2958</v>
      </c>
      <c r="B545" s="150" t="s">
        <v>2959</v>
      </c>
      <c r="C545" s="149" t="s">
        <v>2960</v>
      </c>
      <c r="D545" s="149" t="s">
        <v>2961</v>
      </c>
      <c r="E545" s="151">
        <v>6</v>
      </c>
      <c r="F545" s="152" t="s">
        <v>214</v>
      </c>
      <c r="G545" s="151">
        <v>10</v>
      </c>
      <c r="H545" s="153" t="s">
        <v>2859</v>
      </c>
    </row>
    <row r="546" spans="1:8" ht="15.75" hidden="1">
      <c r="A546" s="149" t="s">
        <v>2962</v>
      </c>
      <c r="B546" s="150" t="s">
        <v>2963</v>
      </c>
      <c r="C546" s="149" t="s">
        <v>2964</v>
      </c>
      <c r="D546" s="149" t="s">
        <v>2965</v>
      </c>
      <c r="E546" s="151">
        <v>7</v>
      </c>
      <c r="F546" s="152" t="s">
        <v>214</v>
      </c>
      <c r="G546" s="151">
        <v>10</v>
      </c>
      <c r="H546" s="153" t="s">
        <v>2859</v>
      </c>
    </row>
    <row r="547" spans="1:8" ht="31.5" hidden="1">
      <c r="A547" s="149" t="s">
        <v>2966</v>
      </c>
      <c r="B547" s="150" t="s">
        <v>2967</v>
      </c>
      <c r="C547" s="149" t="s">
        <v>2968</v>
      </c>
      <c r="D547" s="149" t="s">
        <v>2969</v>
      </c>
      <c r="E547" s="151">
        <v>7</v>
      </c>
      <c r="F547" s="152" t="s">
        <v>214</v>
      </c>
      <c r="G547" s="151">
        <v>10</v>
      </c>
      <c r="H547" s="153" t="s">
        <v>2859</v>
      </c>
    </row>
    <row r="548" spans="1:8" ht="31.5" hidden="1">
      <c r="A548" s="149" t="s">
        <v>2970</v>
      </c>
      <c r="B548" s="150" t="s">
        <v>2971</v>
      </c>
      <c r="C548" s="149" t="s">
        <v>2972</v>
      </c>
      <c r="D548" s="149" t="s">
        <v>2973</v>
      </c>
      <c r="E548" s="151">
        <v>7</v>
      </c>
      <c r="F548" s="152" t="s">
        <v>214</v>
      </c>
      <c r="G548" s="151">
        <v>10</v>
      </c>
      <c r="H548" s="153" t="s">
        <v>2859</v>
      </c>
    </row>
    <row r="549" spans="1:8" ht="15.75" hidden="1">
      <c r="A549" s="149" t="s">
        <v>2974</v>
      </c>
      <c r="B549" s="150" t="s">
        <v>2975</v>
      </c>
      <c r="C549" s="149" t="s">
        <v>2976</v>
      </c>
      <c r="D549" s="149" t="s">
        <v>2977</v>
      </c>
      <c r="E549" s="151">
        <v>6</v>
      </c>
      <c r="F549" s="152" t="s">
        <v>214</v>
      </c>
      <c r="G549" s="151">
        <v>10</v>
      </c>
      <c r="H549" s="153" t="s">
        <v>2859</v>
      </c>
    </row>
    <row r="550" spans="1:8" ht="15.75" hidden="1">
      <c r="A550" s="149" t="s">
        <v>2978</v>
      </c>
      <c r="B550" s="150" t="s">
        <v>2979</v>
      </c>
      <c r="C550" s="149" t="s">
        <v>2979</v>
      </c>
      <c r="D550" s="149" t="s">
        <v>2980</v>
      </c>
      <c r="E550" s="151">
        <v>12</v>
      </c>
      <c r="F550" s="152" t="s">
        <v>257</v>
      </c>
      <c r="G550" s="151">
        <v>10</v>
      </c>
      <c r="H550" s="153" t="s">
        <v>2859</v>
      </c>
    </row>
    <row r="551" spans="1:8" ht="31.5" hidden="1">
      <c r="A551" s="149" t="s">
        <v>2981</v>
      </c>
      <c r="B551" s="150" t="s">
        <v>2982</v>
      </c>
      <c r="C551" s="149" t="s">
        <v>2983</v>
      </c>
      <c r="D551" s="149" t="s">
        <v>2984</v>
      </c>
      <c r="E551" s="151">
        <v>12</v>
      </c>
      <c r="F551" s="152" t="s">
        <v>234</v>
      </c>
      <c r="G551" s="151">
        <v>10</v>
      </c>
      <c r="H551" s="153" t="s">
        <v>2859</v>
      </c>
    </row>
    <row r="552" spans="1:8" ht="31.5" hidden="1">
      <c r="A552" s="149" t="s">
        <v>2985</v>
      </c>
      <c r="B552" s="150" t="s">
        <v>2986</v>
      </c>
      <c r="C552" s="149" t="s">
        <v>2987</v>
      </c>
      <c r="D552" s="149" t="s">
        <v>2988</v>
      </c>
      <c r="E552" s="151">
        <v>12</v>
      </c>
      <c r="F552" s="152" t="s">
        <v>234</v>
      </c>
      <c r="G552" s="151">
        <v>10</v>
      </c>
      <c r="H552" s="153" t="s">
        <v>2859</v>
      </c>
    </row>
    <row r="553" spans="1:8" ht="31.5" hidden="1">
      <c r="A553" s="149" t="s">
        <v>2989</v>
      </c>
      <c r="B553" s="150" t="s">
        <v>2990</v>
      </c>
      <c r="C553" s="149" t="s">
        <v>2990</v>
      </c>
      <c r="D553" s="149" t="s">
        <v>2991</v>
      </c>
      <c r="E553" s="151">
        <v>12</v>
      </c>
      <c r="F553" s="152" t="s">
        <v>234</v>
      </c>
      <c r="G553" s="151">
        <v>10</v>
      </c>
      <c r="H553" s="153" t="s">
        <v>2859</v>
      </c>
    </row>
    <row r="554" spans="1:8" ht="15.75" hidden="1">
      <c r="A554" s="149" t="s">
        <v>2992</v>
      </c>
      <c r="B554" s="150" t="s">
        <v>2993</v>
      </c>
      <c r="C554" s="149" t="s">
        <v>2994</v>
      </c>
      <c r="D554" s="149" t="s">
        <v>2995</v>
      </c>
      <c r="E554" s="151">
        <v>12</v>
      </c>
      <c r="F554" s="152" t="s">
        <v>234</v>
      </c>
      <c r="G554" s="151">
        <v>10</v>
      </c>
      <c r="H554" s="153" t="s">
        <v>2859</v>
      </c>
    </row>
    <row r="555" spans="1:8" ht="31.5" hidden="1">
      <c r="A555" s="149" t="s">
        <v>2996</v>
      </c>
      <c r="B555" s="150" t="s">
        <v>2997</v>
      </c>
      <c r="C555" s="149" t="s">
        <v>2998</v>
      </c>
      <c r="D555" s="149" t="s">
        <v>2999</v>
      </c>
      <c r="E555" s="151">
        <v>10</v>
      </c>
      <c r="F555" s="152" t="s">
        <v>257</v>
      </c>
      <c r="G555" s="151">
        <v>10</v>
      </c>
      <c r="H555" s="153" t="s">
        <v>2859</v>
      </c>
    </row>
    <row r="556" spans="1:8" ht="31.5" hidden="1">
      <c r="A556" s="149" t="s">
        <v>3000</v>
      </c>
      <c r="B556" s="150" t="s">
        <v>3001</v>
      </c>
      <c r="C556" s="149" t="s">
        <v>3001</v>
      </c>
      <c r="D556" s="149" t="s">
        <v>3002</v>
      </c>
      <c r="E556" s="151">
        <v>11</v>
      </c>
      <c r="F556" s="152" t="s">
        <v>257</v>
      </c>
      <c r="G556" s="151">
        <v>10</v>
      </c>
      <c r="H556" s="153" t="s">
        <v>2859</v>
      </c>
    </row>
    <row r="557" spans="1:8" ht="15.75" hidden="1">
      <c r="A557" s="149" t="s">
        <v>3003</v>
      </c>
      <c r="B557" s="150" t="s">
        <v>3004</v>
      </c>
      <c r="C557" s="149" t="s">
        <v>3005</v>
      </c>
      <c r="D557" s="149" t="s">
        <v>3006</v>
      </c>
      <c r="E557" s="151">
        <v>11</v>
      </c>
      <c r="F557" s="152" t="s">
        <v>257</v>
      </c>
      <c r="G557" s="151">
        <v>10</v>
      </c>
      <c r="H557" s="153" t="s">
        <v>2859</v>
      </c>
    </row>
    <row r="558" spans="1:8" ht="31.5" hidden="1">
      <c r="A558" s="149" t="s">
        <v>3007</v>
      </c>
      <c r="B558" s="150" t="s">
        <v>3008</v>
      </c>
      <c r="C558" s="149" t="s">
        <v>3008</v>
      </c>
      <c r="D558" s="149" t="s">
        <v>3009</v>
      </c>
      <c r="E558" s="151">
        <v>10</v>
      </c>
      <c r="F558" s="152" t="s">
        <v>257</v>
      </c>
      <c r="G558" s="151">
        <v>10</v>
      </c>
      <c r="H558" s="153" t="s">
        <v>2859</v>
      </c>
    </row>
    <row r="559" spans="1:8" ht="15.75" hidden="1">
      <c r="A559" s="149" t="s">
        <v>3010</v>
      </c>
      <c r="B559" s="150" t="s">
        <v>3011</v>
      </c>
      <c r="C559" s="149" t="s">
        <v>3012</v>
      </c>
      <c r="D559" s="149" t="s">
        <v>3013</v>
      </c>
      <c r="E559" s="151">
        <v>11</v>
      </c>
      <c r="F559" s="152" t="s">
        <v>257</v>
      </c>
      <c r="G559" s="151">
        <v>10</v>
      </c>
      <c r="H559" s="153" t="s">
        <v>2859</v>
      </c>
    </row>
    <row r="560" spans="1:8" ht="15.75" hidden="1">
      <c r="A560" s="149" t="s">
        <v>3014</v>
      </c>
      <c r="B560" s="150" t="s">
        <v>3015</v>
      </c>
      <c r="C560" s="149" t="s">
        <v>3016</v>
      </c>
      <c r="D560" s="149" t="s">
        <v>3017</v>
      </c>
      <c r="E560" s="151">
        <v>11</v>
      </c>
      <c r="F560" s="152" t="s">
        <v>257</v>
      </c>
      <c r="G560" s="151">
        <v>10</v>
      </c>
      <c r="H560" s="153" t="s">
        <v>2859</v>
      </c>
    </row>
    <row r="561" spans="1:8" ht="15.75" hidden="1">
      <c r="A561" s="149" t="s">
        <v>3018</v>
      </c>
      <c r="B561" s="150" t="s">
        <v>3019</v>
      </c>
      <c r="C561" s="149" t="s">
        <v>3020</v>
      </c>
      <c r="D561" s="149" t="s">
        <v>3021</v>
      </c>
      <c r="E561" s="151">
        <v>11</v>
      </c>
      <c r="F561" s="152" t="s">
        <v>257</v>
      </c>
      <c r="G561" s="151">
        <v>10</v>
      </c>
      <c r="H561" s="153" t="s">
        <v>2859</v>
      </c>
    </row>
    <row r="562" spans="1:8" ht="15.75" hidden="1">
      <c r="A562" s="149" t="s">
        <v>3022</v>
      </c>
      <c r="B562" s="150" t="s">
        <v>3023</v>
      </c>
      <c r="C562" s="149" t="s">
        <v>3024</v>
      </c>
      <c r="D562" s="149" t="s">
        <v>3025</v>
      </c>
      <c r="E562" s="151">
        <v>11</v>
      </c>
      <c r="F562" s="152" t="s">
        <v>257</v>
      </c>
      <c r="G562" s="151">
        <v>10</v>
      </c>
      <c r="H562" s="153" t="s">
        <v>2859</v>
      </c>
    </row>
    <row r="563" spans="1:8" ht="15.75" hidden="1">
      <c r="A563" s="149" t="s">
        <v>3026</v>
      </c>
      <c r="B563" s="150" t="s">
        <v>3027</v>
      </c>
      <c r="C563" s="149" t="s">
        <v>3028</v>
      </c>
      <c r="D563" s="149" t="s">
        <v>3029</v>
      </c>
      <c r="E563" s="151">
        <v>11</v>
      </c>
      <c r="F563" s="152" t="s">
        <v>257</v>
      </c>
      <c r="G563" s="151">
        <v>10</v>
      </c>
      <c r="H563" s="153" t="s">
        <v>2859</v>
      </c>
    </row>
    <row r="564" spans="1:8" ht="31.5" hidden="1">
      <c r="A564" s="149" t="s">
        <v>3030</v>
      </c>
      <c r="B564" s="150" t="s">
        <v>3031</v>
      </c>
      <c r="C564" s="149" t="s">
        <v>3032</v>
      </c>
      <c r="D564" s="149" t="s">
        <v>3033</v>
      </c>
      <c r="E564" s="151">
        <v>12</v>
      </c>
      <c r="F564" s="152" t="s">
        <v>234</v>
      </c>
      <c r="G564" s="151">
        <v>10</v>
      </c>
      <c r="H564" s="153" t="s">
        <v>2859</v>
      </c>
    </row>
    <row r="565" spans="1:8" ht="31.5" hidden="1">
      <c r="A565" s="149" t="s">
        <v>3034</v>
      </c>
      <c r="B565" s="150" t="s">
        <v>3035</v>
      </c>
      <c r="C565" s="149" t="s">
        <v>3036</v>
      </c>
      <c r="D565" s="149" t="s">
        <v>3037</v>
      </c>
      <c r="E565" s="151">
        <v>1</v>
      </c>
      <c r="F565" s="152" t="s">
        <v>234</v>
      </c>
      <c r="G565" s="151">
        <v>10</v>
      </c>
      <c r="H565" s="153" t="s">
        <v>2859</v>
      </c>
    </row>
    <row r="566" spans="1:8" ht="31.5" hidden="1">
      <c r="A566" s="149" t="s">
        <v>3038</v>
      </c>
      <c r="B566" s="150" t="s">
        <v>3039</v>
      </c>
      <c r="C566" s="149" t="s">
        <v>3039</v>
      </c>
      <c r="D566" s="149" t="s">
        <v>3040</v>
      </c>
      <c r="E566" s="151">
        <v>12</v>
      </c>
      <c r="F566" s="152" t="s">
        <v>234</v>
      </c>
      <c r="G566" s="151">
        <v>10</v>
      </c>
      <c r="H566" s="153" t="s">
        <v>2859</v>
      </c>
    </row>
    <row r="567" spans="1:8" ht="31.5" hidden="1">
      <c r="A567" s="149" t="s">
        <v>3041</v>
      </c>
      <c r="B567" s="150" t="s">
        <v>3042</v>
      </c>
      <c r="C567" s="149" t="s">
        <v>3042</v>
      </c>
      <c r="D567" s="149" t="s">
        <v>3043</v>
      </c>
      <c r="E567" s="151">
        <v>12</v>
      </c>
      <c r="F567" s="152" t="s">
        <v>234</v>
      </c>
      <c r="G567" s="151">
        <v>10</v>
      </c>
      <c r="H567" s="153" t="s">
        <v>2859</v>
      </c>
    </row>
    <row r="568" spans="1:8" ht="31.5" hidden="1">
      <c r="A568" s="149" t="s">
        <v>3044</v>
      </c>
      <c r="B568" s="150" t="s">
        <v>3045</v>
      </c>
      <c r="C568" s="149" t="s">
        <v>3045</v>
      </c>
      <c r="D568" s="149" t="s">
        <v>3046</v>
      </c>
      <c r="E568" s="151">
        <v>12</v>
      </c>
      <c r="F568" s="152" t="s">
        <v>234</v>
      </c>
      <c r="G568" s="151">
        <v>10</v>
      </c>
      <c r="H568" s="153" t="s">
        <v>2859</v>
      </c>
    </row>
    <row r="569" spans="1:8" ht="31.5" hidden="1">
      <c r="A569" s="149" t="s">
        <v>3047</v>
      </c>
      <c r="B569" s="150" t="s">
        <v>3048</v>
      </c>
      <c r="C569" s="149" t="s">
        <v>3049</v>
      </c>
      <c r="D569" s="149" t="s">
        <v>3050</v>
      </c>
      <c r="E569" s="151">
        <v>12</v>
      </c>
      <c r="F569" s="152" t="s">
        <v>234</v>
      </c>
      <c r="G569" s="151">
        <v>10</v>
      </c>
      <c r="H569" s="153" t="s">
        <v>2859</v>
      </c>
    </row>
    <row r="570" spans="1:8" ht="31.5" hidden="1">
      <c r="A570" s="149" t="s">
        <v>3051</v>
      </c>
      <c r="B570" s="150" t="s">
        <v>3052</v>
      </c>
      <c r="C570" s="149" t="s">
        <v>3052</v>
      </c>
      <c r="D570" s="149" t="s">
        <v>3053</v>
      </c>
      <c r="E570" s="151">
        <v>12</v>
      </c>
      <c r="F570" s="152" t="s">
        <v>234</v>
      </c>
      <c r="G570" s="151">
        <v>10</v>
      </c>
      <c r="H570" s="153" t="s">
        <v>2859</v>
      </c>
    </row>
    <row r="571" spans="1:8" ht="31.5" hidden="1">
      <c r="A571" s="149" t="s">
        <v>3054</v>
      </c>
      <c r="B571" s="150" t="s">
        <v>3055</v>
      </c>
      <c r="C571" s="149" t="s">
        <v>3055</v>
      </c>
      <c r="D571" s="149" t="s">
        <v>3056</v>
      </c>
      <c r="E571" s="151">
        <v>12</v>
      </c>
      <c r="F571" s="152" t="s">
        <v>234</v>
      </c>
      <c r="G571" s="151">
        <v>10</v>
      </c>
      <c r="H571" s="153" t="s">
        <v>2859</v>
      </c>
    </row>
    <row r="572" spans="1:8" ht="31.5" hidden="1">
      <c r="A572" s="149" t="s">
        <v>3057</v>
      </c>
      <c r="B572" s="150" t="s">
        <v>3058</v>
      </c>
      <c r="C572" s="149" t="s">
        <v>3059</v>
      </c>
      <c r="D572" s="149" t="s">
        <v>3060</v>
      </c>
      <c r="E572" s="151">
        <v>1</v>
      </c>
      <c r="F572" s="152" t="s">
        <v>234</v>
      </c>
      <c r="G572" s="151">
        <v>10</v>
      </c>
      <c r="H572" s="153" t="s">
        <v>2859</v>
      </c>
    </row>
    <row r="573" spans="1:8" ht="31.5" hidden="1">
      <c r="A573" s="149" t="s">
        <v>3061</v>
      </c>
      <c r="B573" s="150" t="s">
        <v>3062</v>
      </c>
      <c r="C573" s="149" t="s">
        <v>3063</v>
      </c>
      <c r="D573" s="149" t="s">
        <v>3064</v>
      </c>
      <c r="E573" s="151">
        <v>1</v>
      </c>
      <c r="F573" s="152" t="s">
        <v>234</v>
      </c>
      <c r="G573" s="151">
        <v>10</v>
      </c>
      <c r="H573" s="153" t="s">
        <v>2859</v>
      </c>
    </row>
    <row r="574" spans="1:8" ht="31.5" hidden="1">
      <c r="A574" s="149" t="s">
        <v>3065</v>
      </c>
      <c r="B574" s="150" t="s">
        <v>3066</v>
      </c>
      <c r="C574" s="149" t="s">
        <v>3066</v>
      </c>
      <c r="D574" s="149" t="s">
        <v>3067</v>
      </c>
      <c r="E574" s="151">
        <v>14</v>
      </c>
      <c r="F574" s="152" t="s">
        <v>234</v>
      </c>
      <c r="G574" s="151">
        <v>10</v>
      </c>
      <c r="H574" s="153" t="s">
        <v>2859</v>
      </c>
    </row>
    <row r="575" spans="1:8" ht="15.75" hidden="1">
      <c r="A575" s="149" t="s">
        <v>3068</v>
      </c>
      <c r="B575" s="150" t="s">
        <v>3069</v>
      </c>
      <c r="C575" s="149" t="s">
        <v>3070</v>
      </c>
      <c r="D575" s="149" t="s">
        <v>3071</v>
      </c>
      <c r="E575" s="151">
        <v>6</v>
      </c>
      <c r="F575" s="152" t="s">
        <v>214</v>
      </c>
      <c r="G575" s="151">
        <v>10</v>
      </c>
      <c r="H575" s="153" t="s">
        <v>3072</v>
      </c>
    </row>
    <row r="576" spans="1:8" ht="15.75" hidden="1">
      <c r="A576" s="149" t="s">
        <v>3073</v>
      </c>
      <c r="B576" s="150" t="s">
        <v>3074</v>
      </c>
      <c r="C576" s="149" t="s">
        <v>3075</v>
      </c>
      <c r="D576" s="149" t="s">
        <v>3076</v>
      </c>
      <c r="E576" s="151">
        <v>7</v>
      </c>
      <c r="F576" s="152" t="s">
        <v>214</v>
      </c>
      <c r="G576" s="151">
        <v>10</v>
      </c>
      <c r="H576" s="153" t="s">
        <v>3072</v>
      </c>
    </row>
    <row r="577" spans="1:8" ht="31.5" hidden="1">
      <c r="A577" s="149" t="s">
        <v>3077</v>
      </c>
      <c r="B577" s="150" t="s">
        <v>3078</v>
      </c>
      <c r="C577" s="149" t="s">
        <v>3078</v>
      </c>
      <c r="D577" s="149" t="s">
        <v>3079</v>
      </c>
      <c r="E577" s="151">
        <v>6</v>
      </c>
      <c r="F577" s="152" t="s">
        <v>257</v>
      </c>
      <c r="G577" s="151">
        <v>10</v>
      </c>
      <c r="H577" s="153" t="s">
        <v>3072</v>
      </c>
    </row>
    <row r="578" spans="1:8" ht="15.75" hidden="1">
      <c r="A578" s="149" t="s">
        <v>3080</v>
      </c>
      <c r="B578" s="150" t="s">
        <v>3081</v>
      </c>
      <c r="C578" s="149" t="s">
        <v>3082</v>
      </c>
      <c r="D578" s="149" t="s">
        <v>3083</v>
      </c>
      <c r="E578" s="151">
        <v>5</v>
      </c>
      <c r="F578" s="152" t="s">
        <v>214</v>
      </c>
      <c r="G578" s="151">
        <v>10</v>
      </c>
      <c r="H578" s="153" t="s">
        <v>3072</v>
      </c>
    </row>
    <row r="579" spans="1:8" ht="15.75" hidden="1">
      <c r="A579" s="149" t="s">
        <v>3084</v>
      </c>
      <c r="B579" s="150" t="s">
        <v>3085</v>
      </c>
      <c r="C579" s="149" t="s">
        <v>3086</v>
      </c>
      <c r="D579" s="149" t="s">
        <v>3087</v>
      </c>
      <c r="E579" s="151">
        <v>5</v>
      </c>
      <c r="F579" s="152" t="s">
        <v>214</v>
      </c>
      <c r="G579" s="151">
        <v>10</v>
      </c>
      <c r="H579" s="153" t="s">
        <v>3072</v>
      </c>
    </row>
    <row r="580" spans="1:8" ht="31.5" hidden="1">
      <c r="A580" s="149" t="s">
        <v>3088</v>
      </c>
      <c r="B580" s="150" t="s">
        <v>3089</v>
      </c>
      <c r="C580" s="149" t="s">
        <v>3090</v>
      </c>
      <c r="D580" s="149" t="s">
        <v>3091</v>
      </c>
      <c r="E580" s="151">
        <v>7</v>
      </c>
      <c r="F580" s="152" t="s">
        <v>214</v>
      </c>
      <c r="G580" s="151">
        <v>10</v>
      </c>
      <c r="H580" s="153" t="s">
        <v>3072</v>
      </c>
    </row>
    <row r="581" spans="1:8" ht="15.75" hidden="1">
      <c r="A581" s="149" t="s">
        <v>3092</v>
      </c>
      <c r="B581" s="150" t="s">
        <v>3093</v>
      </c>
      <c r="C581" s="149" t="s">
        <v>3093</v>
      </c>
      <c r="D581" s="149" t="s">
        <v>3094</v>
      </c>
      <c r="E581" s="151">
        <v>7</v>
      </c>
      <c r="F581" s="152" t="s">
        <v>214</v>
      </c>
      <c r="G581" s="151">
        <v>10</v>
      </c>
      <c r="H581" s="153" t="s">
        <v>3072</v>
      </c>
    </row>
    <row r="582" spans="1:8" ht="15.75" hidden="1">
      <c r="A582" s="149" t="s">
        <v>3095</v>
      </c>
      <c r="B582" s="150" t="s">
        <v>3096</v>
      </c>
      <c r="C582" s="149" t="s">
        <v>3097</v>
      </c>
      <c r="D582" s="149" t="s">
        <v>3098</v>
      </c>
      <c r="E582" s="151">
        <v>7</v>
      </c>
      <c r="F582" s="152" t="s">
        <v>214</v>
      </c>
      <c r="G582" s="151">
        <v>10</v>
      </c>
      <c r="H582" s="153" t="s">
        <v>3072</v>
      </c>
    </row>
    <row r="583" spans="1:8" ht="15.75" hidden="1">
      <c r="A583" s="149" t="s">
        <v>3099</v>
      </c>
      <c r="B583" s="150" t="s">
        <v>3100</v>
      </c>
      <c r="C583" s="149" t="s">
        <v>3101</v>
      </c>
      <c r="D583" s="149" t="s">
        <v>3102</v>
      </c>
      <c r="E583" s="151">
        <v>6</v>
      </c>
      <c r="F583" s="152" t="s">
        <v>214</v>
      </c>
      <c r="G583" s="151">
        <v>10</v>
      </c>
      <c r="H583" s="153" t="s">
        <v>3072</v>
      </c>
    </row>
    <row r="584" spans="1:8" ht="15.75" hidden="1">
      <c r="A584" s="149" t="s">
        <v>3103</v>
      </c>
      <c r="B584" s="150" t="s">
        <v>3104</v>
      </c>
      <c r="C584" s="149" t="s">
        <v>3105</v>
      </c>
      <c r="D584" s="149" t="s">
        <v>3106</v>
      </c>
      <c r="E584" s="151">
        <v>6</v>
      </c>
      <c r="F584" s="152" t="s">
        <v>214</v>
      </c>
      <c r="G584" s="151">
        <v>10</v>
      </c>
      <c r="H584" s="153" t="s">
        <v>3072</v>
      </c>
    </row>
    <row r="585" spans="1:8" ht="15.75" hidden="1">
      <c r="A585" s="149" t="s">
        <v>3107</v>
      </c>
      <c r="B585" s="150" t="s">
        <v>3108</v>
      </c>
      <c r="C585" s="149" t="s">
        <v>3109</v>
      </c>
      <c r="D585" s="149" t="s">
        <v>3110</v>
      </c>
      <c r="E585" s="151">
        <v>8</v>
      </c>
      <c r="F585" s="152" t="s">
        <v>214</v>
      </c>
      <c r="G585" s="151">
        <v>10</v>
      </c>
      <c r="H585" s="153" t="s">
        <v>3072</v>
      </c>
    </row>
    <row r="586" spans="1:8" ht="15.75" hidden="1">
      <c r="A586" s="149" t="s">
        <v>3111</v>
      </c>
      <c r="B586" s="150" t="s">
        <v>3112</v>
      </c>
      <c r="C586" s="149" t="s">
        <v>3113</v>
      </c>
      <c r="D586" s="149" t="s">
        <v>3114</v>
      </c>
      <c r="E586" s="151">
        <v>8</v>
      </c>
      <c r="F586" s="152" t="s">
        <v>214</v>
      </c>
      <c r="G586" s="151">
        <v>10</v>
      </c>
      <c r="H586" s="153" t="s">
        <v>3072</v>
      </c>
    </row>
    <row r="587" spans="1:8" ht="15.75" hidden="1">
      <c r="A587" s="149" t="s">
        <v>3115</v>
      </c>
      <c r="B587" s="150" t="s">
        <v>3116</v>
      </c>
      <c r="C587" s="149" t="s">
        <v>3117</v>
      </c>
      <c r="D587" s="149" t="s">
        <v>3118</v>
      </c>
      <c r="E587" s="151">
        <v>8</v>
      </c>
      <c r="F587" s="152" t="s">
        <v>214</v>
      </c>
      <c r="G587" s="151">
        <v>10</v>
      </c>
      <c r="H587" s="153" t="s">
        <v>3072</v>
      </c>
    </row>
    <row r="588" spans="1:8" ht="15.75" hidden="1">
      <c r="A588" s="149" t="s">
        <v>3119</v>
      </c>
      <c r="B588" s="150" t="s">
        <v>3120</v>
      </c>
      <c r="C588" s="149" t="s">
        <v>3121</v>
      </c>
      <c r="D588" s="149" t="s">
        <v>3122</v>
      </c>
      <c r="E588" s="151">
        <v>8</v>
      </c>
      <c r="F588" s="152" t="s">
        <v>214</v>
      </c>
      <c r="G588" s="151">
        <v>10</v>
      </c>
      <c r="H588" s="153" t="s">
        <v>3072</v>
      </c>
    </row>
    <row r="589" spans="1:8" ht="15.75" hidden="1">
      <c r="A589" s="149" t="s">
        <v>3123</v>
      </c>
      <c r="B589" s="150" t="s">
        <v>3124</v>
      </c>
      <c r="C589" s="149" t="s">
        <v>3125</v>
      </c>
      <c r="D589" s="149" t="s">
        <v>3126</v>
      </c>
      <c r="E589" s="151">
        <v>8</v>
      </c>
      <c r="F589" s="152" t="s">
        <v>214</v>
      </c>
      <c r="G589" s="151">
        <v>10</v>
      </c>
      <c r="H589" s="153" t="s">
        <v>3072</v>
      </c>
    </row>
    <row r="590" spans="1:8" ht="15.75" hidden="1">
      <c r="A590" s="149" t="s">
        <v>3127</v>
      </c>
      <c r="B590" s="150" t="s">
        <v>3128</v>
      </c>
      <c r="C590" s="149" t="s">
        <v>3129</v>
      </c>
      <c r="D590" s="149" t="s">
        <v>3130</v>
      </c>
      <c r="E590" s="151">
        <v>5</v>
      </c>
      <c r="F590" s="152" t="s">
        <v>214</v>
      </c>
      <c r="G590" s="151">
        <v>10</v>
      </c>
      <c r="H590" s="153" t="s">
        <v>3072</v>
      </c>
    </row>
    <row r="591" spans="1:8" ht="15.75" hidden="1">
      <c r="A591" s="149" t="s">
        <v>3131</v>
      </c>
      <c r="B591" s="150" t="s">
        <v>3132</v>
      </c>
      <c r="C591" s="149" t="s">
        <v>3133</v>
      </c>
      <c r="D591" s="149" t="s">
        <v>3134</v>
      </c>
      <c r="E591" s="151">
        <v>5</v>
      </c>
      <c r="F591" s="152" t="s">
        <v>214</v>
      </c>
      <c r="G591" s="151">
        <v>10</v>
      </c>
      <c r="H591" s="153" t="s">
        <v>3072</v>
      </c>
    </row>
    <row r="592" spans="1:8" ht="15.75" hidden="1">
      <c r="A592" s="149" t="s">
        <v>3135</v>
      </c>
      <c r="B592" s="150" t="s">
        <v>3136</v>
      </c>
      <c r="C592" s="149" t="s">
        <v>3137</v>
      </c>
      <c r="D592" s="149" t="s">
        <v>3138</v>
      </c>
      <c r="E592" s="151">
        <v>5</v>
      </c>
      <c r="F592" s="152" t="s">
        <v>214</v>
      </c>
      <c r="G592" s="151">
        <v>10</v>
      </c>
      <c r="H592" s="153" t="s">
        <v>3072</v>
      </c>
    </row>
    <row r="593" spans="1:8" ht="31.5" hidden="1">
      <c r="A593" s="149" t="s">
        <v>3139</v>
      </c>
      <c r="B593" s="150" t="s">
        <v>3140</v>
      </c>
      <c r="C593" s="149" t="s">
        <v>3141</v>
      </c>
      <c r="D593" s="149" t="s">
        <v>3142</v>
      </c>
      <c r="E593" s="151">
        <v>5</v>
      </c>
      <c r="F593" s="152" t="s">
        <v>214</v>
      </c>
      <c r="G593" s="151">
        <v>10</v>
      </c>
      <c r="H593" s="153" t="s">
        <v>3072</v>
      </c>
    </row>
    <row r="594" spans="1:8" ht="15.75" hidden="1">
      <c r="A594" s="149" t="s">
        <v>3143</v>
      </c>
      <c r="B594" s="150" t="s">
        <v>3144</v>
      </c>
      <c r="C594" s="149" t="s">
        <v>3145</v>
      </c>
      <c r="D594" s="149" t="s">
        <v>3146</v>
      </c>
      <c r="E594" s="151">
        <v>4</v>
      </c>
      <c r="F594" s="152" t="s">
        <v>257</v>
      </c>
      <c r="G594" s="151">
        <v>10</v>
      </c>
      <c r="H594" s="153" t="s">
        <v>3072</v>
      </c>
    </row>
    <row r="595" spans="1:8" ht="31.5" hidden="1">
      <c r="A595" s="149" t="s">
        <v>3147</v>
      </c>
      <c r="B595" s="150" t="s">
        <v>3148</v>
      </c>
      <c r="C595" s="149" t="s">
        <v>3149</v>
      </c>
      <c r="D595" s="149" t="s">
        <v>3150</v>
      </c>
      <c r="E595" s="151">
        <v>4</v>
      </c>
      <c r="F595" s="152" t="s">
        <v>257</v>
      </c>
      <c r="G595" s="151">
        <v>10</v>
      </c>
      <c r="H595" s="153" t="s">
        <v>3072</v>
      </c>
    </row>
    <row r="596" spans="1:8" ht="31.5" hidden="1">
      <c r="A596" s="149" t="s">
        <v>3151</v>
      </c>
      <c r="B596" s="150" t="s">
        <v>3152</v>
      </c>
      <c r="C596" s="149" t="s">
        <v>3153</v>
      </c>
      <c r="D596" s="149" t="s">
        <v>3154</v>
      </c>
      <c r="E596" s="151">
        <v>4</v>
      </c>
      <c r="F596" s="152" t="s">
        <v>257</v>
      </c>
      <c r="G596" s="151">
        <v>10</v>
      </c>
      <c r="H596" s="153" t="s">
        <v>3072</v>
      </c>
    </row>
    <row r="597" spans="1:8" ht="31.5" hidden="1">
      <c r="A597" s="149" t="s">
        <v>3155</v>
      </c>
      <c r="B597" s="150" t="s">
        <v>3156</v>
      </c>
      <c r="C597" s="149" t="s">
        <v>3156</v>
      </c>
      <c r="D597" s="149" t="s">
        <v>3157</v>
      </c>
      <c r="E597" s="151">
        <v>4</v>
      </c>
      <c r="F597" s="152" t="s">
        <v>257</v>
      </c>
      <c r="G597" s="151">
        <v>10</v>
      </c>
      <c r="H597" s="153" t="s">
        <v>3072</v>
      </c>
    </row>
    <row r="598" spans="1:8" ht="31.5" hidden="1">
      <c r="A598" s="149" t="s">
        <v>3158</v>
      </c>
      <c r="B598" s="150" t="s">
        <v>3159</v>
      </c>
      <c r="C598" s="149" t="s">
        <v>3159</v>
      </c>
      <c r="D598" s="149" t="s">
        <v>3160</v>
      </c>
      <c r="E598" s="151">
        <v>4</v>
      </c>
      <c r="F598" s="152" t="s">
        <v>257</v>
      </c>
      <c r="G598" s="151">
        <v>10</v>
      </c>
      <c r="H598" s="153" t="s">
        <v>3072</v>
      </c>
    </row>
    <row r="599" spans="1:8" ht="15.75" hidden="1">
      <c r="A599" s="149" t="s">
        <v>3161</v>
      </c>
      <c r="B599" s="150" t="s">
        <v>3162</v>
      </c>
      <c r="C599" s="149" t="s">
        <v>3163</v>
      </c>
      <c r="D599" s="149" t="s">
        <v>3164</v>
      </c>
      <c r="E599" s="151">
        <v>9</v>
      </c>
      <c r="F599" s="152" t="s">
        <v>257</v>
      </c>
      <c r="G599" s="151">
        <v>10</v>
      </c>
      <c r="H599" s="153" t="s">
        <v>3072</v>
      </c>
    </row>
    <row r="600" spans="1:8" ht="15.75" hidden="1">
      <c r="A600" s="149" t="s">
        <v>3165</v>
      </c>
      <c r="B600" s="150" t="s">
        <v>3166</v>
      </c>
      <c r="C600" s="149" t="s">
        <v>3167</v>
      </c>
      <c r="D600" s="149" t="s">
        <v>3168</v>
      </c>
      <c r="E600" s="151">
        <v>9</v>
      </c>
      <c r="F600" s="152" t="s">
        <v>257</v>
      </c>
      <c r="G600" s="151">
        <v>10</v>
      </c>
      <c r="H600" s="153" t="s">
        <v>3072</v>
      </c>
    </row>
    <row r="601" spans="1:8" ht="31.5" hidden="1">
      <c r="A601" s="149" t="s">
        <v>3169</v>
      </c>
      <c r="B601" s="150" t="s">
        <v>3170</v>
      </c>
      <c r="C601" s="149" t="s">
        <v>3170</v>
      </c>
      <c r="D601" s="149" t="s">
        <v>3171</v>
      </c>
      <c r="E601" s="151">
        <v>9</v>
      </c>
      <c r="F601" s="152" t="s">
        <v>257</v>
      </c>
      <c r="G601" s="151">
        <v>10</v>
      </c>
      <c r="H601" s="153" t="s">
        <v>3072</v>
      </c>
    </row>
    <row r="602" spans="1:8" ht="31.5" hidden="1">
      <c r="A602" s="149" t="s">
        <v>3172</v>
      </c>
      <c r="B602" s="150" t="s">
        <v>3173</v>
      </c>
      <c r="C602" s="149" t="s">
        <v>3174</v>
      </c>
      <c r="D602" s="149" t="s">
        <v>3175</v>
      </c>
      <c r="E602" s="151">
        <v>8</v>
      </c>
      <c r="F602" s="152" t="s">
        <v>214</v>
      </c>
      <c r="G602" s="151">
        <v>10</v>
      </c>
      <c r="H602" s="153" t="s">
        <v>3072</v>
      </c>
    </row>
    <row r="603" spans="1:8" ht="31.5" hidden="1">
      <c r="A603" s="149" t="s">
        <v>3176</v>
      </c>
      <c r="B603" s="150" t="s">
        <v>3177</v>
      </c>
      <c r="C603" s="149" t="s">
        <v>3178</v>
      </c>
      <c r="D603" s="149" t="s">
        <v>3179</v>
      </c>
      <c r="E603" s="151">
        <v>9</v>
      </c>
      <c r="F603" s="152" t="s">
        <v>257</v>
      </c>
      <c r="G603" s="151">
        <v>10</v>
      </c>
      <c r="H603" s="153" t="s">
        <v>3072</v>
      </c>
    </row>
    <row r="604" spans="1:8" ht="15.75" hidden="1">
      <c r="A604" s="149" t="s">
        <v>3180</v>
      </c>
      <c r="B604" s="150" t="s">
        <v>3181</v>
      </c>
      <c r="C604" s="149" t="s">
        <v>3182</v>
      </c>
      <c r="D604" s="149" t="s">
        <v>3183</v>
      </c>
      <c r="E604" s="151">
        <v>9</v>
      </c>
      <c r="F604" s="152" t="s">
        <v>257</v>
      </c>
      <c r="G604" s="151">
        <v>10</v>
      </c>
      <c r="H604" s="153" t="s">
        <v>3072</v>
      </c>
    </row>
    <row r="605" spans="1:8" ht="31.5" hidden="1">
      <c r="A605" s="149" t="s">
        <v>3184</v>
      </c>
      <c r="B605" s="150" t="s">
        <v>3185</v>
      </c>
      <c r="C605" s="149" t="s">
        <v>3185</v>
      </c>
      <c r="D605" s="149" t="s">
        <v>3186</v>
      </c>
      <c r="E605" s="151">
        <v>9</v>
      </c>
      <c r="F605" s="152" t="s">
        <v>234</v>
      </c>
      <c r="G605" s="151">
        <v>10</v>
      </c>
      <c r="H605" s="153" t="s">
        <v>3072</v>
      </c>
    </row>
    <row r="606" spans="1:8" ht="15.75" hidden="1">
      <c r="A606" s="149" t="s">
        <v>3187</v>
      </c>
      <c r="B606" s="150" t="s">
        <v>3188</v>
      </c>
      <c r="C606" s="149" t="s">
        <v>3189</v>
      </c>
      <c r="D606" s="149" t="s">
        <v>3190</v>
      </c>
      <c r="E606" s="151">
        <v>14</v>
      </c>
      <c r="F606" s="152" t="s">
        <v>234</v>
      </c>
      <c r="G606" s="151">
        <v>10</v>
      </c>
      <c r="H606" s="153" t="s">
        <v>3072</v>
      </c>
    </row>
    <row r="607" spans="1:8" ht="15.75" hidden="1">
      <c r="A607" s="149" t="s">
        <v>3191</v>
      </c>
      <c r="B607" s="150" t="s">
        <v>3192</v>
      </c>
      <c r="C607" s="149" t="s">
        <v>3192</v>
      </c>
      <c r="D607" s="149" t="s">
        <v>3193</v>
      </c>
      <c r="E607" s="151">
        <v>12</v>
      </c>
      <c r="F607" s="152" t="s">
        <v>234</v>
      </c>
      <c r="G607" s="151">
        <v>10</v>
      </c>
      <c r="H607" s="153" t="s">
        <v>3072</v>
      </c>
    </row>
    <row r="608" spans="1:8" ht="31.5" hidden="1">
      <c r="A608" s="149" t="s">
        <v>3194</v>
      </c>
      <c r="B608" s="150" t="s">
        <v>3195</v>
      </c>
      <c r="C608" s="149" t="s">
        <v>3196</v>
      </c>
      <c r="D608" s="149" t="s">
        <v>3197</v>
      </c>
      <c r="E608" s="151">
        <v>15</v>
      </c>
      <c r="F608" s="152" t="s">
        <v>234</v>
      </c>
      <c r="G608" s="151">
        <v>10</v>
      </c>
      <c r="H608" s="153" t="s">
        <v>3072</v>
      </c>
    </row>
    <row r="609" spans="1:8" ht="15.75" hidden="1">
      <c r="A609" s="149" t="s">
        <v>3198</v>
      </c>
      <c r="B609" s="150" t="s">
        <v>3199</v>
      </c>
      <c r="C609" s="149" t="s">
        <v>3200</v>
      </c>
      <c r="D609" s="149" t="s">
        <v>3201</v>
      </c>
      <c r="E609" s="151">
        <v>14</v>
      </c>
      <c r="F609" s="152" t="s">
        <v>214</v>
      </c>
      <c r="G609" s="151">
        <v>10</v>
      </c>
      <c r="H609" s="153" t="s">
        <v>3072</v>
      </c>
    </row>
    <row r="610" spans="1:8" ht="31.5" hidden="1">
      <c r="A610" s="149" t="s">
        <v>3202</v>
      </c>
      <c r="B610" s="150" t="s">
        <v>3203</v>
      </c>
      <c r="C610" s="149" t="s">
        <v>3204</v>
      </c>
      <c r="D610" s="149" t="s">
        <v>3205</v>
      </c>
      <c r="E610" s="151">
        <v>14</v>
      </c>
      <c r="F610" s="152" t="s">
        <v>214</v>
      </c>
      <c r="G610" s="151">
        <v>10</v>
      </c>
      <c r="H610" s="153" t="s">
        <v>3072</v>
      </c>
    </row>
    <row r="611" spans="1:8" ht="15.75" hidden="1">
      <c r="A611" s="149" t="s">
        <v>3206</v>
      </c>
      <c r="B611" s="150" t="s">
        <v>3207</v>
      </c>
      <c r="C611" s="149" t="s">
        <v>3208</v>
      </c>
      <c r="D611" s="149" t="s">
        <v>3209</v>
      </c>
      <c r="E611" s="151">
        <v>14</v>
      </c>
      <c r="F611" s="152" t="s">
        <v>214</v>
      </c>
      <c r="G611" s="151">
        <v>10</v>
      </c>
      <c r="H611" s="153" t="s">
        <v>3072</v>
      </c>
    </row>
    <row r="612" spans="1:8" ht="15.75" hidden="1">
      <c r="A612" s="149" t="s">
        <v>3210</v>
      </c>
      <c r="B612" s="150" t="s">
        <v>3211</v>
      </c>
      <c r="C612" s="149" t="s">
        <v>3211</v>
      </c>
      <c r="D612" s="149" t="s">
        <v>3212</v>
      </c>
      <c r="E612" s="151">
        <v>9</v>
      </c>
      <c r="F612" s="152" t="s">
        <v>257</v>
      </c>
      <c r="G612" s="151">
        <v>10</v>
      </c>
      <c r="H612" s="153" t="s">
        <v>3072</v>
      </c>
    </row>
    <row r="613" spans="1:8" ht="15.75" hidden="1">
      <c r="A613" s="149" t="s">
        <v>3213</v>
      </c>
      <c r="B613" s="150" t="s">
        <v>3214</v>
      </c>
      <c r="C613" s="149" t="s">
        <v>3214</v>
      </c>
      <c r="D613" s="149" t="s">
        <v>3215</v>
      </c>
      <c r="E613" s="151">
        <v>9</v>
      </c>
      <c r="F613" s="152" t="s">
        <v>257</v>
      </c>
      <c r="G613" s="151">
        <v>10</v>
      </c>
      <c r="H613" s="153" t="s">
        <v>3072</v>
      </c>
    </row>
    <row r="614" spans="1:8" ht="15.75" hidden="1">
      <c r="A614" s="149" t="s">
        <v>3216</v>
      </c>
      <c r="B614" s="150" t="s">
        <v>3217</v>
      </c>
      <c r="C614" s="149" t="s">
        <v>3218</v>
      </c>
      <c r="D614" s="149" t="s">
        <v>3219</v>
      </c>
      <c r="E614" s="151">
        <v>9</v>
      </c>
      <c r="F614" s="152" t="s">
        <v>257</v>
      </c>
      <c r="G614" s="151">
        <v>10</v>
      </c>
      <c r="H614" s="153" t="s">
        <v>3072</v>
      </c>
    </row>
    <row r="615" spans="1:8" ht="31.5" hidden="1">
      <c r="A615" s="149" t="s">
        <v>3220</v>
      </c>
      <c r="B615" s="150" t="s">
        <v>3221</v>
      </c>
      <c r="C615" s="149" t="s">
        <v>3221</v>
      </c>
      <c r="D615" s="149" t="s">
        <v>3222</v>
      </c>
      <c r="E615" s="151">
        <v>9</v>
      </c>
      <c r="F615" s="152" t="s">
        <v>257</v>
      </c>
      <c r="G615" s="151">
        <v>10</v>
      </c>
      <c r="H615" s="153" t="s">
        <v>3072</v>
      </c>
    </row>
    <row r="616" spans="1:8" ht="15.75" hidden="1">
      <c r="A616" s="149" t="s">
        <v>3223</v>
      </c>
      <c r="B616" s="150" t="s">
        <v>3224</v>
      </c>
      <c r="C616" s="149" t="s">
        <v>3224</v>
      </c>
      <c r="D616" s="149" t="s">
        <v>3225</v>
      </c>
      <c r="E616" s="151">
        <v>2</v>
      </c>
      <c r="F616" s="152" t="s">
        <v>257</v>
      </c>
      <c r="G616" s="151">
        <v>10</v>
      </c>
      <c r="H616" s="153" t="s">
        <v>3072</v>
      </c>
    </row>
    <row r="617" spans="1:8" ht="15.75" hidden="1">
      <c r="A617" s="149" t="s">
        <v>3226</v>
      </c>
      <c r="B617" s="150" t="s">
        <v>3227</v>
      </c>
      <c r="C617" s="149" t="s">
        <v>3228</v>
      </c>
      <c r="D617" s="149" t="s">
        <v>3229</v>
      </c>
      <c r="E617" s="151">
        <v>3</v>
      </c>
      <c r="F617" s="152" t="s">
        <v>257</v>
      </c>
      <c r="G617" s="151">
        <v>10</v>
      </c>
      <c r="H617" s="153" t="s">
        <v>3072</v>
      </c>
    </row>
    <row r="618" spans="1:8" ht="31.5" hidden="1">
      <c r="A618" s="149" t="s">
        <v>3230</v>
      </c>
      <c r="B618" s="150" t="s">
        <v>3231</v>
      </c>
      <c r="C618" s="149" t="s">
        <v>3231</v>
      </c>
      <c r="D618" s="149" t="s">
        <v>3232</v>
      </c>
      <c r="E618" s="151">
        <v>3</v>
      </c>
      <c r="F618" s="152" t="s">
        <v>257</v>
      </c>
      <c r="G618" s="151">
        <v>10</v>
      </c>
      <c r="H618" s="153" t="s">
        <v>3072</v>
      </c>
    </row>
    <row r="619" spans="1:8" ht="31.5" hidden="1">
      <c r="A619" s="149" t="s">
        <v>3233</v>
      </c>
      <c r="B619" s="150" t="s">
        <v>3234</v>
      </c>
      <c r="C619" s="149" t="s">
        <v>3235</v>
      </c>
      <c r="D619" s="149" t="s">
        <v>3236</v>
      </c>
      <c r="E619" s="151">
        <v>2</v>
      </c>
      <c r="F619" s="152" t="s">
        <v>257</v>
      </c>
      <c r="G619" s="151">
        <v>10</v>
      </c>
      <c r="H619" s="153" t="s">
        <v>3072</v>
      </c>
    </row>
    <row r="620" spans="1:8" ht="31.5" hidden="1">
      <c r="A620" s="149" t="s">
        <v>3237</v>
      </c>
      <c r="B620" s="150" t="s">
        <v>3238</v>
      </c>
      <c r="C620" s="149" t="s">
        <v>3239</v>
      </c>
      <c r="D620" s="149" t="s">
        <v>3240</v>
      </c>
      <c r="E620" s="151">
        <v>3</v>
      </c>
      <c r="F620" s="152" t="s">
        <v>257</v>
      </c>
      <c r="G620" s="151">
        <v>10</v>
      </c>
      <c r="H620" s="153" t="s">
        <v>3072</v>
      </c>
    </row>
    <row r="621" spans="1:8" ht="31.5" hidden="1">
      <c r="A621" s="149" t="s">
        <v>3241</v>
      </c>
      <c r="B621" s="150" t="s">
        <v>3242</v>
      </c>
      <c r="C621" s="149" t="s">
        <v>3242</v>
      </c>
      <c r="D621" s="149" t="s">
        <v>3243</v>
      </c>
      <c r="E621" s="151">
        <v>2</v>
      </c>
      <c r="F621" s="152" t="s">
        <v>257</v>
      </c>
      <c r="G621" s="151">
        <v>10</v>
      </c>
      <c r="H621" s="153" t="s">
        <v>3072</v>
      </c>
    </row>
    <row r="622" spans="1:8" ht="31.5" hidden="1">
      <c r="A622" s="149" t="s">
        <v>3244</v>
      </c>
      <c r="B622" s="150" t="s">
        <v>3245</v>
      </c>
      <c r="C622" s="149" t="s">
        <v>3245</v>
      </c>
      <c r="D622" s="149" t="s">
        <v>3246</v>
      </c>
      <c r="E622" s="151">
        <v>2</v>
      </c>
      <c r="F622" s="152" t="s">
        <v>257</v>
      </c>
      <c r="G622" s="151">
        <v>10</v>
      </c>
      <c r="H622" s="153" t="s">
        <v>3072</v>
      </c>
    </row>
    <row r="623" spans="1:8" ht="47.25" hidden="1">
      <c r="A623" s="149" t="s">
        <v>3247</v>
      </c>
      <c r="B623" s="150" t="s">
        <v>3248</v>
      </c>
      <c r="C623" s="149" t="s">
        <v>3249</v>
      </c>
      <c r="D623" s="149" t="s">
        <v>3250</v>
      </c>
      <c r="E623" s="151">
        <v>2</v>
      </c>
      <c r="F623" s="152" t="s">
        <v>257</v>
      </c>
      <c r="G623" s="151">
        <v>10</v>
      </c>
      <c r="H623" s="153" t="s">
        <v>3072</v>
      </c>
    </row>
    <row r="624" spans="1:8" ht="31.5" hidden="1">
      <c r="A624" s="149" t="s">
        <v>3251</v>
      </c>
      <c r="B624" s="150" t="s">
        <v>3252</v>
      </c>
      <c r="C624" s="149" t="s">
        <v>3253</v>
      </c>
      <c r="D624" s="149" t="s">
        <v>3254</v>
      </c>
      <c r="E624" s="151">
        <v>2</v>
      </c>
      <c r="F624" s="152" t="s">
        <v>257</v>
      </c>
      <c r="G624" s="151">
        <v>10</v>
      </c>
      <c r="H624" s="153" t="s">
        <v>3072</v>
      </c>
    </row>
    <row r="625" spans="1:8" ht="15.75" hidden="1">
      <c r="A625" s="149" t="s">
        <v>3255</v>
      </c>
      <c r="B625" s="150" t="s">
        <v>3256</v>
      </c>
      <c r="C625" s="149" t="s">
        <v>3257</v>
      </c>
      <c r="D625" s="149" t="s">
        <v>3258</v>
      </c>
      <c r="E625" s="151">
        <v>2</v>
      </c>
      <c r="F625" s="152" t="s">
        <v>257</v>
      </c>
      <c r="G625" s="151">
        <v>10</v>
      </c>
      <c r="H625" s="153" t="s">
        <v>3072</v>
      </c>
    </row>
    <row r="626" spans="1:8" ht="15.75" hidden="1">
      <c r="A626" s="149" t="s">
        <v>3259</v>
      </c>
      <c r="B626" s="150" t="s">
        <v>3260</v>
      </c>
      <c r="C626" s="149" t="s">
        <v>3261</v>
      </c>
      <c r="D626" s="149" t="s">
        <v>3262</v>
      </c>
      <c r="E626" s="151">
        <v>2</v>
      </c>
      <c r="F626" s="152" t="s">
        <v>257</v>
      </c>
      <c r="G626" s="151">
        <v>10</v>
      </c>
      <c r="H626" s="153" t="s">
        <v>3072</v>
      </c>
    </row>
    <row r="627" spans="1:8" ht="15.75" hidden="1">
      <c r="A627" s="149" t="s">
        <v>3263</v>
      </c>
      <c r="B627" s="150" t="s">
        <v>3264</v>
      </c>
      <c r="C627" s="149" t="s">
        <v>3265</v>
      </c>
      <c r="D627" s="149" t="s">
        <v>3266</v>
      </c>
      <c r="E627" s="151">
        <v>2</v>
      </c>
      <c r="F627" s="152" t="s">
        <v>257</v>
      </c>
      <c r="G627" s="151">
        <v>10</v>
      </c>
      <c r="H627" s="153" t="s">
        <v>3072</v>
      </c>
    </row>
    <row r="628" spans="1:8" ht="31.5" hidden="1">
      <c r="A628" s="149" t="s">
        <v>3267</v>
      </c>
      <c r="B628" s="150" t="s">
        <v>3268</v>
      </c>
      <c r="C628" s="149" t="s">
        <v>3269</v>
      </c>
      <c r="D628" s="149" t="s">
        <v>3270</v>
      </c>
      <c r="E628" s="151">
        <v>2</v>
      </c>
      <c r="F628" s="152" t="s">
        <v>257</v>
      </c>
      <c r="G628" s="151">
        <v>10</v>
      </c>
      <c r="H628" s="153" t="s">
        <v>3072</v>
      </c>
    </row>
    <row r="629" spans="1:8" ht="47.25" hidden="1">
      <c r="A629" s="149" t="s">
        <v>3271</v>
      </c>
      <c r="B629" s="150" t="s">
        <v>3272</v>
      </c>
      <c r="C629" s="149" t="s">
        <v>3273</v>
      </c>
      <c r="D629" s="149" t="s">
        <v>3274</v>
      </c>
      <c r="E629" s="151">
        <v>2</v>
      </c>
      <c r="F629" s="152" t="s">
        <v>257</v>
      </c>
      <c r="G629" s="151">
        <v>10</v>
      </c>
      <c r="H629" s="153" t="s">
        <v>3072</v>
      </c>
    </row>
    <row r="630" spans="1:8" ht="15.75" hidden="1">
      <c r="A630" s="149" t="s">
        <v>3275</v>
      </c>
      <c r="B630" s="150" t="s">
        <v>3276</v>
      </c>
      <c r="C630" s="149" t="s">
        <v>3277</v>
      </c>
      <c r="D630" s="149" t="s">
        <v>3278</v>
      </c>
      <c r="E630" s="151">
        <v>2</v>
      </c>
      <c r="F630" s="152" t="s">
        <v>257</v>
      </c>
      <c r="G630" s="151">
        <v>10</v>
      </c>
      <c r="H630" s="153" t="s">
        <v>3072</v>
      </c>
    </row>
    <row r="631" spans="1:8" ht="31.5" hidden="1">
      <c r="A631" s="149" t="s">
        <v>3279</v>
      </c>
      <c r="B631" s="150" t="s">
        <v>3280</v>
      </c>
      <c r="C631" s="149" t="s">
        <v>3280</v>
      </c>
      <c r="D631" s="149" t="s">
        <v>3281</v>
      </c>
      <c r="E631" s="151">
        <v>13</v>
      </c>
      <c r="F631" s="152" t="s">
        <v>234</v>
      </c>
      <c r="G631" s="151">
        <v>10</v>
      </c>
      <c r="H631" s="153" t="s">
        <v>3282</v>
      </c>
    </row>
    <row r="632" spans="1:8" ht="31.5" hidden="1">
      <c r="A632" s="149" t="s">
        <v>3283</v>
      </c>
      <c r="B632" s="150" t="s">
        <v>3284</v>
      </c>
      <c r="C632" s="149" t="s">
        <v>3284</v>
      </c>
      <c r="D632" s="149" t="s">
        <v>3285</v>
      </c>
      <c r="E632" s="151">
        <v>12</v>
      </c>
      <c r="F632" s="152" t="s">
        <v>234</v>
      </c>
      <c r="G632" s="151">
        <v>10</v>
      </c>
      <c r="H632" s="153" t="s">
        <v>3282</v>
      </c>
    </row>
    <row r="633" spans="1:8" ht="31.5" hidden="1">
      <c r="A633" s="149" t="s">
        <v>3286</v>
      </c>
      <c r="B633" s="150" t="s">
        <v>3287</v>
      </c>
      <c r="C633" s="149" t="s">
        <v>3287</v>
      </c>
      <c r="D633" s="149" t="s">
        <v>3288</v>
      </c>
      <c r="E633" s="151">
        <v>12</v>
      </c>
      <c r="F633" s="152" t="s">
        <v>234</v>
      </c>
      <c r="G633" s="151">
        <v>10</v>
      </c>
      <c r="H633" s="153" t="s">
        <v>3282</v>
      </c>
    </row>
    <row r="634" spans="1:8" ht="31.5" hidden="1">
      <c r="A634" s="149" t="s">
        <v>3289</v>
      </c>
      <c r="B634" s="150" t="s">
        <v>3290</v>
      </c>
      <c r="C634" s="149" t="s">
        <v>234</v>
      </c>
      <c r="D634" s="149" t="s">
        <v>3291</v>
      </c>
      <c r="E634" s="151">
        <v>13</v>
      </c>
      <c r="F634" s="152" t="s">
        <v>234</v>
      </c>
      <c r="G634" s="151">
        <v>10</v>
      </c>
      <c r="H634" s="153" t="s">
        <v>3282</v>
      </c>
    </row>
    <row r="635" spans="1:8" ht="31.5" hidden="1">
      <c r="A635" s="149" t="s">
        <v>3292</v>
      </c>
      <c r="B635" s="150" t="s">
        <v>3293</v>
      </c>
      <c r="C635" s="149" t="s">
        <v>3294</v>
      </c>
      <c r="D635" s="149" t="s">
        <v>3295</v>
      </c>
      <c r="E635" s="151">
        <v>13</v>
      </c>
      <c r="F635" s="152" t="s">
        <v>234</v>
      </c>
      <c r="G635" s="151">
        <v>10</v>
      </c>
      <c r="H635" s="153" t="s">
        <v>3282</v>
      </c>
    </row>
    <row r="636" spans="1:8" ht="31.5" hidden="1">
      <c r="A636" s="149" t="s">
        <v>3296</v>
      </c>
      <c r="B636" s="150" t="s">
        <v>3297</v>
      </c>
      <c r="C636" s="149" t="s">
        <v>3298</v>
      </c>
      <c r="D636" s="149" t="s">
        <v>3299</v>
      </c>
      <c r="E636" s="151">
        <v>13</v>
      </c>
      <c r="F636" s="152" t="s">
        <v>234</v>
      </c>
      <c r="G636" s="151">
        <v>10</v>
      </c>
      <c r="H636" s="153" t="s">
        <v>3282</v>
      </c>
    </row>
    <row r="637" spans="1:8" ht="31.5" hidden="1">
      <c r="A637" s="149" t="s">
        <v>3300</v>
      </c>
      <c r="B637" s="150" t="s">
        <v>3301</v>
      </c>
      <c r="C637" s="149" t="s">
        <v>3302</v>
      </c>
      <c r="D637" s="149" t="s">
        <v>3303</v>
      </c>
      <c r="E637" s="151">
        <v>13</v>
      </c>
      <c r="F637" s="152" t="s">
        <v>234</v>
      </c>
      <c r="G637" s="151">
        <v>10</v>
      </c>
      <c r="H637" s="153" t="s">
        <v>3282</v>
      </c>
    </row>
    <row r="638" spans="1:8" ht="31.5" hidden="1">
      <c r="A638" s="149" t="s">
        <v>3304</v>
      </c>
      <c r="B638" s="150" t="s">
        <v>3305</v>
      </c>
      <c r="C638" s="149" t="s">
        <v>3306</v>
      </c>
      <c r="D638" s="149" t="s">
        <v>3307</v>
      </c>
      <c r="E638" s="151">
        <v>13</v>
      </c>
      <c r="F638" s="152" t="s">
        <v>234</v>
      </c>
      <c r="G638" s="151">
        <v>10</v>
      </c>
      <c r="H638" s="153" t="s">
        <v>3282</v>
      </c>
    </row>
    <row r="639" spans="1:8" ht="31.5" hidden="1">
      <c r="A639" s="149" t="s">
        <v>3308</v>
      </c>
      <c r="B639" s="150" t="s">
        <v>3309</v>
      </c>
      <c r="C639" s="149" t="s">
        <v>3309</v>
      </c>
      <c r="D639" s="149" t="s">
        <v>3310</v>
      </c>
      <c r="E639" s="151">
        <v>13</v>
      </c>
      <c r="F639" s="152" t="s">
        <v>234</v>
      </c>
      <c r="G639" s="151">
        <v>10</v>
      </c>
      <c r="H639" s="153" t="s">
        <v>3282</v>
      </c>
    </row>
    <row r="640" spans="1:8" ht="31.5" hidden="1">
      <c r="A640" s="149" t="s">
        <v>3311</v>
      </c>
      <c r="B640" s="150" t="s">
        <v>3312</v>
      </c>
      <c r="C640" s="149" t="s">
        <v>3313</v>
      </c>
      <c r="D640" s="149" t="s">
        <v>3314</v>
      </c>
      <c r="E640" s="151">
        <v>12</v>
      </c>
      <c r="F640" s="152" t="s">
        <v>234</v>
      </c>
      <c r="G640" s="151">
        <v>10</v>
      </c>
      <c r="H640" s="153" t="s">
        <v>3282</v>
      </c>
    </row>
    <row r="641" spans="1:8" ht="31.5" hidden="1">
      <c r="A641" s="149" t="s">
        <v>3315</v>
      </c>
      <c r="B641" s="150" t="s">
        <v>3316</v>
      </c>
      <c r="C641" s="149" t="s">
        <v>3317</v>
      </c>
      <c r="D641" s="149" t="s">
        <v>3318</v>
      </c>
      <c r="E641" s="151">
        <v>15</v>
      </c>
      <c r="F641" s="152" t="s">
        <v>234</v>
      </c>
      <c r="G641" s="151">
        <v>10</v>
      </c>
      <c r="H641" s="153" t="s">
        <v>3282</v>
      </c>
    </row>
    <row r="642" spans="1:8" ht="31.5" hidden="1">
      <c r="A642" s="149" t="s">
        <v>3319</v>
      </c>
      <c r="B642" s="150" t="s">
        <v>3320</v>
      </c>
      <c r="C642" s="149" t="s">
        <v>3321</v>
      </c>
      <c r="D642" s="149" t="s">
        <v>3322</v>
      </c>
      <c r="E642" s="151">
        <v>15</v>
      </c>
      <c r="F642" s="152" t="s">
        <v>234</v>
      </c>
      <c r="G642" s="151">
        <v>10</v>
      </c>
      <c r="H642" s="153" t="s">
        <v>3282</v>
      </c>
    </row>
    <row r="643" spans="1:8" ht="31.5" hidden="1">
      <c r="A643" s="149" t="s">
        <v>3323</v>
      </c>
      <c r="B643" s="150" t="s">
        <v>3324</v>
      </c>
      <c r="C643" s="149" t="s">
        <v>3324</v>
      </c>
      <c r="D643" s="149" t="s">
        <v>3325</v>
      </c>
      <c r="E643" s="151">
        <v>13</v>
      </c>
      <c r="F643" s="152" t="s">
        <v>234</v>
      </c>
      <c r="G643" s="151">
        <v>10</v>
      </c>
      <c r="H643" s="153" t="s">
        <v>3282</v>
      </c>
    </row>
    <row r="644" spans="1:8" ht="31.5" hidden="1">
      <c r="A644" s="149" t="s">
        <v>3326</v>
      </c>
      <c r="B644" s="150" t="s">
        <v>3327</v>
      </c>
      <c r="C644" s="149" t="s">
        <v>3328</v>
      </c>
      <c r="D644" s="149" t="s">
        <v>3329</v>
      </c>
      <c r="E644" s="151">
        <v>13</v>
      </c>
      <c r="F644" s="152" t="s">
        <v>234</v>
      </c>
      <c r="G644" s="151">
        <v>10</v>
      </c>
      <c r="H644" s="153" t="s">
        <v>3282</v>
      </c>
    </row>
    <row r="645" spans="1:8" ht="31.5" hidden="1">
      <c r="A645" s="149" t="s">
        <v>3330</v>
      </c>
      <c r="B645" s="150" t="s">
        <v>3331</v>
      </c>
      <c r="C645" s="149" t="s">
        <v>3332</v>
      </c>
      <c r="D645" s="149" t="s">
        <v>3333</v>
      </c>
      <c r="E645" s="151">
        <v>15</v>
      </c>
      <c r="F645" s="152" t="s">
        <v>234</v>
      </c>
      <c r="G645" s="151">
        <v>10</v>
      </c>
      <c r="H645" s="153" t="s">
        <v>3282</v>
      </c>
    </row>
    <row r="646" spans="1:8" ht="31.5" hidden="1">
      <c r="A646" s="149" t="s">
        <v>3334</v>
      </c>
      <c r="B646" s="150" t="s">
        <v>3335</v>
      </c>
      <c r="C646" s="149" t="s">
        <v>3335</v>
      </c>
      <c r="D646" s="149" t="s">
        <v>3336</v>
      </c>
      <c r="E646" s="151">
        <v>14</v>
      </c>
      <c r="F646" s="152" t="s">
        <v>234</v>
      </c>
      <c r="G646" s="151">
        <v>10</v>
      </c>
      <c r="H646" s="153" t="s">
        <v>3282</v>
      </c>
    </row>
    <row r="647" spans="1:8" ht="31.5" hidden="1">
      <c r="A647" s="149" t="s">
        <v>3337</v>
      </c>
      <c r="B647" s="150" t="s">
        <v>3338</v>
      </c>
      <c r="C647" s="149" t="s">
        <v>3339</v>
      </c>
      <c r="D647" s="149" t="s">
        <v>3340</v>
      </c>
      <c r="E647" s="151">
        <v>15</v>
      </c>
      <c r="F647" s="152" t="s">
        <v>234</v>
      </c>
      <c r="G647" s="151">
        <v>10</v>
      </c>
      <c r="H647" s="153" t="s">
        <v>3282</v>
      </c>
    </row>
    <row r="648" spans="1:8" ht="31.5" hidden="1">
      <c r="A648" s="149" t="s">
        <v>3341</v>
      </c>
      <c r="B648" s="150" t="s">
        <v>3342</v>
      </c>
      <c r="C648" s="149" t="s">
        <v>3343</v>
      </c>
      <c r="D648" s="149" t="s">
        <v>3344</v>
      </c>
      <c r="E648" s="151">
        <v>15</v>
      </c>
      <c r="F648" s="152" t="s">
        <v>234</v>
      </c>
      <c r="G648" s="151">
        <v>10</v>
      </c>
      <c r="H648" s="153" t="s">
        <v>3282</v>
      </c>
    </row>
    <row r="649" spans="1:8" ht="31.5" hidden="1">
      <c r="A649" s="149" t="s">
        <v>3345</v>
      </c>
      <c r="B649" s="150" t="s">
        <v>3346</v>
      </c>
      <c r="C649" s="149" t="s">
        <v>3347</v>
      </c>
      <c r="D649" s="149" t="s">
        <v>3348</v>
      </c>
      <c r="E649" s="151">
        <v>15</v>
      </c>
      <c r="F649" s="152" t="s">
        <v>234</v>
      </c>
      <c r="G649" s="151">
        <v>10</v>
      </c>
      <c r="H649" s="153" t="s">
        <v>3282</v>
      </c>
    </row>
    <row r="650" spans="1:8" ht="31.5" hidden="1">
      <c r="A650" s="149" t="s">
        <v>3349</v>
      </c>
      <c r="B650" s="150" t="s">
        <v>3350</v>
      </c>
      <c r="C650" s="149" t="s">
        <v>3351</v>
      </c>
      <c r="D650" s="149" t="s">
        <v>3352</v>
      </c>
      <c r="E650" s="151">
        <v>15</v>
      </c>
      <c r="F650" s="152" t="s">
        <v>234</v>
      </c>
      <c r="G650" s="151">
        <v>10</v>
      </c>
      <c r="H650" s="153" t="s">
        <v>3282</v>
      </c>
    </row>
    <row r="651" spans="1:8" ht="31.5" hidden="1">
      <c r="A651" s="149" t="s">
        <v>3353</v>
      </c>
      <c r="B651" s="150" t="s">
        <v>3354</v>
      </c>
      <c r="C651" s="149" t="s">
        <v>3354</v>
      </c>
      <c r="D651" s="149" t="s">
        <v>3355</v>
      </c>
      <c r="E651" s="151">
        <v>15</v>
      </c>
      <c r="F651" s="152" t="s">
        <v>234</v>
      </c>
      <c r="G651" s="151">
        <v>10</v>
      </c>
      <c r="H651" s="153" t="s">
        <v>3282</v>
      </c>
    </row>
    <row r="652" spans="1:8" ht="31.5" hidden="1">
      <c r="A652" s="149" t="s">
        <v>3356</v>
      </c>
      <c r="B652" s="150" t="s">
        <v>3357</v>
      </c>
      <c r="C652" s="149" t="s">
        <v>3358</v>
      </c>
      <c r="D652" s="149" t="s">
        <v>3359</v>
      </c>
      <c r="E652" s="151">
        <v>15</v>
      </c>
      <c r="F652" s="152" t="s">
        <v>234</v>
      </c>
      <c r="G652" s="151">
        <v>10</v>
      </c>
      <c r="H652" s="153" t="s">
        <v>3282</v>
      </c>
    </row>
    <row r="653" spans="1:8" ht="31.5" hidden="1">
      <c r="A653" s="149" t="s">
        <v>3360</v>
      </c>
      <c r="B653" s="150" t="s">
        <v>3361</v>
      </c>
      <c r="C653" s="149" t="s">
        <v>3362</v>
      </c>
      <c r="D653" s="149" t="s">
        <v>3363</v>
      </c>
      <c r="E653" s="151">
        <v>15</v>
      </c>
      <c r="F653" s="152" t="s">
        <v>234</v>
      </c>
      <c r="G653" s="151">
        <v>10</v>
      </c>
      <c r="H653" s="153" t="s">
        <v>3282</v>
      </c>
    </row>
    <row r="654" spans="1:8" ht="31.5" hidden="1">
      <c r="A654" s="149" t="s">
        <v>3364</v>
      </c>
      <c r="B654" s="150" t="s">
        <v>3365</v>
      </c>
      <c r="C654" s="149" t="s">
        <v>3365</v>
      </c>
      <c r="D654" s="149" t="s">
        <v>3366</v>
      </c>
      <c r="E654" s="151">
        <v>15</v>
      </c>
      <c r="F654" s="152" t="s">
        <v>234</v>
      </c>
      <c r="G654" s="151">
        <v>10</v>
      </c>
      <c r="H654" s="153" t="s">
        <v>3282</v>
      </c>
    </row>
    <row r="655" spans="1:8" ht="31.5" hidden="1">
      <c r="A655" s="149" t="s">
        <v>3367</v>
      </c>
      <c r="B655" s="150" t="s">
        <v>3368</v>
      </c>
      <c r="C655" s="149" t="s">
        <v>3369</v>
      </c>
      <c r="D655" s="149" t="s">
        <v>3370</v>
      </c>
      <c r="E655" s="151">
        <v>15</v>
      </c>
      <c r="F655" s="152" t="s">
        <v>234</v>
      </c>
      <c r="G655" s="151">
        <v>10</v>
      </c>
      <c r="H655" s="153" t="s">
        <v>3282</v>
      </c>
    </row>
    <row r="656" spans="1:8" ht="31.5" hidden="1">
      <c r="A656" s="149" t="s">
        <v>3371</v>
      </c>
      <c r="B656" s="150" t="s">
        <v>3372</v>
      </c>
      <c r="C656" s="149" t="s">
        <v>3372</v>
      </c>
      <c r="D656" s="149" t="s">
        <v>3373</v>
      </c>
      <c r="E656" s="151">
        <v>12</v>
      </c>
      <c r="F656" s="152" t="s">
        <v>234</v>
      </c>
      <c r="G656" s="151">
        <v>10</v>
      </c>
      <c r="H656" s="153" t="s">
        <v>3282</v>
      </c>
    </row>
    <row r="657" spans="1:8" ht="31.5" hidden="1">
      <c r="A657" s="149" t="s">
        <v>3374</v>
      </c>
      <c r="B657" s="150" t="s">
        <v>3375</v>
      </c>
      <c r="C657" s="149" t="s">
        <v>3375</v>
      </c>
      <c r="D657" s="149" t="s">
        <v>3376</v>
      </c>
      <c r="E657" s="151">
        <v>13</v>
      </c>
      <c r="F657" s="152" t="s">
        <v>234</v>
      </c>
      <c r="G657" s="151">
        <v>10</v>
      </c>
      <c r="H657" s="153" t="s">
        <v>3282</v>
      </c>
    </row>
    <row r="658" spans="1:8" ht="31.5" hidden="1">
      <c r="A658" s="149" t="s">
        <v>3377</v>
      </c>
      <c r="B658" s="150" t="s">
        <v>3378</v>
      </c>
      <c r="C658" s="149" t="s">
        <v>3378</v>
      </c>
      <c r="D658" s="149" t="s">
        <v>3379</v>
      </c>
      <c r="E658" s="151">
        <v>12</v>
      </c>
      <c r="F658" s="152" t="s">
        <v>234</v>
      </c>
      <c r="G658" s="151">
        <v>10</v>
      </c>
      <c r="H658" s="153" t="s">
        <v>3282</v>
      </c>
    </row>
    <row r="659" spans="1:8" ht="47.25" hidden="1">
      <c r="A659" s="149" t="s">
        <v>3380</v>
      </c>
      <c r="B659" s="150" t="s">
        <v>3381</v>
      </c>
      <c r="C659" s="149" t="s">
        <v>3381</v>
      </c>
      <c r="D659" s="149" t="s">
        <v>3382</v>
      </c>
      <c r="E659" s="151">
        <v>12</v>
      </c>
      <c r="F659" s="152" t="s">
        <v>234</v>
      </c>
      <c r="G659" s="151">
        <v>10</v>
      </c>
      <c r="H659" s="153" t="s">
        <v>3282</v>
      </c>
    </row>
    <row r="660" spans="1:8" ht="31.5" hidden="1">
      <c r="A660" s="149" t="s">
        <v>3383</v>
      </c>
      <c r="B660" s="150" t="s">
        <v>3384</v>
      </c>
      <c r="C660" s="149" t="s">
        <v>3385</v>
      </c>
      <c r="D660" s="149" t="s">
        <v>3386</v>
      </c>
      <c r="E660" s="151">
        <v>14</v>
      </c>
      <c r="F660" s="152" t="s">
        <v>214</v>
      </c>
      <c r="G660" s="151">
        <v>10</v>
      </c>
      <c r="H660" s="153" t="s">
        <v>3282</v>
      </c>
    </row>
    <row r="661" spans="1:8" ht="31.5" hidden="1">
      <c r="A661" s="149" t="s">
        <v>3387</v>
      </c>
      <c r="B661" s="150" t="s">
        <v>3388</v>
      </c>
      <c r="C661" s="149" t="s">
        <v>3389</v>
      </c>
      <c r="D661" s="149" t="s">
        <v>3390</v>
      </c>
      <c r="E661" s="151">
        <v>14</v>
      </c>
      <c r="F661" s="152" t="s">
        <v>214</v>
      </c>
      <c r="G661" s="151">
        <v>10</v>
      </c>
      <c r="H661" s="153" t="s">
        <v>3282</v>
      </c>
    </row>
    <row r="662" spans="1:8" ht="31.5" hidden="1">
      <c r="A662" s="149" t="s">
        <v>3391</v>
      </c>
      <c r="B662" s="150" t="s">
        <v>3392</v>
      </c>
      <c r="C662" s="149" t="s">
        <v>3392</v>
      </c>
      <c r="D662" s="149" t="s">
        <v>3393</v>
      </c>
      <c r="E662" s="151">
        <v>14</v>
      </c>
      <c r="F662" s="152" t="s">
        <v>214</v>
      </c>
      <c r="G662" s="151">
        <v>10</v>
      </c>
      <c r="H662" s="153" t="s">
        <v>3282</v>
      </c>
    </row>
    <row r="663" spans="1:8" ht="31.5" hidden="1">
      <c r="A663" s="149" t="s">
        <v>3394</v>
      </c>
      <c r="B663" s="150" t="s">
        <v>3395</v>
      </c>
      <c r="C663" s="149" t="s">
        <v>3396</v>
      </c>
      <c r="D663" s="149" t="s">
        <v>3397</v>
      </c>
      <c r="E663" s="151">
        <v>14</v>
      </c>
      <c r="F663" s="152" t="s">
        <v>214</v>
      </c>
      <c r="G663" s="151">
        <v>10</v>
      </c>
      <c r="H663" s="153" t="s">
        <v>3282</v>
      </c>
    </row>
    <row r="664" spans="1:8" ht="31.5" hidden="1">
      <c r="A664" s="149" t="s">
        <v>3398</v>
      </c>
      <c r="B664" s="150" t="s">
        <v>3399</v>
      </c>
      <c r="C664" s="149" t="s">
        <v>3400</v>
      </c>
      <c r="D664" s="149" t="s">
        <v>3401</v>
      </c>
      <c r="E664" s="151">
        <v>14</v>
      </c>
      <c r="F664" s="152" t="s">
        <v>214</v>
      </c>
      <c r="G664" s="151">
        <v>10</v>
      </c>
      <c r="H664" s="153" t="s">
        <v>3282</v>
      </c>
    </row>
    <row r="665" spans="1:8" ht="31.5" hidden="1">
      <c r="A665" s="149" t="s">
        <v>3402</v>
      </c>
      <c r="B665" s="150" t="s">
        <v>3403</v>
      </c>
      <c r="C665" s="149" t="s">
        <v>3403</v>
      </c>
      <c r="D665" s="149" t="s">
        <v>3403</v>
      </c>
      <c r="E665" s="151">
        <v>14</v>
      </c>
      <c r="F665" s="152" t="s">
        <v>214</v>
      </c>
      <c r="G665" s="151">
        <v>10</v>
      </c>
      <c r="H665" s="153" t="s">
        <v>3282</v>
      </c>
    </row>
    <row r="666" spans="1:8" ht="31.5" hidden="1">
      <c r="A666" s="149" t="s">
        <v>3404</v>
      </c>
      <c r="B666" s="150" t="s">
        <v>3405</v>
      </c>
      <c r="C666" s="149" t="s">
        <v>3406</v>
      </c>
      <c r="D666" s="149" t="s">
        <v>3407</v>
      </c>
      <c r="E666" s="151">
        <v>14</v>
      </c>
      <c r="F666" s="152" t="s">
        <v>214</v>
      </c>
      <c r="G666" s="151">
        <v>10</v>
      </c>
      <c r="H666" s="153" t="s">
        <v>3282</v>
      </c>
    </row>
    <row r="667" spans="1:8" ht="31.5" hidden="1">
      <c r="A667" s="149" t="s">
        <v>3408</v>
      </c>
      <c r="B667" s="150" t="s">
        <v>3409</v>
      </c>
      <c r="C667" s="149" t="s">
        <v>3410</v>
      </c>
      <c r="D667" s="149" t="s">
        <v>3411</v>
      </c>
      <c r="E667" s="151">
        <v>14</v>
      </c>
      <c r="F667" s="152" t="s">
        <v>214</v>
      </c>
      <c r="G667" s="151">
        <v>10</v>
      </c>
      <c r="H667" s="153" t="s">
        <v>3282</v>
      </c>
    </row>
    <row r="668" spans="1:8" ht="31.5" hidden="1">
      <c r="A668" s="149" t="s">
        <v>3412</v>
      </c>
      <c r="B668" s="150" t="s">
        <v>3413</v>
      </c>
      <c r="C668" s="149" t="s">
        <v>3413</v>
      </c>
      <c r="D668" s="149" t="s">
        <v>3414</v>
      </c>
      <c r="E668" s="151">
        <v>14</v>
      </c>
      <c r="F668" s="152" t="s">
        <v>214</v>
      </c>
      <c r="G668" s="151">
        <v>10</v>
      </c>
      <c r="H668" s="153" t="s">
        <v>3282</v>
      </c>
    </row>
    <row r="669" spans="1:8" ht="31.5" hidden="1">
      <c r="A669" s="149" t="s">
        <v>3415</v>
      </c>
      <c r="B669" s="150" t="s">
        <v>3416</v>
      </c>
      <c r="C669" s="149" t="s">
        <v>3416</v>
      </c>
      <c r="D669" s="149" t="s">
        <v>3417</v>
      </c>
      <c r="E669" s="151">
        <v>14</v>
      </c>
      <c r="F669" s="152" t="s">
        <v>214</v>
      </c>
      <c r="G669" s="151">
        <v>10</v>
      </c>
      <c r="H669" s="153" t="s">
        <v>3282</v>
      </c>
    </row>
    <row r="670" spans="1:8" ht="31.5" hidden="1">
      <c r="A670" s="149" t="s">
        <v>3418</v>
      </c>
      <c r="B670" s="150" t="s">
        <v>3419</v>
      </c>
      <c r="C670" s="149" t="s">
        <v>3420</v>
      </c>
      <c r="D670" s="149" t="s">
        <v>3421</v>
      </c>
      <c r="E670" s="151">
        <v>14</v>
      </c>
      <c r="F670" s="152" t="s">
        <v>214</v>
      </c>
      <c r="G670" s="151">
        <v>10</v>
      </c>
      <c r="H670" s="153" t="s">
        <v>3282</v>
      </c>
    </row>
    <row r="671" spans="1:8" ht="31.5" hidden="1">
      <c r="A671" s="149" t="s">
        <v>3422</v>
      </c>
      <c r="B671" s="150" t="s">
        <v>3423</v>
      </c>
      <c r="C671" s="149" t="s">
        <v>3424</v>
      </c>
      <c r="D671" s="149" t="s">
        <v>3425</v>
      </c>
      <c r="E671" s="151">
        <v>14</v>
      </c>
      <c r="F671" s="152" t="s">
        <v>214</v>
      </c>
      <c r="G671" s="151">
        <v>10</v>
      </c>
      <c r="H671" s="153" t="s">
        <v>3282</v>
      </c>
    </row>
    <row r="672" spans="1:8" ht="31.5" hidden="1">
      <c r="A672" s="149" t="s">
        <v>3426</v>
      </c>
      <c r="B672" s="150" t="s">
        <v>3427</v>
      </c>
      <c r="C672" s="149" t="s">
        <v>3427</v>
      </c>
      <c r="D672" s="149" t="s">
        <v>3428</v>
      </c>
      <c r="E672" s="151">
        <v>14</v>
      </c>
      <c r="F672" s="152" t="s">
        <v>214</v>
      </c>
      <c r="G672" s="151">
        <v>10</v>
      </c>
      <c r="H672" s="153" t="s">
        <v>3282</v>
      </c>
    </row>
    <row r="673" spans="1:8" ht="31.5" hidden="1">
      <c r="A673" s="149" t="s">
        <v>3429</v>
      </c>
      <c r="B673" s="150" t="s">
        <v>3430</v>
      </c>
      <c r="C673" s="149" t="s">
        <v>3430</v>
      </c>
      <c r="D673" s="149" t="s">
        <v>3431</v>
      </c>
      <c r="E673" s="151">
        <v>14</v>
      </c>
      <c r="F673" s="152" t="s">
        <v>214</v>
      </c>
      <c r="G673" s="151">
        <v>10</v>
      </c>
      <c r="H673" s="153" t="s">
        <v>3282</v>
      </c>
    </row>
    <row r="674" spans="1:8" ht="31.5" hidden="1">
      <c r="A674" s="149" t="s">
        <v>3432</v>
      </c>
      <c r="B674" s="150" t="s">
        <v>3433</v>
      </c>
      <c r="C674" s="149" t="s">
        <v>3434</v>
      </c>
      <c r="D674" s="149" t="s">
        <v>3435</v>
      </c>
      <c r="E674" s="151">
        <v>14</v>
      </c>
      <c r="F674" s="152" t="s">
        <v>214</v>
      </c>
      <c r="G674" s="151">
        <v>10</v>
      </c>
      <c r="H674" s="153" t="s">
        <v>3282</v>
      </c>
    </row>
    <row r="675" spans="1:8" ht="31.5" hidden="1">
      <c r="A675" s="149" t="s">
        <v>3436</v>
      </c>
      <c r="B675" s="150" t="s">
        <v>3437</v>
      </c>
      <c r="C675" s="149" t="s">
        <v>3438</v>
      </c>
      <c r="D675" s="149" t="s">
        <v>3439</v>
      </c>
      <c r="E675" s="151">
        <v>14</v>
      </c>
      <c r="F675" s="152" t="s">
        <v>214</v>
      </c>
      <c r="G675" s="151">
        <v>10</v>
      </c>
      <c r="H675" s="153" t="s">
        <v>3282</v>
      </c>
    </row>
    <row r="676" spans="1:8" ht="31.5" hidden="1">
      <c r="A676" s="149" t="s">
        <v>3440</v>
      </c>
      <c r="B676" s="150" t="s">
        <v>3441</v>
      </c>
      <c r="C676" s="149" t="s">
        <v>3442</v>
      </c>
      <c r="D676" s="149" t="s">
        <v>3443</v>
      </c>
      <c r="E676" s="151">
        <v>14</v>
      </c>
      <c r="F676" s="152" t="s">
        <v>214</v>
      </c>
      <c r="G676" s="151">
        <v>10</v>
      </c>
      <c r="H676" s="153" t="s">
        <v>3282</v>
      </c>
    </row>
    <row r="677" spans="1:8" ht="31.5" hidden="1">
      <c r="A677" s="149" t="s">
        <v>3444</v>
      </c>
      <c r="B677" s="150" t="s">
        <v>3445</v>
      </c>
      <c r="C677" s="149" t="s">
        <v>3446</v>
      </c>
      <c r="D677" s="149" t="s">
        <v>3447</v>
      </c>
      <c r="E677" s="151">
        <v>14</v>
      </c>
      <c r="F677" s="152" t="s">
        <v>214</v>
      </c>
      <c r="G677" s="151">
        <v>10</v>
      </c>
      <c r="H677" s="153" t="s">
        <v>3282</v>
      </c>
    </row>
    <row r="678" spans="1:8" ht="31.5" hidden="1">
      <c r="A678" s="149" t="s">
        <v>3448</v>
      </c>
      <c r="B678" s="150" t="s">
        <v>3449</v>
      </c>
      <c r="C678" s="149" t="s">
        <v>3450</v>
      </c>
      <c r="D678" s="149" t="s">
        <v>3451</v>
      </c>
      <c r="E678" s="151">
        <v>14</v>
      </c>
      <c r="F678" s="152" t="s">
        <v>214</v>
      </c>
      <c r="G678" s="151">
        <v>10</v>
      </c>
      <c r="H678" s="153" t="s">
        <v>3282</v>
      </c>
    </row>
    <row r="679" spans="1:8" ht="31.5" hidden="1">
      <c r="A679" s="149" t="s">
        <v>3452</v>
      </c>
      <c r="B679" s="150" t="s">
        <v>3453</v>
      </c>
      <c r="C679" s="149" t="s">
        <v>3454</v>
      </c>
      <c r="D679" s="149" t="s">
        <v>3455</v>
      </c>
      <c r="E679" s="151">
        <v>14</v>
      </c>
      <c r="F679" s="152" t="s">
        <v>214</v>
      </c>
      <c r="G679" s="151">
        <v>10</v>
      </c>
      <c r="H679" s="153" t="s">
        <v>3282</v>
      </c>
    </row>
    <row r="680" spans="1:8" ht="31.5" hidden="1">
      <c r="A680" s="149" t="s">
        <v>3456</v>
      </c>
      <c r="B680" s="150" t="s">
        <v>3457</v>
      </c>
      <c r="C680" s="149" t="s">
        <v>3458</v>
      </c>
      <c r="D680" s="149" t="s">
        <v>3459</v>
      </c>
      <c r="E680" s="151">
        <v>14</v>
      </c>
      <c r="F680" s="152" t="s">
        <v>214</v>
      </c>
      <c r="G680" s="151">
        <v>10</v>
      </c>
      <c r="H680" s="153" t="s">
        <v>3282</v>
      </c>
    </row>
    <row r="681" spans="1:8" ht="31.5" hidden="1">
      <c r="A681" s="149" t="s">
        <v>3460</v>
      </c>
      <c r="B681" s="150" t="s">
        <v>3461</v>
      </c>
      <c r="C681" s="149" t="s">
        <v>3462</v>
      </c>
      <c r="D681" s="149" t="s">
        <v>3463</v>
      </c>
      <c r="E681" s="151">
        <v>14</v>
      </c>
      <c r="F681" s="152" t="s">
        <v>214</v>
      </c>
      <c r="G681" s="151">
        <v>10</v>
      </c>
      <c r="H681" s="153" t="s">
        <v>3282</v>
      </c>
    </row>
    <row r="682" spans="1:8" ht="31.5" hidden="1">
      <c r="A682" s="149" t="s">
        <v>3464</v>
      </c>
      <c r="B682" s="150" t="s">
        <v>3465</v>
      </c>
      <c r="C682" s="149" t="s">
        <v>3466</v>
      </c>
      <c r="D682" s="149" t="s">
        <v>3467</v>
      </c>
      <c r="E682" s="151">
        <v>14</v>
      </c>
      <c r="F682" s="152" t="s">
        <v>214</v>
      </c>
      <c r="G682" s="151">
        <v>10</v>
      </c>
      <c r="H682" s="153" t="s">
        <v>3282</v>
      </c>
    </row>
    <row r="683" spans="1:8" ht="31.5" hidden="1">
      <c r="A683" s="149" t="s">
        <v>3468</v>
      </c>
      <c r="B683" s="150" t="s">
        <v>3469</v>
      </c>
      <c r="C683" s="149" t="s">
        <v>3470</v>
      </c>
      <c r="D683" s="149" t="s">
        <v>3471</v>
      </c>
      <c r="E683" s="151">
        <v>14</v>
      </c>
      <c r="F683" s="152" t="s">
        <v>214</v>
      </c>
      <c r="G683" s="151">
        <v>10</v>
      </c>
      <c r="H683" s="153" t="s">
        <v>3282</v>
      </c>
    </row>
    <row r="684" spans="1:8" ht="31.5" hidden="1">
      <c r="A684" s="149" t="s">
        <v>3472</v>
      </c>
      <c r="B684" s="150" t="s">
        <v>3473</v>
      </c>
      <c r="C684" s="149" t="s">
        <v>3474</v>
      </c>
      <c r="D684" s="149" t="s">
        <v>3475</v>
      </c>
      <c r="E684" s="151">
        <v>14</v>
      </c>
      <c r="F684" s="152" t="s">
        <v>214</v>
      </c>
      <c r="G684" s="151">
        <v>10</v>
      </c>
      <c r="H684" s="153" t="s">
        <v>3282</v>
      </c>
    </row>
    <row r="685" spans="1:8" ht="31.5" hidden="1">
      <c r="A685" s="149" t="s">
        <v>3476</v>
      </c>
      <c r="B685" s="150" t="s">
        <v>3477</v>
      </c>
      <c r="C685" s="149" t="s">
        <v>3478</v>
      </c>
      <c r="D685" s="149" t="s">
        <v>3479</v>
      </c>
      <c r="E685" s="151">
        <v>14</v>
      </c>
      <c r="F685" s="152" t="s">
        <v>214</v>
      </c>
      <c r="G685" s="151">
        <v>10</v>
      </c>
      <c r="H685" s="153" t="s">
        <v>3282</v>
      </c>
    </row>
    <row r="686" spans="1:8" ht="31.5" hidden="1">
      <c r="A686" s="149" t="s">
        <v>3480</v>
      </c>
      <c r="B686" s="150" t="s">
        <v>3481</v>
      </c>
      <c r="C686" s="149" t="s">
        <v>3482</v>
      </c>
      <c r="D686" s="149" t="s">
        <v>3483</v>
      </c>
      <c r="E686" s="151">
        <v>14</v>
      </c>
      <c r="F686" s="152" t="s">
        <v>214</v>
      </c>
      <c r="G686" s="151">
        <v>10</v>
      </c>
      <c r="H686" s="153" t="s">
        <v>3282</v>
      </c>
    </row>
    <row r="687" spans="1:8" ht="31.5" hidden="1">
      <c r="A687" s="149" t="s">
        <v>3484</v>
      </c>
      <c r="B687" s="150" t="s">
        <v>3485</v>
      </c>
      <c r="C687" s="149" t="s">
        <v>3486</v>
      </c>
      <c r="D687" s="149" t="s">
        <v>3487</v>
      </c>
      <c r="E687" s="151">
        <v>14</v>
      </c>
      <c r="F687" s="152" t="s">
        <v>214</v>
      </c>
      <c r="G687" s="151">
        <v>10</v>
      </c>
      <c r="H687" s="153" t="s">
        <v>3282</v>
      </c>
    </row>
    <row r="688" spans="1:8" ht="31.5" hidden="1">
      <c r="A688" s="149" t="s">
        <v>3488</v>
      </c>
      <c r="B688" s="150" t="s">
        <v>3489</v>
      </c>
      <c r="C688" s="149" t="s">
        <v>3490</v>
      </c>
      <c r="D688" s="149" t="s">
        <v>3491</v>
      </c>
      <c r="E688" s="151">
        <v>14</v>
      </c>
      <c r="F688" s="170" t="s">
        <v>718</v>
      </c>
      <c r="G688" s="151">
        <v>11</v>
      </c>
      <c r="H688" s="153" t="s">
        <v>3492</v>
      </c>
    </row>
    <row r="689" spans="1:8" ht="31.5" hidden="1">
      <c r="A689" s="149" t="s">
        <v>3493</v>
      </c>
      <c r="B689" s="150" t="s">
        <v>3494</v>
      </c>
      <c r="C689" s="149" t="s">
        <v>3495</v>
      </c>
      <c r="D689" s="149" t="s">
        <v>3496</v>
      </c>
      <c r="E689" s="151">
        <v>14</v>
      </c>
      <c r="F689" s="170" t="s">
        <v>718</v>
      </c>
      <c r="G689" s="151">
        <v>11</v>
      </c>
      <c r="H689" s="153" t="s">
        <v>3492</v>
      </c>
    </row>
    <row r="690" spans="1:8" ht="15.75" hidden="1">
      <c r="A690" s="149" t="s">
        <v>3497</v>
      </c>
      <c r="B690" s="150" t="s">
        <v>3498</v>
      </c>
      <c r="C690" s="149" t="s">
        <v>3499</v>
      </c>
      <c r="D690" s="149" t="s">
        <v>3500</v>
      </c>
      <c r="E690" s="151">
        <v>14</v>
      </c>
      <c r="F690" s="170" t="s">
        <v>718</v>
      </c>
      <c r="G690" s="151">
        <v>11</v>
      </c>
      <c r="H690" s="153" t="s">
        <v>3492</v>
      </c>
    </row>
    <row r="691" spans="1:8" ht="15.75" hidden="1">
      <c r="A691" s="149" t="s">
        <v>3501</v>
      </c>
      <c r="B691" s="150" t="s">
        <v>3502</v>
      </c>
      <c r="C691" s="149" t="s">
        <v>3503</v>
      </c>
      <c r="D691" s="149" t="s">
        <v>3504</v>
      </c>
      <c r="E691" s="151">
        <v>14</v>
      </c>
      <c r="F691" s="170" t="s">
        <v>718</v>
      </c>
      <c r="G691" s="151">
        <v>11</v>
      </c>
      <c r="H691" s="153" t="s">
        <v>3492</v>
      </c>
    </row>
    <row r="692" spans="1:8" ht="31.5" hidden="1">
      <c r="A692" s="149" t="s">
        <v>3505</v>
      </c>
      <c r="B692" s="150" t="s">
        <v>3506</v>
      </c>
      <c r="C692" s="149" t="s">
        <v>3506</v>
      </c>
      <c r="D692" s="149" t="s">
        <v>3507</v>
      </c>
      <c r="E692" s="151">
        <v>5</v>
      </c>
      <c r="F692" s="170" t="s">
        <v>718</v>
      </c>
      <c r="G692" s="151">
        <v>11</v>
      </c>
      <c r="H692" s="153" t="s">
        <v>3492</v>
      </c>
    </row>
    <row r="693" spans="1:8" ht="15.75" hidden="1">
      <c r="A693" s="149" t="s">
        <v>3508</v>
      </c>
      <c r="B693" s="150" t="s">
        <v>3509</v>
      </c>
      <c r="C693" s="149" t="s">
        <v>3510</v>
      </c>
      <c r="D693" s="149" t="s">
        <v>3511</v>
      </c>
      <c r="E693" s="151">
        <v>5</v>
      </c>
      <c r="F693" s="170" t="s">
        <v>718</v>
      </c>
      <c r="G693" s="151">
        <v>11</v>
      </c>
      <c r="H693" s="153" t="s">
        <v>3492</v>
      </c>
    </row>
    <row r="694" spans="1:8" ht="15.75" hidden="1">
      <c r="A694" s="149" t="s">
        <v>3512</v>
      </c>
      <c r="B694" s="150" t="s">
        <v>3513</v>
      </c>
      <c r="C694" s="149" t="s">
        <v>3514</v>
      </c>
      <c r="D694" s="149" t="s">
        <v>3515</v>
      </c>
      <c r="E694" s="151">
        <v>5</v>
      </c>
      <c r="F694" s="170" t="s">
        <v>718</v>
      </c>
      <c r="G694" s="151">
        <v>11</v>
      </c>
      <c r="H694" s="153" t="s">
        <v>3492</v>
      </c>
    </row>
    <row r="695" spans="1:8" ht="31.5" hidden="1">
      <c r="A695" s="149" t="s">
        <v>3516</v>
      </c>
      <c r="B695" s="150" t="s">
        <v>3517</v>
      </c>
      <c r="C695" s="149" t="s">
        <v>3517</v>
      </c>
      <c r="D695" s="149" t="s">
        <v>3518</v>
      </c>
      <c r="E695" s="151">
        <v>14</v>
      </c>
      <c r="F695" s="170" t="s">
        <v>718</v>
      </c>
      <c r="G695" s="151">
        <v>11</v>
      </c>
      <c r="H695" s="153" t="s">
        <v>3492</v>
      </c>
    </row>
    <row r="696" spans="1:8" ht="15.75" hidden="1">
      <c r="A696" s="149" t="s">
        <v>3519</v>
      </c>
      <c r="B696" s="150" t="s">
        <v>3520</v>
      </c>
      <c r="C696" s="149" t="s">
        <v>3521</v>
      </c>
      <c r="D696" s="149" t="s">
        <v>3522</v>
      </c>
      <c r="E696" s="151">
        <v>14</v>
      </c>
      <c r="F696" s="170" t="s">
        <v>718</v>
      </c>
      <c r="G696" s="151">
        <v>11</v>
      </c>
      <c r="H696" s="153" t="s">
        <v>3492</v>
      </c>
    </row>
    <row r="697" spans="1:8" ht="15.75" hidden="1">
      <c r="A697" s="149" t="s">
        <v>3523</v>
      </c>
      <c r="B697" s="150" t="s">
        <v>3524</v>
      </c>
      <c r="C697" s="149" t="s">
        <v>3524</v>
      </c>
      <c r="D697" s="149" t="s">
        <v>3525</v>
      </c>
      <c r="E697" s="151">
        <v>6</v>
      </c>
      <c r="F697" s="170" t="s">
        <v>314</v>
      </c>
      <c r="G697" s="151">
        <v>11</v>
      </c>
      <c r="H697" s="153" t="s">
        <v>3492</v>
      </c>
    </row>
    <row r="698" spans="1:8" ht="15.75" hidden="1">
      <c r="A698" s="149" t="s">
        <v>3526</v>
      </c>
      <c r="B698" s="150" t="s">
        <v>3527</v>
      </c>
      <c r="C698" s="149" t="s">
        <v>3527</v>
      </c>
      <c r="D698" s="149" t="s">
        <v>3528</v>
      </c>
      <c r="E698" s="151">
        <v>4</v>
      </c>
      <c r="F698" s="170" t="s">
        <v>314</v>
      </c>
      <c r="G698" s="151">
        <v>11</v>
      </c>
      <c r="H698" s="153" t="s">
        <v>3492</v>
      </c>
    </row>
    <row r="699" spans="1:8" ht="15.75" hidden="1">
      <c r="A699" s="149" t="s">
        <v>3529</v>
      </c>
      <c r="B699" s="150" t="s">
        <v>3530</v>
      </c>
      <c r="C699" s="149" t="s">
        <v>3530</v>
      </c>
      <c r="D699" s="149" t="s">
        <v>3531</v>
      </c>
      <c r="E699" s="151">
        <v>4</v>
      </c>
      <c r="F699" s="170" t="s">
        <v>314</v>
      </c>
      <c r="G699" s="151">
        <v>11</v>
      </c>
      <c r="H699" s="153" t="s">
        <v>3492</v>
      </c>
    </row>
    <row r="700" spans="1:8" ht="15.75" hidden="1">
      <c r="A700" s="149" t="s">
        <v>3532</v>
      </c>
      <c r="B700" s="150" t="s">
        <v>3533</v>
      </c>
      <c r="C700" s="149" t="s">
        <v>3534</v>
      </c>
      <c r="D700" s="149" t="s">
        <v>3535</v>
      </c>
      <c r="E700" s="151">
        <v>4</v>
      </c>
      <c r="F700" s="170" t="s">
        <v>314</v>
      </c>
      <c r="G700" s="151">
        <v>11</v>
      </c>
      <c r="H700" s="153" t="s">
        <v>3492</v>
      </c>
    </row>
    <row r="701" spans="1:8" ht="15.75" hidden="1">
      <c r="A701" s="149" t="s">
        <v>3536</v>
      </c>
      <c r="B701" s="150" t="s">
        <v>3537</v>
      </c>
      <c r="C701" s="149" t="s">
        <v>3538</v>
      </c>
      <c r="D701" s="149" t="s">
        <v>3539</v>
      </c>
      <c r="E701" s="151">
        <v>4</v>
      </c>
      <c r="F701" s="170" t="s">
        <v>314</v>
      </c>
      <c r="G701" s="151">
        <v>11</v>
      </c>
      <c r="H701" s="153" t="s">
        <v>3492</v>
      </c>
    </row>
    <row r="702" spans="1:8" ht="31.5" hidden="1">
      <c r="A702" s="149" t="s">
        <v>3540</v>
      </c>
      <c r="B702" s="150" t="s">
        <v>1353</v>
      </c>
      <c r="C702" s="149" t="s">
        <v>1353</v>
      </c>
      <c r="D702" s="149" t="s">
        <v>3541</v>
      </c>
      <c r="E702" s="151">
        <v>4</v>
      </c>
      <c r="F702" s="170" t="s">
        <v>314</v>
      </c>
      <c r="G702" s="151">
        <v>11</v>
      </c>
      <c r="H702" s="153" t="s">
        <v>3492</v>
      </c>
    </row>
    <row r="703" spans="1:8" ht="15.75" hidden="1">
      <c r="A703" s="149" t="s">
        <v>3542</v>
      </c>
      <c r="B703" s="150" t="s">
        <v>3543</v>
      </c>
      <c r="C703" s="149" t="s">
        <v>3543</v>
      </c>
      <c r="D703" s="149" t="s">
        <v>3544</v>
      </c>
      <c r="E703" s="151">
        <v>4</v>
      </c>
      <c r="F703" s="170" t="s">
        <v>314</v>
      </c>
      <c r="G703" s="151">
        <v>11</v>
      </c>
      <c r="H703" s="153" t="s">
        <v>3492</v>
      </c>
    </row>
    <row r="704" spans="1:8" ht="15.75" hidden="1">
      <c r="A704" s="149" t="s">
        <v>3545</v>
      </c>
      <c r="B704" s="150" t="s">
        <v>3546</v>
      </c>
      <c r="C704" s="149" t="s">
        <v>3547</v>
      </c>
      <c r="D704" s="149" t="s">
        <v>3548</v>
      </c>
      <c r="E704" s="151">
        <v>4</v>
      </c>
      <c r="F704" s="170" t="s">
        <v>314</v>
      </c>
      <c r="G704" s="151">
        <v>11</v>
      </c>
      <c r="H704" s="153" t="s">
        <v>3492</v>
      </c>
    </row>
    <row r="705" spans="1:8" ht="15.75" hidden="1">
      <c r="A705" s="149" t="s">
        <v>3549</v>
      </c>
      <c r="B705" s="150" t="s">
        <v>3550</v>
      </c>
      <c r="C705" s="149" t="s">
        <v>3550</v>
      </c>
      <c r="D705" s="149" t="s">
        <v>3551</v>
      </c>
      <c r="E705" s="151">
        <v>4</v>
      </c>
      <c r="F705" s="170" t="s">
        <v>314</v>
      </c>
      <c r="G705" s="151">
        <v>11</v>
      </c>
      <c r="H705" s="153" t="s">
        <v>3492</v>
      </c>
    </row>
    <row r="706" spans="1:8" ht="15.75" hidden="1">
      <c r="A706" s="149" t="s">
        <v>3552</v>
      </c>
      <c r="B706" s="150" t="s">
        <v>3553</v>
      </c>
      <c r="C706" s="149" t="s">
        <v>3553</v>
      </c>
      <c r="D706" s="149" t="s">
        <v>3554</v>
      </c>
      <c r="E706" s="151">
        <v>4</v>
      </c>
      <c r="F706" s="170" t="s">
        <v>314</v>
      </c>
      <c r="G706" s="151">
        <v>11</v>
      </c>
      <c r="H706" s="153" t="s">
        <v>3492</v>
      </c>
    </row>
    <row r="707" spans="1:8" ht="15.75" hidden="1">
      <c r="A707" s="149" t="s">
        <v>3555</v>
      </c>
      <c r="B707" s="150" t="s">
        <v>3556</v>
      </c>
      <c r="C707" s="149" t="s">
        <v>3556</v>
      </c>
      <c r="D707" s="149" t="s">
        <v>3557</v>
      </c>
      <c r="E707" s="151">
        <v>4</v>
      </c>
      <c r="F707" s="170" t="s">
        <v>314</v>
      </c>
      <c r="G707" s="151">
        <v>11</v>
      </c>
      <c r="H707" s="153" t="s">
        <v>3492</v>
      </c>
    </row>
    <row r="708" spans="1:8" ht="15.75" hidden="1">
      <c r="A708" s="149" t="s">
        <v>3558</v>
      </c>
      <c r="B708" s="150" t="s">
        <v>3559</v>
      </c>
      <c r="C708" s="149" t="s">
        <v>3559</v>
      </c>
      <c r="D708" s="149" t="s">
        <v>3560</v>
      </c>
      <c r="E708" s="151">
        <v>4</v>
      </c>
      <c r="F708" s="170" t="s">
        <v>314</v>
      </c>
      <c r="G708" s="151">
        <v>11</v>
      </c>
      <c r="H708" s="153" t="s">
        <v>3492</v>
      </c>
    </row>
    <row r="709" spans="1:8" ht="15.75" hidden="1">
      <c r="A709" s="149" t="s">
        <v>3561</v>
      </c>
      <c r="B709" s="150" t="s">
        <v>3562</v>
      </c>
      <c r="C709" s="149" t="s">
        <v>3562</v>
      </c>
      <c r="D709" s="149" t="s">
        <v>3563</v>
      </c>
      <c r="E709" s="151">
        <v>4</v>
      </c>
      <c r="F709" s="170" t="s">
        <v>314</v>
      </c>
      <c r="G709" s="151">
        <v>11</v>
      </c>
      <c r="H709" s="153" t="s">
        <v>3492</v>
      </c>
    </row>
    <row r="710" spans="1:8" ht="31.5" hidden="1">
      <c r="A710" s="149" t="s">
        <v>3564</v>
      </c>
      <c r="B710" s="150" t="s">
        <v>3565</v>
      </c>
      <c r="C710" s="149" t="s">
        <v>3565</v>
      </c>
      <c r="D710" s="149" t="s">
        <v>3566</v>
      </c>
      <c r="E710" s="151">
        <v>4</v>
      </c>
      <c r="F710" s="170" t="s">
        <v>314</v>
      </c>
      <c r="G710" s="151">
        <v>11</v>
      </c>
      <c r="H710" s="153" t="s">
        <v>3492</v>
      </c>
    </row>
    <row r="711" spans="1:8" ht="15.75" hidden="1">
      <c r="A711" s="149" t="s">
        <v>3567</v>
      </c>
      <c r="B711" s="150" t="s">
        <v>3568</v>
      </c>
      <c r="C711" s="149" t="s">
        <v>3568</v>
      </c>
      <c r="D711" s="149" t="s">
        <v>3569</v>
      </c>
      <c r="E711" s="151">
        <v>4</v>
      </c>
      <c r="F711" s="170" t="s">
        <v>314</v>
      </c>
      <c r="G711" s="151">
        <v>11</v>
      </c>
      <c r="H711" s="153" t="s">
        <v>3492</v>
      </c>
    </row>
    <row r="712" spans="1:8" ht="31.5" hidden="1">
      <c r="A712" s="149" t="s">
        <v>3570</v>
      </c>
      <c r="B712" s="150" t="s">
        <v>3571</v>
      </c>
      <c r="C712" s="149" t="s">
        <v>3572</v>
      </c>
      <c r="D712" s="149" t="s">
        <v>3573</v>
      </c>
      <c r="E712" s="151">
        <v>8</v>
      </c>
      <c r="F712" s="170" t="s">
        <v>329</v>
      </c>
      <c r="G712" s="151">
        <v>11</v>
      </c>
      <c r="H712" s="153" t="s">
        <v>3492</v>
      </c>
    </row>
    <row r="713" spans="1:8" ht="15.75" hidden="1">
      <c r="A713" s="149" t="s">
        <v>3574</v>
      </c>
      <c r="B713" s="150" t="s">
        <v>3575</v>
      </c>
      <c r="C713" s="149" t="s">
        <v>3576</v>
      </c>
      <c r="D713" s="149" t="s">
        <v>3577</v>
      </c>
      <c r="E713" s="151">
        <v>8</v>
      </c>
      <c r="F713" s="170" t="s">
        <v>329</v>
      </c>
      <c r="G713" s="151">
        <v>11</v>
      </c>
      <c r="H713" s="153" t="s">
        <v>3492</v>
      </c>
    </row>
    <row r="714" spans="1:8" ht="31.5" hidden="1">
      <c r="A714" s="149" t="s">
        <v>3578</v>
      </c>
      <c r="B714" s="150" t="s">
        <v>3579</v>
      </c>
      <c r="C714" s="149" t="s">
        <v>3580</v>
      </c>
      <c r="D714" s="149" t="s">
        <v>3581</v>
      </c>
      <c r="E714" s="151">
        <v>8</v>
      </c>
      <c r="F714" s="170" t="s">
        <v>329</v>
      </c>
      <c r="G714" s="151">
        <v>11</v>
      </c>
      <c r="H714" s="153" t="s">
        <v>3492</v>
      </c>
    </row>
    <row r="715" spans="1:8" ht="31.5" hidden="1">
      <c r="A715" s="149" t="s">
        <v>3582</v>
      </c>
      <c r="B715" s="150" t="s">
        <v>3583</v>
      </c>
      <c r="C715" s="149" t="s">
        <v>3584</v>
      </c>
      <c r="D715" s="149" t="s">
        <v>3585</v>
      </c>
      <c r="E715" s="151">
        <v>8</v>
      </c>
      <c r="F715" s="170" t="s">
        <v>329</v>
      </c>
      <c r="G715" s="151">
        <v>11</v>
      </c>
      <c r="H715" s="153" t="s">
        <v>3492</v>
      </c>
    </row>
    <row r="716" spans="1:8" ht="31.5" hidden="1">
      <c r="A716" s="149" t="s">
        <v>3586</v>
      </c>
      <c r="B716" s="150" t="s">
        <v>3587</v>
      </c>
      <c r="C716" s="149" t="s">
        <v>3588</v>
      </c>
      <c r="D716" s="149" t="s">
        <v>3589</v>
      </c>
      <c r="E716" s="151">
        <v>8</v>
      </c>
      <c r="F716" s="170" t="s">
        <v>329</v>
      </c>
      <c r="G716" s="151">
        <v>11</v>
      </c>
      <c r="H716" s="153" t="s">
        <v>3492</v>
      </c>
    </row>
    <row r="717" spans="1:8" ht="31.5" hidden="1">
      <c r="A717" s="149" t="s">
        <v>3590</v>
      </c>
      <c r="B717" s="150" t="s">
        <v>3591</v>
      </c>
      <c r="C717" s="149" t="s">
        <v>3592</v>
      </c>
      <c r="D717" s="149" t="s">
        <v>3593</v>
      </c>
      <c r="E717" s="151">
        <v>8</v>
      </c>
      <c r="F717" s="170" t="s">
        <v>329</v>
      </c>
      <c r="G717" s="151">
        <v>11</v>
      </c>
      <c r="H717" s="153" t="s">
        <v>3492</v>
      </c>
    </row>
    <row r="718" spans="1:8" ht="31.5" hidden="1">
      <c r="A718" s="149" t="s">
        <v>3594</v>
      </c>
      <c r="B718" s="150" t="s">
        <v>3595</v>
      </c>
      <c r="C718" s="149" t="s">
        <v>3596</v>
      </c>
      <c r="D718" s="149" t="s">
        <v>3597</v>
      </c>
      <c r="E718" s="151">
        <v>8</v>
      </c>
      <c r="F718" s="170" t="s">
        <v>329</v>
      </c>
      <c r="G718" s="151">
        <v>11</v>
      </c>
      <c r="H718" s="153" t="s">
        <v>3492</v>
      </c>
    </row>
    <row r="719" spans="1:8" ht="31.5" hidden="1">
      <c r="A719" s="149" t="s">
        <v>3598</v>
      </c>
      <c r="B719" s="150" t="s">
        <v>3599</v>
      </c>
      <c r="C719" s="149" t="s">
        <v>3600</v>
      </c>
      <c r="D719" s="149" t="s">
        <v>3601</v>
      </c>
      <c r="E719" s="151">
        <v>8</v>
      </c>
      <c r="F719" s="170" t="s">
        <v>329</v>
      </c>
      <c r="G719" s="151">
        <v>11</v>
      </c>
      <c r="H719" s="153" t="s">
        <v>3492</v>
      </c>
    </row>
    <row r="720" spans="1:8" ht="31.5" hidden="1">
      <c r="A720" s="149" t="s">
        <v>3602</v>
      </c>
      <c r="B720" s="150" t="s">
        <v>3603</v>
      </c>
      <c r="C720" s="149" t="s">
        <v>3604</v>
      </c>
      <c r="D720" s="149" t="s">
        <v>3605</v>
      </c>
      <c r="E720" s="151">
        <v>8</v>
      </c>
      <c r="F720" s="170" t="s">
        <v>329</v>
      </c>
      <c r="G720" s="151">
        <v>11</v>
      </c>
      <c r="H720" s="153" t="s">
        <v>3492</v>
      </c>
    </row>
    <row r="721" spans="1:8" ht="31.5" hidden="1">
      <c r="A721" s="149" t="s">
        <v>3606</v>
      </c>
      <c r="B721" s="150" t="s">
        <v>3607</v>
      </c>
      <c r="C721" s="149" t="s">
        <v>3608</v>
      </c>
      <c r="D721" s="149" t="s">
        <v>3609</v>
      </c>
      <c r="E721" s="151">
        <v>8</v>
      </c>
      <c r="F721" s="170" t="s">
        <v>329</v>
      </c>
      <c r="G721" s="151">
        <v>11</v>
      </c>
      <c r="H721" s="153" t="s">
        <v>3492</v>
      </c>
    </row>
    <row r="722" spans="1:8" ht="31.5" hidden="1">
      <c r="A722" s="149" t="s">
        <v>3610</v>
      </c>
      <c r="B722" s="150" t="s">
        <v>3611</v>
      </c>
      <c r="C722" s="149" t="s">
        <v>3612</v>
      </c>
      <c r="D722" s="149" t="s">
        <v>3613</v>
      </c>
      <c r="E722" s="151">
        <v>8</v>
      </c>
      <c r="F722" s="170" t="s">
        <v>329</v>
      </c>
      <c r="G722" s="151">
        <v>11</v>
      </c>
      <c r="H722" s="153" t="s">
        <v>3492</v>
      </c>
    </row>
    <row r="723" spans="1:8" ht="31.5" hidden="1">
      <c r="A723" s="149" t="s">
        <v>3614</v>
      </c>
      <c r="B723" s="150" t="s">
        <v>3615</v>
      </c>
      <c r="C723" s="149" t="s">
        <v>3616</v>
      </c>
      <c r="D723" s="149" t="s">
        <v>3617</v>
      </c>
      <c r="E723" s="151">
        <v>8</v>
      </c>
      <c r="F723" s="170" t="s">
        <v>329</v>
      </c>
      <c r="G723" s="151">
        <v>11</v>
      </c>
      <c r="H723" s="153" t="s">
        <v>3492</v>
      </c>
    </row>
    <row r="724" spans="1:8" ht="31.5" hidden="1">
      <c r="A724" s="149" t="s">
        <v>3618</v>
      </c>
      <c r="B724" s="150" t="s">
        <v>3619</v>
      </c>
      <c r="C724" s="149" t="s">
        <v>3620</v>
      </c>
      <c r="D724" s="149" t="s">
        <v>3621</v>
      </c>
      <c r="E724" s="151">
        <v>8</v>
      </c>
      <c r="F724" s="170" t="s">
        <v>329</v>
      </c>
      <c r="G724" s="151">
        <v>11</v>
      </c>
      <c r="H724" s="153" t="s">
        <v>3492</v>
      </c>
    </row>
    <row r="725" spans="1:8" ht="31.5" hidden="1">
      <c r="A725" s="149" t="s">
        <v>3622</v>
      </c>
      <c r="B725" s="150" t="s">
        <v>3623</v>
      </c>
      <c r="C725" s="149" t="s">
        <v>3624</v>
      </c>
      <c r="D725" s="149" t="s">
        <v>3625</v>
      </c>
      <c r="E725" s="151">
        <v>8</v>
      </c>
      <c r="F725" s="170" t="s">
        <v>329</v>
      </c>
      <c r="G725" s="151">
        <v>11</v>
      </c>
      <c r="H725" s="153" t="s">
        <v>3492</v>
      </c>
    </row>
    <row r="726" spans="1:8" ht="31.5" hidden="1">
      <c r="A726" s="149" t="s">
        <v>3626</v>
      </c>
      <c r="B726" s="150" t="s">
        <v>3627</v>
      </c>
      <c r="C726" s="149" t="s">
        <v>3628</v>
      </c>
      <c r="D726" s="149" t="s">
        <v>3629</v>
      </c>
      <c r="E726" s="151">
        <v>8</v>
      </c>
      <c r="F726" s="170" t="s">
        <v>329</v>
      </c>
      <c r="G726" s="151">
        <v>11</v>
      </c>
      <c r="H726" s="153" t="s">
        <v>3492</v>
      </c>
    </row>
    <row r="727" spans="1:8" ht="31.5" hidden="1">
      <c r="A727" s="149" t="s">
        <v>3630</v>
      </c>
      <c r="B727" s="150" t="s">
        <v>3631</v>
      </c>
      <c r="C727" s="149" t="s">
        <v>3632</v>
      </c>
      <c r="D727" s="149" t="s">
        <v>3633</v>
      </c>
      <c r="E727" s="151">
        <v>8</v>
      </c>
      <c r="F727" s="170" t="s">
        <v>329</v>
      </c>
      <c r="G727" s="151">
        <v>11</v>
      </c>
      <c r="H727" s="153" t="s">
        <v>3492</v>
      </c>
    </row>
    <row r="728" spans="1:8" ht="31.5" hidden="1">
      <c r="A728" s="149" t="s">
        <v>3634</v>
      </c>
      <c r="B728" s="150" t="s">
        <v>3635</v>
      </c>
      <c r="C728" s="149" t="s">
        <v>3636</v>
      </c>
      <c r="D728" s="149" t="s">
        <v>3637</v>
      </c>
      <c r="E728" s="151">
        <v>11</v>
      </c>
      <c r="F728" s="170" t="s">
        <v>253</v>
      </c>
      <c r="G728" s="151">
        <v>11</v>
      </c>
      <c r="H728" s="153" t="s">
        <v>3492</v>
      </c>
    </row>
    <row r="729" spans="1:8" ht="31.5" hidden="1">
      <c r="A729" s="149" t="s">
        <v>3638</v>
      </c>
      <c r="B729" s="150" t="s">
        <v>3639</v>
      </c>
      <c r="C729" s="149" t="s">
        <v>3640</v>
      </c>
      <c r="D729" s="149" t="s">
        <v>3641</v>
      </c>
      <c r="E729" s="151">
        <v>14</v>
      </c>
      <c r="F729" s="170" t="s">
        <v>718</v>
      </c>
      <c r="G729" s="151">
        <v>11</v>
      </c>
      <c r="H729" s="153" t="s">
        <v>3492</v>
      </c>
    </row>
    <row r="730" spans="1:8" ht="15.75" hidden="1">
      <c r="A730" s="149" t="s">
        <v>3642</v>
      </c>
      <c r="B730" s="150" t="s">
        <v>3643</v>
      </c>
      <c r="C730" s="149" t="s">
        <v>3643</v>
      </c>
      <c r="D730" s="149" t="s">
        <v>3644</v>
      </c>
      <c r="E730" s="151">
        <v>14</v>
      </c>
      <c r="F730" s="170" t="s">
        <v>718</v>
      </c>
      <c r="G730" s="151">
        <v>11</v>
      </c>
      <c r="H730" s="153" t="s">
        <v>3492</v>
      </c>
    </row>
    <row r="731" spans="1:8" ht="15.75" hidden="1">
      <c r="A731" s="149" t="s">
        <v>3645</v>
      </c>
      <c r="B731" s="150" t="s">
        <v>3646</v>
      </c>
      <c r="C731" s="149" t="s">
        <v>3646</v>
      </c>
      <c r="D731" s="149" t="s">
        <v>3647</v>
      </c>
      <c r="E731" s="151">
        <v>5</v>
      </c>
      <c r="F731" s="170" t="s">
        <v>718</v>
      </c>
      <c r="G731" s="151">
        <v>11</v>
      </c>
      <c r="H731" s="153" t="s">
        <v>3492</v>
      </c>
    </row>
    <row r="732" spans="1:8" ht="31.5" hidden="1">
      <c r="A732" s="149" t="s">
        <v>3648</v>
      </c>
      <c r="B732" s="150" t="s">
        <v>3649</v>
      </c>
      <c r="C732" s="149" t="s">
        <v>3649</v>
      </c>
      <c r="D732" s="149" t="s">
        <v>3650</v>
      </c>
      <c r="E732" s="151">
        <v>10</v>
      </c>
      <c r="F732" s="170" t="s">
        <v>329</v>
      </c>
      <c r="G732" s="151">
        <v>11</v>
      </c>
      <c r="H732" s="153" t="s">
        <v>3492</v>
      </c>
    </row>
    <row r="733" spans="1:8" ht="15.75" hidden="1">
      <c r="A733" s="149" t="s">
        <v>3651</v>
      </c>
      <c r="B733" s="150" t="s">
        <v>3652</v>
      </c>
      <c r="C733" s="149" t="s">
        <v>3652</v>
      </c>
      <c r="D733" s="149" t="s">
        <v>3653</v>
      </c>
      <c r="E733" s="151">
        <v>5</v>
      </c>
      <c r="F733" s="170" t="s">
        <v>718</v>
      </c>
      <c r="G733" s="151">
        <v>11</v>
      </c>
      <c r="H733" s="153" t="s">
        <v>3492</v>
      </c>
    </row>
    <row r="734" spans="1:8" ht="31.5" hidden="1">
      <c r="A734" s="149" t="s">
        <v>3654</v>
      </c>
      <c r="B734" s="150" t="s">
        <v>3655</v>
      </c>
      <c r="C734" s="149" t="s">
        <v>3655</v>
      </c>
      <c r="D734" s="149" t="s">
        <v>3656</v>
      </c>
      <c r="E734" s="151">
        <v>5</v>
      </c>
      <c r="F734" s="170" t="s">
        <v>718</v>
      </c>
      <c r="G734" s="151">
        <v>11</v>
      </c>
      <c r="H734" s="153" t="s">
        <v>3492</v>
      </c>
    </row>
    <row r="735" spans="1:8" ht="31.5" hidden="1">
      <c r="A735" s="149" t="s">
        <v>3657</v>
      </c>
      <c r="B735" s="150" t="s">
        <v>3658</v>
      </c>
      <c r="C735" s="149" t="s">
        <v>3658</v>
      </c>
      <c r="D735" s="149" t="s">
        <v>3656</v>
      </c>
      <c r="E735" s="151">
        <v>5</v>
      </c>
      <c r="F735" s="170" t="s">
        <v>718</v>
      </c>
      <c r="G735" s="151">
        <v>11</v>
      </c>
      <c r="H735" s="153" t="s">
        <v>3492</v>
      </c>
    </row>
    <row r="736" spans="1:8" ht="31.5" hidden="1">
      <c r="A736" s="149" t="s">
        <v>3659</v>
      </c>
      <c r="B736" s="150" t="s">
        <v>3660</v>
      </c>
      <c r="C736" s="149" t="s">
        <v>3661</v>
      </c>
      <c r="D736" s="149" t="s">
        <v>3662</v>
      </c>
      <c r="E736" s="151">
        <v>5</v>
      </c>
      <c r="F736" s="170" t="s">
        <v>718</v>
      </c>
      <c r="G736" s="151">
        <v>11</v>
      </c>
      <c r="H736" s="153" t="s">
        <v>3492</v>
      </c>
    </row>
    <row r="737" spans="1:8" ht="31.5" hidden="1">
      <c r="A737" s="149" t="s">
        <v>3663</v>
      </c>
      <c r="B737" s="150" t="s">
        <v>3664</v>
      </c>
      <c r="C737" s="149" t="s">
        <v>3665</v>
      </c>
      <c r="D737" s="149" t="s">
        <v>3666</v>
      </c>
      <c r="E737" s="151">
        <v>5</v>
      </c>
      <c r="F737" s="170" t="s">
        <v>718</v>
      </c>
      <c r="G737" s="151">
        <v>11</v>
      </c>
      <c r="H737" s="153" t="s">
        <v>3492</v>
      </c>
    </row>
    <row r="738" spans="1:8" ht="15.75" hidden="1">
      <c r="A738" s="149" t="s">
        <v>3667</v>
      </c>
      <c r="B738" s="150" t="s">
        <v>3668</v>
      </c>
      <c r="C738" s="149" t="s">
        <v>3669</v>
      </c>
      <c r="D738" s="149" t="s">
        <v>3670</v>
      </c>
      <c r="E738" s="151">
        <v>5</v>
      </c>
      <c r="F738" s="170" t="s">
        <v>718</v>
      </c>
      <c r="G738" s="151">
        <v>11</v>
      </c>
      <c r="H738" s="153" t="s">
        <v>3492</v>
      </c>
    </row>
    <row r="739" spans="1:8" ht="31.5" hidden="1">
      <c r="A739" s="149" t="s">
        <v>3671</v>
      </c>
      <c r="B739" s="150" t="s">
        <v>3672</v>
      </c>
      <c r="C739" s="149" t="s">
        <v>3673</v>
      </c>
      <c r="D739" s="149" t="s">
        <v>3674</v>
      </c>
      <c r="E739" s="151">
        <v>5</v>
      </c>
      <c r="F739" s="170" t="s">
        <v>718</v>
      </c>
      <c r="G739" s="151">
        <v>11</v>
      </c>
      <c r="H739" s="153" t="s">
        <v>3492</v>
      </c>
    </row>
    <row r="740" spans="1:8" ht="47.25" hidden="1">
      <c r="A740" s="149" t="s">
        <v>3675</v>
      </c>
      <c r="B740" s="150" t="s">
        <v>3676</v>
      </c>
      <c r="C740" s="149" t="s">
        <v>3677</v>
      </c>
      <c r="D740" s="149" t="s">
        <v>3678</v>
      </c>
      <c r="E740" s="151">
        <v>5</v>
      </c>
      <c r="F740" s="170" t="s">
        <v>718</v>
      </c>
      <c r="G740" s="151">
        <v>11</v>
      </c>
      <c r="H740" s="153" t="s">
        <v>3492</v>
      </c>
    </row>
    <row r="741" spans="1:8" ht="31.5" hidden="1">
      <c r="A741" s="149" t="s">
        <v>3679</v>
      </c>
      <c r="B741" s="150" t="s">
        <v>3680</v>
      </c>
      <c r="C741" s="149" t="s">
        <v>3681</v>
      </c>
      <c r="D741" s="149" t="s">
        <v>3682</v>
      </c>
      <c r="E741" s="151">
        <v>5</v>
      </c>
      <c r="F741" s="170" t="s">
        <v>718</v>
      </c>
      <c r="G741" s="151">
        <v>11</v>
      </c>
      <c r="H741" s="153" t="s">
        <v>3492</v>
      </c>
    </row>
    <row r="742" spans="1:8" ht="31.5" hidden="1">
      <c r="A742" s="149" t="s">
        <v>3683</v>
      </c>
      <c r="B742" s="150" t="s">
        <v>3684</v>
      </c>
      <c r="C742" s="149" t="s">
        <v>3685</v>
      </c>
      <c r="D742" s="149" t="s">
        <v>3686</v>
      </c>
      <c r="E742" s="151">
        <v>5</v>
      </c>
      <c r="F742" s="170" t="s">
        <v>718</v>
      </c>
      <c r="G742" s="151">
        <v>11</v>
      </c>
      <c r="H742" s="153" t="s">
        <v>3492</v>
      </c>
    </row>
    <row r="743" spans="1:8" ht="31.5" hidden="1">
      <c r="A743" s="149" t="s">
        <v>3687</v>
      </c>
      <c r="B743" s="150" t="s">
        <v>3688</v>
      </c>
      <c r="C743" s="149" t="s">
        <v>3689</v>
      </c>
      <c r="D743" s="149" t="s">
        <v>3690</v>
      </c>
      <c r="E743" s="151">
        <v>5</v>
      </c>
      <c r="F743" s="170" t="s">
        <v>718</v>
      </c>
      <c r="G743" s="151">
        <v>11</v>
      </c>
      <c r="H743" s="153" t="s">
        <v>3492</v>
      </c>
    </row>
    <row r="744" spans="1:8" ht="31.5" hidden="1">
      <c r="A744" s="149" t="s">
        <v>3691</v>
      </c>
      <c r="B744" s="150" t="s">
        <v>3692</v>
      </c>
      <c r="C744" s="149" t="s">
        <v>3693</v>
      </c>
      <c r="D744" s="149" t="s">
        <v>3694</v>
      </c>
      <c r="E744" s="151">
        <v>3</v>
      </c>
      <c r="F744" s="170" t="s">
        <v>718</v>
      </c>
      <c r="G744" s="151">
        <v>11</v>
      </c>
      <c r="H744" s="153" t="s">
        <v>3492</v>
      </c>
    </row>
    <row r="745" spans="1:8" ht="15.75" hidden="1">
      <c r="A745" s="149" t="s">
        <v>3695</v>
      </c>
      <c r="B745" s="150" t="s">
        <v>1590</v>
      </c>
      <c r="C745" s="149" t="s">
        <v>3696</v>
      </c>
      <c r="D745" s="149" t="s">
        <v>3697</v>
      </c>
      <c r="E745" s="151">
        <v>3</v>
      </c>
      <c r="F745" s="170" t="s">
        <v>718</v>
      </c>
      <c r="G745" s="151">
        <v>11</v>
      </c>
      <c r="H745" s="153" t="s">
        <v>3492</v>
      </c>
    </row>
    <row r="746" spans="1:8" ht="15.75" hidden="1">
      <c r="A746" s="149" t="s">
        <v>3698</v>
      </c>
      <c r="B746" s="150" t="s">
        <v>1582</v>
      </c>
      <c r="C746" s="149" t="s">
        <v>3699</v>
      </c>
      <c r="D746" s="149" t="s">
        <v>3700</v>
      </c>
      <c r="E746" s="151">
        <v>3</v>
      </c>
      <c r="F746" s="170" t="s">
        <v>718</v>
      </c>
      <c r="G746" s="151">
        <v>11</v>
      </c>
      <c r="H746" s="153" t="s">
        <v>3492</v>
      </c>
    </row>
    <row r="747" spans="1:8" ht="15.75" hidden="1">
      <c r="A747" s="149" t="s">
        <v>3701</v>
      </c>
      <c r="B747" s="150" t="s">
        <v>3702</v>
      </c>
      <c r="C747" s="149" t="s">
        <v>3703</v>
      </c>
      <c r="D747" s="149" t="s">
        <v>3704</v>
      </c>
      <c r="E747" s="151">
        <v>5</v>
      </c>
      <c r="F747" s="170" t="s">
        <v>718</v>
      </c>
      <c r="G747" s="151">
        <v>11</v>
      </c>
      <c r="H747" s="153" t="s">
        <v>3492</v>
      </c>
    </row>
    <row r="748" spans="1:8" ht="31.5" hidden="1">
      <c r="A748" s="149" t="s">
        <v>3705</v>
      </c>
      <c r="B748" s="150" t="s">
        <v>3706</v>
      </c>
      <c r="C748" s="149" t="s">
        <v>3707</v>
      </c>
      <c r="D748" s="149" t="s">
        <v>3708</v>
      </c>
      <c r="E748" s="151">
        <v>5</v>
      </c>
      <c r="F748" s="170" t="s">
        <v>718</v>
      </c>
      <c r="G748" s="151">
        <v>11</v>
      </c>
      <c r="H748" s="153" t="s">
        <v>3492</v>
      </c>
    </row>
    <row r="749" spans="1:8" ht="31.5" hidden="1">
      <c r="A749" s="149" t="s">
        <v>3709</v>
      </c>
      <c r="B749" s="150" t="s">
        <v>3710</v>
      </c>
      <c r="C749" s="149" t="s">
        <v>3711</v>
      </c>
      <c r="D749" s="149" t="s">
        <v>3712</v>
      </c>
      <c r="E749" s="151">
        <v>5</v>
      </c>
      <c r="F749" s="170" t="s">
        <v>718</v>
      </c>
      <c r="G749" s="151">
        <v>11</v>
      </c>
      <c r="H749" s="153" t="s">
        <v>3492</v>
      </c>
    </row>
    <row r="750" spans="1:8" ht="31.5" hidden="1">
      <c r="A750" s="149" t="s">
        <v>3713</v>
      </c>
      <c r="B750" s="150" t="s">
        <v>3714</v>
      </c>
      <c r="C750" s="149" t="s">
        <v>3714</v>
      </c>
      <c r="D750" s="149" t="s">
        <v>3715</v>
      </c>
      <c r="E750" s="151">
        <v>5</v>
      </c>
      <c r="F750" s="170" t="s">
        <v>718</v>
      </c>
      <c r="G750" s="151">
        <v>11</v>
      </c>
      <c r="H750" s="153" t="s">
        <v>3492</v>
      </c>
    </row>
    <row r="751" spans="1:8" ht="15.75" hidden="1">
      <c r="A751" s="149" t="s">
        <v>3716</v>
      </c>
      <c r="B751" s="150" t="s">
        <v>3717</v>
      </c>
      <c r="C751" s="149" t="s">
        <v>3718</v>
      </c>
      <c r="D751" s="149" t="s">
        <v>3719</v>
      </c>
      <c r="E751" s="151">
        <v>5</v>
      </c>
      <c r="F751" s="170" t="s">
        <v>718</v>
      </c>
      <c r="G751" s="151">
        <v>11</v>
      </c>
      <c r="H751" s="153" t="s">
        <v>3492</v>
      </c>
    </row>
    <row r="752" spans="1:8" ht="31.5" hidden="1">
      <c r="A752" s="149" t="s">
        <v>3720</v>
      </c>
      <c r="B752" s="150" t="s">
        <v>3721</v>
      </c>
      <c r="C752" s="149" t="s">
        <v>3722</v>
      </c>
      <c r="D752" s="149" t="s">
        <v>3723</v>
      </c>
      <c r="E752" s="151">
        <v>5</v>
      </c>
      <c r="F752" s="170" t="s">
        <v>718</v>
      </c>
      <c r="G752" s="151">
        <v>11</v>
      </c>
      <c r="H752" s="153" t="s">
        <v>3492</v>
      </c>
    </row>
    <row r="753" spans="1:8" ht="15.75" hidden="1">
      <c r="A753" s="149" t="s">
        <v>3724</v>
      </c>
      <c r="B753" s="150" t="s">
        <v>3725</v>
      </c>
      <c r="C753" s="149" t="s">
        <v>3726</v>
      </c>
      <c r="D753" s="149" t="s">
        <v>3727</v>
      </c>
      <c r="E753" s="151">
        <v>5</v>
      </c>
      <c r="F753" s="170" t="s">
        <v>718</v>
      </c>
      <c r="G753" s="151">
        <v>11</v>
      </c>
      <c r="H753" s="153" t="s">
        <v>3492</v>
      </c>
    </row>
    <row r="754" spans="1:8" ht="15.75" hidden="1">
      <c r="A754" s="149" t="s">
        <v>3728</v>
      </c>
      <c r="B754" s="150" t="s">
        <v>3729</v>
      </c>
      <c r="C754" s="149" t="s">
        <v>3730</v>
      </c>
      <c r="D754" s="149" t="s">
        <v>3731</v>
      </c>
      <c r="E754" s="151">
        <v>5</v>
      </c>
      <c r="F754" s="170" t="s">
        <v>718</v>
      </c>
      <c r="G754" s="151">
        <v>11</v>
      </c>
      <c r="H754" s="153" t="s">
        <v>3492</v>
      </c>
    </row>
    <row r="755" spans="1:8" ht="31.5" hidden="1">
      <c r="A755" s="149" t="s">
        <v>3732</v>
      </c>
      <c r="B755" s="150" t="s">
        <v>3733</v>
      </c>
      <c r="C755" s="149" t="s">
        <v>3734</v>
      </c>
      <c r="D755" s="149" t="s">
        <v>3735</v>
      </c>
      <c r="E755" s="151">
        <v>5</v>
      </c>
      <c r="F755" s="170" t="s">
        <v>718</v>
      </c>
      <c r="G755" s="151">
        <v>11</v>
      </c>
      <c r="H755" s="153" t="s">
        <v>3492</v>
      </c>
    </row>
    <row r="756" spans="1:8" ht="31.5" hidden="1">
      <c r="A756" s="149" t="s">
        <v>3736</v>
      </c>
      <c r="B756" s="150" t="s">
        <v>3737</v>
      </c>
      <c r="C756" s="149" t="s">
        <v>3738</v>
      </c>
      <c r="D756" s="149" t="s">
        <v>3739</v>
      </c>
      <c r="E756" s="151">
        <v>5</v>
      </c>
      <c r="F756" s="170" t="s">
        <v>718</v>
      </c>
      <c r="G756" s="151">
        <v>11</v>
      </c>
      <c r="H756" s="153" t="s">
        <v>3492</v>
      </c>
    </row>
    <row r="757" spans="1:8" ht="31.5" hidden="1">
      <c r="A757" s="149" t="s">
        <v>3740</v>
      </c>
      <c r="B757" s="150" t="s">
        <v>3741</v>
      </c>
      <c r="C757" s="149" t="s">
        <v>3742</v>
      </c>
      <c r="D757" s="149" t="s">
        <v>3743</v>
      </c>
      <c r="E757" s="151">
        <v>5</v>
      </c>
      <c r="F757" s="170" t="s">
        <v>718</v>
      </c>
      <c r="G757" s="151">
        <v>11</v>
      </c>
      <c r="H757" s="153" t="s">
        <v>3492</v>
      </c>
    </row>
    <row r="758" spans="1:8" ht="31.5" hidden="1">
      <c r="A758" s="149" t="s">
        <v>3744</v>
      </c>
      <c r="B758" s="150" t="s">
        <v>3745</v>
      </c>
      <c r="C758" s="149" t="s">
        <v>3746</v>
      </c>
      <c r="D758" s="149" t="s">
        <v>3747</v>
      </c>
      <c r="E758" s="151">
        <v>5</v>
      </c>
      <c r="F758" s="170" t="s">
        <v>718</v>
      </c>
      <c r="G758" s="151">
        <v>11</v>
      </c>
      <c r="H758" s="153" t="s">
        <v>3492</v>
      </c>
    </row>
    <row r="759" spans="1:8" ht="15.75" hidden="1">
      <c r="A759" s="149" t="s">
        <v>3748</v>
      </c>
      <c r="B759" s="150" t="s">
        <v>3749</v>
      </c>
      <c r="C759" s="149" t="s">
        <v>3750</v>
      </c>
      <c r="D759" s="149" t="s">
        <v>3751</v>
      </c>
      <c r="E759" s="151">
        <v>5</v>
      </c>
      <c r="F759" s="170" t="s">
        <v>718</v>
      </c>
      <c r="G759" s="151">
        <v>11</v>
      </c>
      <c r="H759" s="153" t="s">
        <v>3492</v>
      </c>
    </row>
    <row r="760" spans="1:8" ht="31.5" hidden="1">
      <c r="A760" s="149" t="s">
        <v>3752</v>
      </c>
      <c r="B760" s="150" t="s">
        <v>3753</v>
      </c>
      <c r="C760" s="149" t="s">
        <v>3754</v>
      </c>
      <c r="D760" s="149" t="s">
        <v>3755</v>
      </c>
      <c r="E760" s="151">
        <v>5</v>
      </c>
      <c r="F760" s="170" t="s">
        <v>718</v>
      </c>
      <c r="G760" s="151">
        <v>11</v>
      </c>
      <c r="H760" s="153" t="s">
        <v>3492</v>
      </c>
    </row>
    <row r="761" spans="1:8" ht="15.75" hidden="1">
      <c r="A761" s="149" t="s">
        <v>3756</v>
      </c>
      <c r="B761" s="150" t="s">
        <v>3757</v>
      </c>
      <c r="C761" s="149" t="s">
        <v>3758</v>
      </c>
      <c r="D761" s="149" t="s">
        <v>3759</v>
      </c>
      <c r="E761" s="151">
        <v>5</v>
      </c>
      <c r="F761" s="170" t="s">
        <v>718</v>
      </c>
      <c r="G761" s="151">
        <v>11</v>
      </c>
      <c r="H761" s="153" t="s">
        <v>3492</v>
      </c>
    </row>
    <row r="762" spans="1:8" ht="15.75" hidden="1">
      <c r="A762" s="149" t="s">
        <v>3760</v>
      </c>
      <c r="B762" s="150" t="s">
        <v>3761</v>
      </c>
      <c r="C762" s="149" t="s">
        <v>3762</v>
      </c>
      <c r="D762" s="149" t="s">
        <v>3763</v>
      </c>
      <c r="E762" s="151">
        <v>5</v>
      </c>
      <c r="F762" s="170" t="s">
        <v>718</v>
      </c>
      <c r="G762" s="151">
        <v>11</v>
      </c>
      <c r="H762" s="153" t="s">
        <v>3492</v>
      </c>
    </row>
    <row r="763" spans="1:8" ht="15.75" hidden="1">
      <c r="A763" s="149" t="s">
        <v>3764</v>
      </c>
      <c r="B763" s="150" t="s">
        <v>3765</v>
      </c>
      <c r="C763" s="149" t="s">
        <v>3766</v>
      </c>
      <c r="D763" s="149" t="s">
        <v>3767</v>
      </c>
      <c r="E763" s="151">
        <v>5</v>
      </c>
      <c r="F763" s="170" t="s">
        <v>718</v>
      </c>
      <c r="G763" s="151">
        <v>11</v>
      </c>
      <c r="H763" s="153" t="s">
        <v>3492</v>
      </c>
    </row>
    <row r="764" spans="1:8" ht="31.5" hidden="1">
      <c r="A764" s="149" t="s">
        <v>3768</v>
      </c>
      <c r="B764" s="150" t="s">
        <v>3769</v>
      </c>
      <c r="C764" s="149" t="s">
        <v>3770</v>
      </c>
      <c r="D764" s="149" t="s">
        <v>3771</v>
      </c>
      <c r="E764" s="151">
        <v>16</v>
      </c>
      <c r="F764" s="170" t="s">
        <v>314</v>
      </c>
      <c r="G764" s="151">
        <v>11</v>
      </c>
      <c r="H764" s="153" t="s">
        <v>3772</v>
      </c>
    </row>
    <row r="765" spans="1:8" ht="31.5" hidden="1">
      <c r="A765" s="149" t="s">
        <v>3773</v>
      </c>
      <c r="B765" s="150" t="s">
        <v>3774</v>
      </c>
      <c r="C765" s="149" t="s">
        <v>3774</v>
      </c>
      <c r="D765" s="149" t="s">
        <v>3775</v>
      </c>
      <c r="E765" s="151">
        <v>4</v>
      </c>
      <c r="F765" s="170" t="s">
        <v>314</v>
      </c>
      <c r="G765" s="151">
        <v>11</v>
      </c>
      <c r="H765" s="153" t="s">
        <v>3772</v>
      </c>
    </row>
    <row r="766" spans="1:8" ht="31.5" hidden="1">
      <c r="A766" s="149" t="s">
        <v>3776</v>
      </c>
      <c r="B766" s="150" t="s">
        <v>3777</v>
      </c>
      <c r="C766" s="149" t="s">
        <v>3777</v>
      </c>
      <c r="D766" s="149" t="s">
        <v>3778</v>
      </c>
      <c r="E766" s="151">
        <v>4</v>
      </c>
      <c r="F766" s="170" t="s">
        <v>314</v>
      </c>
      <c r="G766" s="151">
        <v>11</v>
      </c>
      <c r="H766" s="153" t="s">
        <v>3772</v>
      </c>
    </row>
    <row r="767" spans="1:8" ht="31.5" hidden="1">
      <c r="A767" s="149" t="s">
        <v>3779</v>
      </c>
      <c r="B767" s="150" t="s">
        <v>3780</v>
      </c>
      <c r="C767" s="149" t="s">
        <v>3781</v>
      </c>
      <c r="D767" s="149" t="s">
        <v>3782</v>
      </c>
      <c r="E767" s="151">
        <v>16</v>
      </c>
      <c r="F767" s="170" t="s">
        <v>314</v>
      </c>
      <c r="G767" s="151">
        <v>11</v>
      </c>
      <c r="H767" s="153" t="s">
        <v>3772</v>
      </c>
    </row>
    <row r="768" spans="1:8" ht="31.5" hidden="1">
      <c r="A768" s="149" t="s">
        <v>3783</v>
      </c>
      <c r="B768" s="150" t="s">
        <v>3784</v>
      </c>
      <c r="C768" s="149" t="s">
        <v>3784</v>
      </c>
      <c r="D768" s="149" t="s">
        <v>3785</v>
      </c>
      <c r="E768" s="151">
        <v>16</v>
      </c>
      <c r="F768" s="170" t="s">
        <v>314</v>
      </c>
      <c r="G768" s="151">
        <v>11</v>
      </c>
      <c r="H768" s="153" t="s">
        <v>3772</v>
      </c>
    </row>
    <row r="769" spans="1:8" ht="31.5" hidden="1">
      <c r="A769" s="149" t="s">
        <v>3786</v>
      </c>
      <c r="B769" s="150" t="s">
        <v>3787</v>
      </c>
      <c r="C769" s="149" t="s">
        <v>3788</v>
      </c>
      <c r="D769" s="149" t="s">
        <v>3789</v>
      </c>
      <c r="E769" s="151">
        <v>16</v>
      </c>
      <c r="F769" s="170" t="s">
        <v>314</v>
      </c>
      <c r="G769" s="151">
        <v>11</v>
      </c>
      <c r="H769" s="153" t="s">
        <v>3772</v>
      </c>
    </row>
    <row r="770" spans="1:8" ht="31.5" hidden="1">
      <c r="A770" s="149" t="s">
        <v>3790</v>
      </c>
      <c r="B770" s="150" t="s">
        <v>3791</v>
      </c>
      <c r="C770" s="149" t="s">
        <v>3792</v>
      </c>
      <c r="D770" s="149" t="s">
        <v>3793</v>
      </c>
      <c r="E770" s="151">
        <v>16</v>
      </c>
      <c r="F770" s="170" t="s">
        <v>314</v>
      </c>
      <c r="G770" s="151">
        <v>11</v>
      </c>
      <c r="H770" s="153" t="s">
        <v>3772</v>
      </c>
    </row>
    <row r="771" spans="1:8" ht="31.5" hidden="1">
      <c r="A771" s="149" t="s">
        <v>3794</v>
      </c>
      <c r="B771" s="150" t="s">
        <v>3795</v>
      </c>
      <c r="C771" s="149" t="s">
        <v>3796</v>
      </c>
      <c r="D771" s="149" t="s">
        <v>3797</v>
      </c>
      <c r="E771" s="151">
        <v>16</v>
      </c>
      <c r="F771" s="170" t="s">
        <v>314</v>
      </c>
      <c r="G771" s="151">
        <v>11</v>
      </c>
      <c r="H771" s="153" t="s">
        <v>3772</v>
      </c>
    </row>
    <row r="772" spans="1:8" ht="31.5" hidden="1">
      <c r="A772" s="149" t="s">
        <v>3798</v>
      </c>
      <c r="B772" s="150" t="s">
        <v>3799</v>
      </c>
      <c r="C772" s="149" t="s">
        <v>3800</v>
      </c>
      <c r="D772" s="149" t="s">
        <v>3801</v>
      </c>
      <c r="E772" s="151">
        <v>16</v>
      </c>
      <c r="F772" s="170" t="s">
        <v>314</v>
      </c>
      <c r="G772" s="151">
        <v>11</v>
      </c>
      <c r="H772" s="153" t="s">
        <v>3772</v>
      </c>
    </row>
    <row r="773" spans="1:8" ht="31.5" hidden="1">
      <c r="A773" s="149" t="s">
        <v>3802</v>
      </c>
      <c r="B773" s="150" t="s">
        <v>3803</v>
      </c>
      <c r="C773" s="149" t="s">
        <v>3804</v>
      </c>
      <c r="D773" s="149" t="s">
        <v>3805</v>
      </c>
      <c r="E773" s="151">
        <v>16</v>
      </c>
      <c r="F773" s="170" t="s">
        <v>314</v>
      </c>
      <c r="G773" s="151">
        <v>11</v>
      </c>
      <c r="H773" s="153" t="s">
        <v>3772</v>
      </c>
    </row>
    <row r="774" spans="1:8" ht="31.5" hidden="1">
      <c r="A774" s="149" t="s">
        <v>3806</v>
      </c>
      <c r="B774" s="150" t="s">
        <v>3807</v>
      </c>
      <c r="C774" s="149" t="s">
        <v>3808</v>
      </c>
      <c r="D774" s="149" t="s">
        <v>3809</v>
      </c>
      <c r="E774" s="151">
        <v>16</v>
      </c>
      <c r="F774" s="170" t="s">
        <v>314</v>
      </c>
      <c r="G774" s="151">
        <v>11</v>
      </c>
      <c r="H774" s="153" t="s">
        <v>3772</v>
      </c>
    </row>
    <row r="775" spans="1:8" ht="31.5" hidden="1">
      <c r="A775" s="149" t="s">
        <v>3810</v>
      </c>
      <c r="B775" s="150" t="s">
        <v>3811</v>
      </c>
      <c r="C775" s="149" t="s">
        <v>3812</v>
      </c>
      <c r="D775" s="149" t="s">
        <v>3813</v>
      </c>
      <c r="E775" s="151">
        <v>16</v>
      </c>
      <c r="F775" s="170" t="s">
        <v>314</v>
      </c>
      <c r="G775" s="151">
        <v>11</v>
      </c>
      <c r="H775" s="153" t="s">
        <v>3772</v>
      </c>
    </row>
    <row r="776" spans="1:8" ht="31.5" hidden="1">
      <c r="A776" s="149" t="s">
        <v>3814</v>
      </c>
      <c r="B776" s="150" t="s">
        <v>3815</v>
      </c>
      <c r="C776" s="149" t="s">
        <v>3816</v>
      </c>
      <c r="D776" s="149" t="s">
        <v>3817</v>
      </c>
      <c r="E776" s="151">
        <v>2</v>
      </c>
      <c r="F776" s="170" t="s">
        <v>314</v>
      </c>
      <c r="G776" s="151">
        <v>11</v>
      </c>
      <c r="H776" s="153" t="s">
        <v>3772</v>
      </c>
    </row>
    <row r="777" spans="1:8" ht="31.5" hidden="1">
      <c r="A777" s="149" t="s">
        <v>3818</v>
      </c>
      <c r="B777" s="150" t="s">
        <v>3819</v>
      </c>
      <c r="C777" s="149" t="s">
        <v>3820</v>
      </c>
      <c r="D777" s="149" t="s">
        <v>3821</v>
      </c>
      <c r="E777" s="151">
        <v>2</v>
      </c>
      <c r="F777" s="170" t="s">
        <v>314</v>
      </c>
      <c r="G777" s="151">
        <v>11</v>
      </c>
      <c r="H777" s="153" t="s">
        <v>3772</v>
      </c>
    </row>
    <row r="778" spans="1:8" ht="31.5" hidden="1">
      <c r="A778" s="149" t="s">
        <v>3822</v>
      </c>
      <c r="B778" s="150" t="s">
        <v>3823</v>
      </c>
      <c r="C778" s="149" t="s">
        <v>3823</v>
      </c>
      <c r="D778" s="149" t="s">
        <v>3824</v>
      </c>
      <c r="E778" s="151">
        <v>8</v>
      </c>
      <c r="F778" s="170" t="s">
        <v>314</v>
      </c>
      <c r="G778" s="151">
        <v>11</v>
      </c>
      <c r="H778" s="153" t="s">
        <v>3772</v>
      </c>
    </row>
    <row r="779" spans="1:8" ht="31.5" hidden="1">
      <c r="A779" s="149" t="s">
        <v>3825</v>
      </c>
      <c r="B779" s="150" t="s">
        <v>3826</v>
      </c>
      <c r="C779" s="149" t="s">
        <v>3826</v>
      </c>
      <c r="D779" s="149" t="s">
        <v>3827</v>
      </c>
      <c r="E779" s="151">
        <v>2</v>
      </c>
      <c r="F779" s="170" t="s">
        <v>314</v>
      </c>
      <c r="G779" s="151">
        <v>11</v>
      </c>
      <c r="H779" s="153" t="s">
        <v>3772</v>
      </c>
    </row>
    <row r="780" spans="1:8" ht="31.5" hidden="1">
      <c r="A780" s="149" t="s">
        <v>3828</v>
      </c>
      <c r="B780" s="150" t="s">
        <v>3829</v>
      </c>
      <c r="C780" s="149" t="s">
        <v>3829</v>
      </c>
      <c r="D780" s="149" t="s">
        <v>3830</v>
      </c>
      <c r="E780" s="151">
        <v>2</v>
      </c>
      <c r="F780" s="170" t="s">
        <v>314</v>
      </c>
      <c r="G780" s="151">
        <v>11</v>
      </c>
      <c r="H780" s="153" t="s">
        <v>3772</v>
      </c>
    </row>
    <row r="781" spans="1:8" ht="31.5" hidden="1">
      <c r="A781" s="149" t="s">
        <v>3831</v>
      </c>
      <c r="B781" s="150" t="s">
        <v>3832</v>
      </c>
      <c r="C781" s="149" t="s">
        <v>3833</v>
      </c>
      <c r="D781" s="149" t="s">
        <v>3834</v>
      </c>
      <c r="E781" s="151">
        <v>2</v>
      </c>
      <c r="F781" s="170" t="s">
        <v>314</v>
      </c>
      <c r="G781" s="151">
        <v>11</v>
      </c>
      <c r="H781" s="153" t="s">
        <v>3772</v>
      </c>
    </row>
    <row r="782" spans="1:8" ht="31.5" hidden="1">
      <c r="A782" s="149" t="s">
        <v>3835</v>
      </c>
      <c r="B782" s="150" t="s">
        <v>3836</v>
      </c>
      <c r="C782" s="149" t="s">
        <v>3836</v>
      </c>
      <c r="D782" s="149" t="s">
        <v>3837</v>
      </c>
      <c r="E782" s="151">
        <v>2</v>
      </c>
      <c r="F782" s="170" t="s">
        <v>314</v>
      </c>
      <c r="G782" s="151">
        <v>11</v>
      </c>
      <c r="H782" s="153" t="s">
        <v>3772</v>
      </c>
    </row>
    <row r="783" spans="1:8" ht="31.5" hidden="1">
      <c r="A783" s="149" t="s">
        <v>3838</v>
      </c>
      <c r="B783" s="150" t="s">
        <v>3839</v>
      </c>
      <c r="C783" s="149" t="s">
        <v>3840</v>
      </c>
      <c r="D783" s="149" t="s">
        <v>3841</v>
      </c>
      <c r="E783" s="151">
        <v>1</v>
      </c>
      <c r="F783" s="170" t="s">
        <v>314</v>
      </c>
      <c r="G783" s="151">
        <v>11</v>
      </c>
      <c r="H783" s="153" t="s">
        <v>3772</v>
      </c>
    </row>
    <row r="784" spans="1:8" ht="31.5" hidden="1">
      <c r="A784" s="149" t="s">
        <v>3842</v>
      </c>
      <c r="B784" s="150" t="s">
        <v>3843</v>
      </c>
      <c r="C784" s="149" t="s">
        <v>3843</v>
      </c>
      <c r="D784" s="149" t="s">
        <v>3844</v>
      </c>
      <c r="E784" s="151">
        <v>1</v>
      </c>
      <c r="F784" s="170" t="s">
        <v>314</v>
      </c>
      <c r="G784" s="151">
        <v>11</v>
      </c>
      <c r="H784" s="153" t="s">
        <v>3772</v>
      </c>
    </row>
    <row r="785" spans="1:8" ht="31.5" hidden="1">
      <c r="A785" s="149" t="s">
        <v>3845</v>
      </c>
      <c r="B785" s="150" t="s">
        <v>3846</v>
      </c>
      <c r="C785" s="149" t="s">
        <v>3847</v>
      </c>
      <c r="D785" s="149" t="s">
        <v>3848</v>
      </c>
      <c r="E785" s="151">
        <v>1</v>
      </c>
      <c r="F785" s="170" t="s">
        <v>314</v>
      </c>
      <c r="G785" s="151">
        <v>11</v>
      </c>
      <c r="H785" s="153" t="s">
        <v>3772</v>
      </c>
    </row>
    <row r="786" spans="1:8" ht="31.5" hidden="1">
      <c r="A786" s="149" t="s">
        <v>3849</v>
      </c>
      <c r="B786" s="150" t="s">
        <v>3850</v>
      </c>
      <c r="C786" s="149" t="s">
        <v>3851</v>
      </c>
      <c r="D786" s="149" t="s">
        <v>3852</v>
      </c>
      <c r="E786" s="151">
        <v>1</v>
      </c>
      <c r="F786" s="170" t="s">
        <v>314</v>
      </c>
      <c r="G786" s="151">
        <v>11</v>
      </c>
      <c r="H786" s="153" t="s">
        <v>3772</v>
      </c>
    </row>
    <row r="787" spans="1:8" ht="31.5" hidden="1">
      <c r="A787" s="149" t="s">
        <v>3853</v>
      </c>
      <c r="B787" s="150" t="s">
        <v>3854</v>
      </c>
      <c r="C787" s="149" t="s">
        <v>3855</v>
      </c>
      <c r="D787" s="149" t="s">
        <v>3856</v>
      </c>
      <c r="E787" s="151">
        <v>1</v>
      </c>
      <c r="F787" s="170" t="s">
        <v>329</v>
      </c>
      <c r="G787" s="151">
        <v>11</v>
      </c>
      <c r="H787" s="153" t="s">
        <v>3772</v>
      </c>
    </row>
    <row r="788" spans="1:8" ht="31.5" hidden="1">
      <c r="A788" s="149" t="s">
        <v>3857</v>
      </c>
      <c r="B788" s="150" t="s">
        <v>3858</v>
      </c>
      <c r="C788" s="149" t="s">
        <v>3859</v>
      </c>
      <c r="D788" s="149" t="s">
        <v>3860</v>
      </c>
      <c r="E788" s="151">
        <v>3</v>
      </c>
      <c r="F788" s="170" t="s">
        <v>329</v>
      </c>
      <c r="G788" s="151">
        <v>11</v>
      </c>
      <c r="H788" s="153" t="s">
        <v>3772</v>
      </c>
    </row>
    <row r="789" spans="1:8" ht="31.5" hidden="1">
      <c r="A789" s="149" t="s">
        <v>3861</v>
      </c>
      <c r="B789" s="150" t="s">
        <v>3862</v>
      </c>
      <c r="C789" s="149" t="s">
        <v>3863</v>
      </c>
      <c r="D789" s="149" t="s">
        <v>3864</v>
      </c>
      <c r="E789" s="151">
        <v>1</v>
      </c>
      <c r="F789" s="170" t="s">
        <v>314</v>
      </c>
      <c r="G789" s="151">
        <v>11</v>
      </c>
      <c r="H789" s="153" t="s">
        <v>3772</v>
      </c>
    </row>
    <row r="790" spans="1:8" ht="31.5" hidden="1">
      <c r="A790" s="149" t="s">
        <v>3865</v>
      </c>
      <c r="B790" s="150" t="s">
        <v>3866</v>
      </c>
      <c r="C790" s="149" t="s">
        <v>3867</v>
      </c>
      <c r="D790" s="149" t="s">
        <v>3868</v>
      </c>
      <c r="E790" s="151">
        <v>5</v>
      </c>
      <c r="F790" s="170" t="s">
        <v>314</v>
      </c>
      <c r="G790" s="151">
        <v>11</v>
      </c>
      <c r="H790" s="153" t="s">
        <v>3772</v>
      </c>
    </row>
    <row r="791" spans="1:8" ht="31.5" hidden="1">
      <c r="A791" s="149" t="s">
        <v>3869</v>
      </c>
      <c r="B791" s="150" t="s">
        <v>3870</v>
      </c>
      <c r="C791" s="149" t="s">
        <v>3871</v>
      </c>
      <c r="D791" s="149" t="s">
        <v>3872</v>
      </c>
      <c r="E791" s="151">
        <v>1</v>
      </c>
      <c r="F791" s="170" t="s">
        <v>329</v>
      </c>
      <c r="G791" s="151">
        <v>11</v>
      </c>
      <c r="H791" s="153" t="s">
        <v>3772</v>
      </c>
    </row>
    <row r="792" spans="1:8" ht="31.5" hidden="1">
      <c r="A792" s="149" t="s">
        <v>3873</v>
      </c>
      <c r="B792" s="150" t="s">
        <v>3874</v>
      </c>
      <c r="C792" s="149" t="s">
        <v>3875</v>
      </c>
      <c r="D792" s="149" t="s">
        <v>3876</v>
      </c>
      <c r="E792" s="151">
        <v>3</v>
      </c>
      <c r="F792" s="170" t="s">
        <v>329</v>
      </c>
      <c r="G792" s="151">
        <v>11</v>
      </c>
      <c r="H792" s="153" t="s">
        <v>3772</v>
      </c>
    </row>
    <row r="793" spans="1:8" ht="31.5" hidden="1">
      <c r="A793" s="149" t="s">
        <v>3877</v>
      </c>
      <c r="B793" s="150" t="s">
        <v>3878</v>
      </c>
      <c r="C793" s="149" t="s">
        <v>3879</v>
      </c>
      <c r="D793" s="149" t="s">
        <v>3880</v>
      </c>
      <c r="E793" s="151">
        <v>3</v>
      </c>
      <c r="F793" s="170" t="s">
        <v>329</v>
      </c>
      <c r="G793" s="151">
        <v>11</v>
      </c>
      <c r="H793" s="153" t="s">
        <v>3772</v>
      </c>
    </row>
    <row r="794" spans="1:8" ht="31.5" hidden="1">
      <c r="A794" s="149" t="s">
        <v>3881</v>
      </c>
      <c r="B794" s="150" t="s">
        <v>3882</v>
      </c>
      <c r="C794" s="149" t="s">
        <v>3883</v>
      </c>
      <c r="D794" s="149" t="s">
        <v>3884</v>
      </c>
      <c r="E794" s="151">
        <v>1</v>
      </c>
      <c r="F794" s="170" t="s">
        <v>329</v>
      </c>
      <c r="G794" s="151">
        <v>11</v>
      </c>
      <c r="H794" s="153" t="s">
        <v>3772</v>
      </c>
    </row>
    <row r="795" spans="1:8" ht="31.5" hidden="1">
      <c r="A795" s="149" t="s">
        <v>3885</v>
      </c>
      <c r="B795" s="150" t="s">
        <v>3886</v>
      </c>
      <c r="C795" s="149" t="s">
        <v>3887</v>
      </c>
      <c r="D795" s="149" t="s">
        <v>3888</v>
      </c>
      <c r="E795" s="151">
        <v>1</v>
      </c>
      <c r="F795" s="170" t="s">
        <v>329</v>
      </c>
      <c r="G795" s="151">
        <v>11</v>
      </c>
      <c r="H795" s="153" t="s">
        <v>3772</v>
      </c>
    </row>
    <row r="796" spans="1:8" ht="31.5" hidden="1">
      <c r="A796" s="149" t="s">
        <v>3889</v>
      </c>
      <c r="B796" s="150" t="s">
        <v>3890</v>
      </c>
      <c r="C796" s="149" t="s">
        <v>3890</v>
      </c>
      <c r="D796" s="149" t="s">
        <v>3891</v>
      </c>
      <c r="E796" s="151">
        <v>2</v>
      </c>
      <c r="F796" s="170" t="s">
        <v>314</v>
      </c>
      <c r="G796" s="151">
        <v>11</v>
      </c>
      <c r="H796" s="153" t="s">
        <v>3772</v>
      </c>
    </row>
    <row r="797" spans="1:8" ht="31.5" hidden="1">
      <c r="A797" s="149" t="s">
        <v>3892</v>
      </c>
      <c r="B797" s="150" t="s">
        <v>3893</v>
      </c>
      <c r="C797" s="149" t="s">
        <v>3894</v>
      </c>
      <c r="D797" s="149" t="s">
        <v>3895</v>
      </c>
      <c r="E797" s="151">
        <v>1</v>
      </c>
      <c r="F797" s="170" t="s">
        <v>314</v>
      </c>
      <c r="G797" s="151">
        <v>11</v>
      </c>
      <c r="H797" s="153" t="s">
        <v>3772</v>
      </c>
    </row>
    <row r="798" spans="1:8" ht="31.5" hidden="1">
      <c r="A798" s="149" t="s">
        <v>3896</v>
      </c>
      <c r="B798" s="150" t="s">
        <v>3897</v>
      </c>
      <c r="C798" s="149" t="s">
        <v>3898</v>
      </c>
      <c r="D798" s="149" t="s">
        <v>3899</v>
      </c>
      <c r="E798" s="151">
        <v>2</v>
      </c>
      <c r="F798" s="170" t="s">
        <v>314</v>
      </c>
      <c r="G798" s="151">
        <v>11</v>
      </c>
      <c r="H798" s="153" t="s">
        <v>3772</v>
      </c>
    </row>
    <row r="799" spans="1:8" ht="31.5" hidden="1">
      <c r="A799" s="149" t="s">
        <v>3900</v>
      </c>
      <c r="B799" s="150" t="s">
        <v>3901</v>
      </c>
      <c r="C799" s="149" t="s">
        <v>3902</v>
      </c>
      <c r="D799" s="149" t="s">
        <v>3903</v>
      </c>
      <c r="E799" s="151">
        <v>2</v>
      </c>
      <c r="F799" s="170" t="s">
        <v>314</v>
      </c>
      <c r="G799" s="151">
        <v>11</v>
      </c>
      <c r="H799" s="153" t="s">
        <v>3772</v>
      </c>
    </row>
    <row r="800" spans="1:8" ht="31.5" hidden="1">
      <c r="A800" s="149" t="s">
        <v>3904</v>
      </c>
      <c r="B800" s="150" t="s">
        <v>3905</v>
      </c>
      <c r="C800" s="149" t="s">
        <v>3906</v>
      </c>
      <c r="D800" s="149" t="s">
        <v>3907</v>
      </c>
      <c r="E800" s="151">
        <v>2</v>
      </c>
      <c r="F800" s="170" t="s">
        <v>314</v>
      </c>
      <c r="G800" s="151">
        <v>11</v>
      </c>
      <c r="H800" s="153" t="s">
        <v>3772</v>
      </c>
    </row>
    <row r="801" spans="1:8" ht="31.5" hidden="1">
      <c r="A801" s="149" t="s">
        <v>3908</v>
      </c>
      <c r="B801" s="150" t="s">
        <v>3909</v>
      </c>
      <c r="C801" s="149" t="s">
        <v>3910</v>
      </c>
      <c r="D801" s="149" t="s">
        <v>3911</v>
      </c>
      <c r="E801" s="151">
        <v>2</v>
      </c>
      <c r="F801" s="170" t="s">
        <v>314</v>
      </c>
      <c r="G801" s="151">
        <v>11</v>
      </c>
      <c r="H801" s="153" t="s">
        <v>3772</v>
      </c>
    </row>
    <row r="802" spans="1:8" ht="31.5" hidden="1">
      <c r="A802" s="149" t="s">
        <v>3912</v>
      </c>
      <c r="B802" s="150" t="s">
        <v>3913</v>
      </c>
      <c r="C802" s="149" t="s">
        <v>3914</v>
      </c>
      <c r="D802" s="149" t="s">
        <v>3915</v>
      </c>
      <c r="E802" s="151">
        <v>2</v>
      </c>
      <c r="F802" s="170" t="s">
        <v>314</v>
      </c>
      <c r="G802" s="151">
        <v>11</v>
      </c>
      <c r="H802" s="153" t="s">
        <v>3772</v>
      </c>
    </row>
    <row r="803" spans="1:8" ht="31.5" hidden="1">
      <c r="A803" s="149" t="s">
        <v>3916</v>
      </c>
      <c r="B803" s="150" t="s">
        <v>3917</v>
      </c>
      <c r="C803" s="149" t="s">
        <v>3918</v>
      </c>
      <c r="D803" s="149" t="s">
        <v>3919</v>
      </c>
      <c r="E803" s="151">
        <v>2</v>
      </c>
      <c r="F803" s="170" t="s">
        <v>314</v>
      </c>
      <c r="G803" s="151">
        <v>11</v>
      </c>
      <c r="H803" s="153" t="s">
        <v>3772</v>
      </c>
    </row>
    <row r="804" spans="1:8" ht="31.5" hidden="1">
      <c r="A804" s="149" t="s">
        <v>3920</v>
      </c>
      <c r="B804" s="150" t="s">
        <v>3921</v>
      </c>
      <c r="C804" s="149" t="s">
        <v>3921</v>
      </c>
      <c r="D804" s="149" t="s">
        <v>3922</v>
      </c>
      <c r="E804" s="151">
        <v>8</v>
      </c>
      <c r="F804" s="170" t="s">
        <v>329</v>
      </c>
      <c r="G804" s="151">
        <v>11</v>
      </c>
      <c r="H804" s="153" t="s">
        <v>3772</v>
      </c>
    </row>
    <row r="805" spans="1:8" ht="31.5" hidden="1">
      <c r="A805" s="149" t="s">
        <v>3923</v>
      </c>
      <c r="B805" s="150" t="s">
        <v>3924</v>
      </c>
      <c r="C805" s="149" t="s">
        <v>3925</v>
      </c>
      <c r="D805" s="149" t="s">
        <v>3926</v>
      </c>
      <c r="E805" s="151">
        <v>8</v>
      </c>
      <c r="F805" s="170" t="s">
        <v>329</v>
      </c>
      <c r="G805" s="151">
        <v>11</v>
      </c>
      <c r="H805" s="153" t="s">
        <v>3772</v>
      </c>
    </row>
    <row r="806" spans="1:8" ht="31.5" hidden="1">
      <c r="A806" s="149" t="s">
        <v>3927</v>
      </c>
      <c r="B806" s="150" t="s">
        <v>3928</v>
      </c>
      <c r="C806" s="149" t="s">
        <v>3928</v>
      </c>
      <c r="D806" s="149" t="s">
        <v>3929</v>
      </c>
      <c r="E806" s="151">
        <v>8</v>
      </c>
      <c r="F806" s="170" t="s">
        <v>329</v>
      </c>
      <c r="G806" s="151">
        <v>11</v>
      </c>
      <c r="H806" s="153" t="s">
        <v>3772</v>
      </c>
    </row>
    <row r="807" spans="1:8" ht="31.5" hidden="1">
      <c r="A807" s="149" t="s">
        <v>3930</v>
      </c>
      <c r="B807" s="150" t="s">
        <v>3931</v>
      </c>
      <c r="C807" s="149" t="s">
        <v>3932</v>
      </c>
      <c r="D807" s="149" t="s">
        <v>3933</v>
      </c>
      <c r="E807" s="151">
        <v>8</v>
      </c>
      <c r="F807" s="170" t="s">
        <v>329</v>
      </c>
      <c r="G807" s="151">
        <v>11</v>
      </c>
      <c r="H807" s="153" t="s">
        <v>3772</v>
      </c>
    </row>
    <row r="808" spans="1:8" ht="31.5" hidden="1">
      <c r="A808" s="149" t="s">
        <v>3934</v>
      </c>
      <c r="B808" s="150" t="s">
        <v>3935</v>
      </c>
      <c r="C808" s="149" t="s">
        <v>3936</v>
      </c>
      <c r="D808" s="149" t="s">
        <v>3937</v>
      </c>
      <c r="E808" s="151">
        <v>8</v>
      </c>
      <c r="F808" s="170" t="s">
        <v>329</v>
      </c>
      <c r="G808" s="151">
        <v>11</v>
      </c>
      <c r="H808" s="153" t="s">
        <v>3772</v>
      </c>
    </row>
    <row r="809" spans="1:8" ht="31.5" hidden="1">
      <c r="A809" s="149" t="s">
        <v>3938</v>
      </c>
      <c r="B809" s="150" t="s">
        <v>3939</v>
      </c>
      <c r="C809" s="149" t="s">
        <v>3940</v>
      </c>
      <c r="D809" s="149" t="s">
        <v>3941</v>
      </c>
      <c r="E809" s="151">
        <v>1</v>
      </c>
      <c r="F809" s="170" t="s">
        <v>329</v>
      </c>
      <c r="G809" s="151">
        <v>11</v>
      </c>
      <c r="H809" s="153" t="s">
        <v>3772</v>
      </c>
    </row>
    <row r="810" spans="1:8" ht="31.5" hidden="1">
      <c r="A810" s="149" t="s">
        <v>3942</v>
      </c>
      <c r="B810" s="150" t="s">
        <v>3943</v>
      </c>
      <c r="C810" s="149" t="s">
        <v>3944</v>
      </c>
      <c r="D810" s="149" t="s">
        <v>3945</v>
      </c>
      <c r="E810" s="151">
        <v>8</v>
      </c>
      <c r="F810" s="170" t="s">
        <v>329</v>
      </c>
      <c r="G810" s="151">
        <v>11</v>
      </c>
      <c r="H810" s="153" t="s">
        <v>3772</v>
      </c>
    </row>
    <row r="811" spans="1:8" ht="31.5" hidden="1">
      <c r="A811" s="149" t="s">
        <v>3946</v>
      </c>
      <c r="B811" s="150" t="s">
        <v>3947</v>
      </c>
      <c r="C811" s="149" t="s">
        <v>3948</v>
      </c>
      <c r="D811" s="149" t="s">
        <v>3949</v>
      </c>
      <c r="E811" s="151">
        <v>8</v>
      </c>
      <c r="F811" s="170" t="s">
        <v>329</v>
      </c>
      <c r="G811" s="151">
        <v>11</v>
      </c>
      <c r="H811" s="153" t="s">
        <v>3772</v>
      </c>
    </row>
    <row r="812" spans="1:8" ht="31.5" hidden="1">
      <c r="A812" s="149" t="s">
        <v>3950</v>
      </c>
      <c r="B812" s="150" t="s">
        <v>3951</v>
      </c>
      <c r="C812" s="149" t="s">
        <v>3952</v>
      </c>
      <c r="D812" s="149" t="s">
        <v>3953</v>
      </c>
      <c r="E812" s="151">
        <v>8</v>
      </c>
      <c r="F812" s="170" t="s">
        <v>329</v>
      </c>
      <c r="G812" s="151">
        <v>11</v>
      </c>
      <c r="H812" s="153" t="s">
        <v>3772</v>
      </c>
    </row>
    <row r="813" spans="1:8" ht="31.5" hidden="1">
      <c r="A813" s="149" t="s">
        <v>3954</v>
      </c>
      <c r="B813" s="150" t="s">
        <v>3955</v>
      </c>
      <c r="C813" s="149" t="s">
        <v>3956</v>
      </c>
      <c r="D813" s="149" t="s">
        <v>3957</v>
      </c>
      <c r="E813" s="151">
        <v>8</v>
      </c>
      <c r="F813" s="170" t="s">
        <v>329</v>
      </c>
      <c r="G813" s="151">
        <v>11</v>
      </c>
      <c r="H813" s="153" t="s">
        <v>3772</v>
      </c>
    </row>
    <row r="814" spans="1:8" ht="31.5" hidden="1">
      <c r="A814" s="149" t="s">
        <v>3958</v>
      </c>
      <c r="B814" s="150" t="s">
        <v>3959</v>
      </c>
      <c r="C814" s="149" t="s">
        <v>3959</v>
      </c>
      <c r="D814" s="149" t="s">
        <v>3960</v>
      </c>
      <c r="E814" s="151">
        <v>8</v>
      </c>
      <c r="F814" s="170" t="s">
        <v>329</v>
      </c>
      <c r="G814" s="151">
        <v>11</v>
      </c>
      <c r="H814" s="153" t="s">
        <v>3772</v>
      </c>
    </row>
    <row r="815" spans="1:8" ht="31.5" hidden="1">
      <c r="A815" s="149" t="s">
        <v>3961</v>
      </c>
      <c r="B815" s="150" t="s">
        <v>3962</v>
      </c>
      <c r="C815" s="149" t="s">
        <v>3962</v>
      </c>
      <c r="D815" s="149" t="s">
        <v>3963</v>
      </c>
      <c r="E815" s="151">
        <v>9</v>
      </c>
      <c r="F815" s="170" t="s">
        <v>329</v>
      </c>
      <c r="G815" s="151">
        <v>11</v>
      </c>
      <c r="H815" s="153" t="s">
        <v>3772</v>
      </c>
    </row>
    <row r="816" spans="1:8" ht="31.5" hidden="1">
      <c r="A816" s="149" t="s">
        <v>3964</v>
      </c>
      <c r="B816" s="150" t="s">
        <v>3965</v>
      </c>
      <c r="C816" s="149" t="s">
        <v>3965</v>
      </c>
      <c r="D816" s="149" t="s">
        <v>3966</v>
      </c>
      <c r="E816" s="151">
        <v>9</v>
      </c>
      <c r="F816" s="170" t="s">
        <v>329</v>
      </c>
      <c r="G816" s="151">
        <v>11</v>
      </c>
      <c r="H816" s="153" t="s">
        <v>3772</v>
      </c>
    </row>
    <row r="817" spans="1:8" ht="31.5" hidden="1">
      <c r="A817" s="149" t="s">
        <v>3967</v>
      </c>
      <c r="B817" s="150" t="s">
        <v>3968</v>
      </c>
      <c r="C817" s="149" t="s">
        <v>3968</v>
      </c>
      <c r="D817" s="149" t="s">
        <v>3969</v>
      </c>
      <c r="E817" s="151">
        <v>9</v>
      </c>
      <c r="F817" s="170" t="s">
        <v>329</v>
      </c>
      <c r="G817" s="151">
        <v>11</v>
      </c>
      <c r="H817" s="153" t="s">
        <v>3772</v>
      </c>
    </row>
    <row r="818" spans="1:8" ht="31.5" hidden="1">
      <c r="A818" s="149" t="s">
        <v>3970</v>
      </c>
      <c r="B818" s="150" t="s">
        <v>3971</v>
      </c>
      <c r="C818" s="149" t="s">
        <v>3971</v>
      </c>
      <c r="D818" s="149" t="s">
        <v>3972</v>
      </c>
      <c r="E818" s="151">
        <v>9</v>
      </c>
      <c r="F818" s="170" t="s">
        <v>329</v>
      </c>
      <c r="G818" s="151">
        <v>11</v>
      </c>
      <c r="H818" s="153" t="s">
        <v>3772</v>
      </c>
    </row>
    <row r="819" spans="1:8" ht="31.5" hidden="1">
      <c r="A819" s="149" t="s">
        <v>3973</v>
      </c>
      <c r="B819" s="150" t="s">
        <v>3974</v>
      </c>
      <c r="C819" s="149" t="s">
        <v>3974</v>
      </c>
      <c r="D819" s="149" t="s">
        <v>3975</v>
      </c>
      <c r="E819" s="151">
        <v>10</v>
      </c>
      <c r="F819" s="170" t="s">
        <v>314</v>
      </c>
      <c r="G819" s="151">
        <v>11</v>
      </c>
      <c r="H819" s="153" t="s">
        <v>3772</v>
      </c>
    </row>
    <row r="820" spans="1:8" ht="31.5" hidden="1">
      <c r="A820" s="149" t="s">
        <v>3976</v>
      </c>
      <c r="B820" s="150" t="s">
        <v>3977</v>
      </c>
      <c r="C820" s="149" t="s">
        <v>3977</v>
      </c>
      <c r="D820" s="149" t="s">
        <v>3978</v>
      </c>
      <c r="E820" s="151">
        <v>8</v>
      </c>
      <c r="F820" s="170" t="s">
        <v>329</v>
      </c>
      <c r="G820" s="151">
        <v>11</v>
      </c>
      <c r="H820" s="153" t="s">
        <v>3772</v>
      </c>
    </row>
    <row r="821" spans="1:8" ht="31.5" hidden="1">
      <c r="A821" s="149" t="s">
        <v>3979</v>
      </c>
      <c r="B821" s="150" t="s">
        <v>3980</v>
      </c>
      <c r="C821" s="149" t="s">
        <v>3981</v>
      </c>
      <c r="D821" s="149" t="s">
        <v>3982</v>
      </c>
      <c r="E821" s="151">
        <v>8</v>
      </c>
      <c r="F821" s="170" t="s">
        <v>329</v>
      </c>
      <c r="G821" s="151">
        <v>11</v>
      </c>
      <c r="H821" s="153" t="s">
        <v>3772</v>
      </c>
    </row>
    <row r="822" spans="1:8" ht="31.5" hidden="1">
      <c r="A822" s="149" t="s">
        <v>3983</v>
      </c>
      <c r="B822" s="150" t="s">
        <v>3984</v>
      </c>
      <c r="C822" s="149" t="s">
        <v>3984</v>
      </c>
      <c r="D822" s="149" t="s">
        <v>3985</v>
      </c>
      <c r="E822" s="151">
        <v>1</v>
      </c>
      <c r="F822" s="170" t="s">
        <v>329</v>
      </c>
      <c r="G822" s="151">
        <v>11</v>
      </c>
      <c r="H822" s="153" t="s">
        <v>3772</v>
      </c>
    </row>
    <row r="823" spans="1:8" ht="31.5" hidden="1">
      <c r="A823" s="149" t="s">
        <v>3986</v>
      </c>
      <c r="B823" s="150" t="s">
        <v>3987</v>
      </c>
      <c r="C823" s="149" t="s">
        <v>3988</v>
      </c>
      <c r="D823" s="149" t="s">
        <v>3989</v>
      </c>
      <c r="E823" s="151">
        <v>3</v>
      </c>
      <c r="F823" s="170" t="s">
        <v>329</v>
      </c>
      <c r="G823" s="151">
        <v>11</v>
      </c>
      <c r="H823" s="153" t="s">
        <v>3772</v>
      </c>
    </row>
    <row r="824" spans="1:8" ht="31.5" hidden="1">
      <c r="A824" s="149" t="s">
        <v>3990</v>
      </c>
      <c r="B824" s="150" t="s">
        <v>3991</v>
      </c>
      <c r="C824" s="149" t="s">
        <v>3992</v>
      </c>
      <c r="D824" s="149" t="s">
        <v>3993</v>
      </c>
      <c r="E824" s="151">
        <v>10</v>
      </c>
      <c r="F824" s="170" t="s">
        <v>329</v>
      </c>
      <c r="G824" s="151">
        <v>11</v>
      </c>
      <c r="H824" s="153" t="s">
        <v>3772</v>
      </c>
    </row>
    <row r="825" spans="1:8" ht="31.5" hidden="1">
      <c r="A825" s="149" t="s">
        <v>3994</v>
      </c>
      <c r="B825" s="150" t="s">
        <v>3995</v>
      </c>
      <c r="C825" s="149" t="s">
        <v>3996</v>
      </c>
      <c r="D825" s="149" t="s">
        <v>3997</v>
      </c>
      <c r="E825" s="151">
        <v>3</v>
      </c>
      <c r="F825" s="170" t="s">
        <v>329</v>
      </c>
      <c r="G825" s="151">
        <v>11</v>
      </c>
      <c r="H825" s="153" t="s">
        <v>3772</v>
      </c>
    </row>
    <row r="826" spans="1:8" ht="31.5" hidden="1">
      <c r="A826" s="149" t="s">
        <v>3998</v>
      </c>
      <c r="B826" s="150" t="s">
        <v>3999</v>
      </c>
      <c r="C826" s="149" t="s">
        <v>4000</v>
      </c>
      <c r="D826" s="149" t="s">
        <v>4001</v>
      </c>
      <c r="E826" s="151">
        <v>3</v>
      </c>
      <c r="F826" s="170" t="s">
        <v>329</v>
      </c>
      <c r="G826" s="151">
        <v>11</v>
      </c>
      <c r="H826" s="153" t="s">
        <v>3772</v>
      </c>
    </row>
    <row r="827" spans="1:8" ht="31.5" hidden="1">
      <c r="A827" s="149" t="s">
        <v>4002</v>
      </c>
      <c r="B827" s="150" t="s">
        <v>4003</v>
      </c>
      <c r="C827" s="149" t="s">
        <v>4004</v>
      </c>
      <c r="D827" s="149" t="s">
        <v>4005</v>
      </c>
      <c r="E827" s="151">
        <v>10</v>
      </c>
      <c r="F827" s="170" t="s">
        <v>329</v>
      </c>
      <c r="G827" s="151">
        <v>11</v>
      </c>
      <c r="H827" s="153" t="s">
        <v>3772</v>
      </c>
    </row>
    <row r="828" spans="1:8" ht="31.5" hidden="1">
      <c r="A828" s="149" t="s">
        <v>4006</v>
      </c>
      <c r="B828" s="150" t="s">
        <v>4007</v>
      </c>
      <c r="C828" s="149" t="s">
        <v>4008</v>
      </c>
      <c r="D828" s="149" t="s">
        <v>4009</v>
      </c>
      <c r="E828" s="151">
        <v>10</v>
      </c>
      <c r="F828" s="170" t="s">
        <v>329</v>
      </c>
      <c r="G828" s="151">
        <v>11</v>
      </c>
      <c r="H828" s="153" t="s">
        <v>3772</v>
      </c>
    </row>
    <row r="829" spans="1:8" ht="31.5" hidden="1">
      <c r="A829" s="149" t="s">
        <v>4010</v>
      </c>
      <c r="B829" s="150" t="s">
        <v>4011</v>
      </c>
      <c r="C829" s="149" t="s">
        <v>4012</v>
      </c>
      <c r="D829" s="149" t="s">
        <v>4013</v>
      </c>
      <c r="E829" s="151">
        <v>1</v>
      </c>
      <c r="F829" s="170" t="s">
        <v>329</v>
      </c>
      <c r="G829" s="151">
        <v>11</v>
      </c>
      <c r="H829" s="153" t="s">
        <v>3772</v>
      </c>
    </row>
    <row r="830" spans="1:8" ht="31.5" hidden="1">
      <c r="A830" s="149" t="s">
        <v>4014</v>
      </c>
      <c r="B830" s="150" t="s">
        <v>4015</v>
      </c>
      <c r="C830" s="149" t="s">
        <v>4016</v>
      </c>
      <c r="D830" s="149" t="s">
        <v>4017</v>
      </c>
      <c r="E830" s="151">
        <v>1</v>
      </c>
      <c r="F830" s="170" t="s">
        <v>329</v>
      </c>
      <c r="G830" s="151">
        <v>11</v>
      </c>
      <c r="H830" s="153" t="s">
        <v>3772</v>
      </c>
    </row>
    <row r="831" spans="1:8" ht="31.5" hidden="1">
      <c r="A831" s="149" t="s">
        <v>4018</v>
      </c>
      <c r="B831" s="150" t="s">
        <v>4019</v>
      </c>
      <c r="C831" s="149" t="s">
        <v>4020</v>
      </c>
      <c r="D831" s="149" t="s">
        <v>4021</v>
      </c>
      <c r="E831" s="151">
        <v>3</v>
      </c>
      <c r="F831" s="170" t="s">
        <v>329</v>
      </c>
      <c r="G831" s="151">
        <v>11</v>
      </c>
      <c r="H831" s="153" t="s">
        <v>3772</v>
      </c>
    </row>
    <row r="832" spans="1:8" ht="31.5" hidden="1">
      <c r="A832" s="149" t="s">
        <v>4022</v>
      </c>
      <c r="B832" s="150" t="s">
        <v>4023</v>
      </c>
      <c r="C832" s="149" t="s">
        <v>4023</v>
      </c>
      <c r="D832" s="149" t="s">
        <v>4024</v>
      </c>
      <c r="E832" s="151">
        <v>10</v>
      </c>
      <c r="F832" s="170" t="s">
        <v>329</v>
      </c>
      <c r="G832" s="151">
        <v>11</v>
      </c>
      <c r="H832" s="153" t="s">
        <v>3772</v>
      </c>
    </row>
    <row r="833" spans="1:8" ht="31.5" hidden="1">
      <c r="A833" s="149" t="s">
        <v>4025</v>
      </c>
      <c r="B833" s="150" t="s">
        <v>4026</v>
      </c>
      <c r="C833" s="149" t="s">
        <v>4026</v>
      </c>
      <c r="D833" s="149" t="s">
        <v>4027</v>
      </c>
      <c r="E833" s="151">
        <v>9</v>
      </c>
      <c r="F833" s="170" t="s">
        <v>329</v>
      </c>
      <c r="G833" s="151">
        <v>11</v>
      </c>
      <c r="H833" s="153" t="s">
        <v>3772</v>
      </c>
    </row>
    <row r="834" spans="1:8" ht="31.5" hidden="1">
      <c r="A834" s="149" t="s">
        <v>4028</v>
      </c>
      <c r="B834" s="150" t="s">
        <v>4029</v>
      </c>
      <c r="C834" s="149" t="s">
        <v>4029</v>
      </c>
      <c r="D834" s="149" t="s">
        <v>4030</v>
      </c>
      <c r="E834" s="151">
        <v>12</v>
      </c>
      <c r="F834" s="170" t="s">
        <v>253</v>
      </c>
      <c r="G834" s="151">
        <v>11</v>
      </c>
      <c r="H834" s="153" t="s">
        <v>3772</v>
      </c>
    </row>
    <row r="835" spans="1:8" ht="31.5" hidden="1">
      <c r="A835" s="149" t="s">
        <v>4031</v>
      </c>
      <c r="B835" s="150" t="s">
        <v>4032</v>
      </c>
      <c r="C835" s="149" t="s">
        <v>4032</v>
      </c>
      <c r="D835" s="149" t="s">
        <v>4033</v>
      </c>
      <c r="E835" s="151">
        <v>12</v>
      </c>
      <c r="F835" s="170" t="s">
        <v>253</v>
      </c>
      <c r="G835" s="151">
        <v>11</v>
      </c>
      <c r="H835" s="153" t="s">
        <v>3772</v>
      </c>
    </row>
    <row r="836" spans="1:8" ht="31.5" hidden="1">
      <c r="A836" s="149" t="s">
        <v>4034</v>
      </c>
      <c r="B836" s="150" t="s">
        <v>4035</v>
      </c>
      <c r="C836" s="149" t="s">
        <v>4036</v>
      </c>
      <c r="D836" s="149" t="s">
        <v>4037</v>
      </c>
      <c r="E836" s="151">
        <v>16</v>
      </c>
      <c r="F836" s="170" t="s">
        <v>314</v>
      </c>
      <c r="G836" s="151">
        <v>11</v>
      </c>
      <c r="H836" s="153" t="s">
        <v>3772</v>
      </c>
    </row>
    <row r="837" spans="1:8" ht="31.5" hidden="1">
      <c r="A837" s="149" t="s">
        <v>4038</v>
      </c>
      <c r="B837" s="150" t="s">
        <v>4039</v>
      </c>
      <c r="C837" s="149" t="s">
        <v>4040</v>
      </c>
      <c r="D837" s="149" t="s">
        <v>4041</v>
      </c>
      <c r="E837" s="151">
        <v>16</v>
      </c>
      <c r="F837" s="170" t="s">
        <v>314</v>
      </c>
      <c r="G837" s="151">
        <v>11</v>
      </c>
      <c r="H837" s="153" t="s">
        <v>3772</v>
      </c>
    </row>
    <row r="838" spans="1:8" ht="31.5" hidden="1">
      <c r="A838" s="149" t="s">
        <v>4042</v>
      </c>
      <c r="B838" s="150" t="s">
        <v>4043</v>
      </c>
      <c r="C838" s="149" t="s">
        <v>4044</v>
      </c>
      <c r="D838" s="149" t="s">
        <v>4045</v>
      </c>
      <c r="E838" s="151">
        <v>16</v>
      </c>
      <c r="F838" s="170" t="s">
        <v>314</v>
      </c>
      <c r="G838" s="151">
        <v>11</v>
      </c>
      <c r="H838" s="153" t="s">
        <v>3772</v>
      </c>
    </row>
    <row r="839" spans="1:8" ht="31.5" hidden="1">
      <c r="A839" s="149" t="s">
        <v>4046</v>
      </c>
      <c r="B839" s="150" t="s">
        <v>4047</v>
      </c>
      <c r="C839" s="149" t="s">
        <v>4048</v>
      </c>
      <c r="D839" s="149" t="s">
        <v>4049</v>
      </c>
      <c r="E839" s="151">
        <v>7</v>
      </c>
      <c r="F839" s="170" t="s">
        <v>314</v>
      </c>
      <c r="G839" s="151">
        <v>11</v>
      </c>
      <c r="H839" s="153" t="s">
        <v>4050</v>
      </c>
    </row>
    <row r="840" spans="1:8" ht="15.75" hidden="1">
      <c r="A840" s="149" t="s">
        <v>4051</v>
      </c>
      <c r="B840" s="150" t="s">
        <v>4052</v>
      </c>
      <c r="C840" s="149" t="s">
        <v>4052</v>
      </c>
      <c r="D840" s="149" t="s">
        <v>4053</v>
      </c>
      <c r="E840" s="151">
        <v>7</v>
      </c>
      <c r="F840" s="170" t="s">
        <v>314</v>
      </c>
      <c r="G840" s="151">
        <v>11</v>
      </c>
      <c r="H840" s="153" t="s">
        <v>4050</v>
      </c>
    </row>
    <row r="841" spans="1:8" ht="15.75" hidden="1">
      <c r="A841" s="149" t="s">
        <v>4054</v>
      </c>
      <c r="B841" s="150" t="s">
        <v>4055</v>
      </c>
      <c r="C841" s="149" t="s">
        <v>4056</v>
      </c>
      <c r="D841" s="149" t="s">
        <v>4057</v>
      </c>
      <c r="E841" s="151">
        <v>7</v>
      </c>
      <c r="F841" s="170" t="s">
        <v>314</v>
      </c>
      <c r="G841" s="151">
        <v>11</v>
      </c>
      <c r="H841" s="153" t="s">
        <v>4050</v>
      </c>
    </row>
    <row r="842" spans="1:8" ht="15.75" hidden="1">
      <c r="A842" s="149" t="s">
        <v>4058</v>
      </c>
      <c r="B842" s="150" t="s">
        <v>4059</v>
      </c>
      <c r="C842" s="149" t="s">
        <v>4060</v>
      </c>
      <c r="D842" s="149" t="s">
        <v>4061</v>
      </c>
      <c r="E842" s="151">
        <v>7</v>
      </c>
      <c r="F842" s="170" t="s">
        <v>314</v>
      </c>
      <c r="G842" s="151">
        <v>11</v>
      </c>
      <c r="H842" s="153" t="s">
        <v>4050</v>
      </c>
    </row>
    <row r="843" spans="1:8" ht="15.75" hidden="1">
      <c r="A843" s="149" t="s">
        <v>4062</v>
      </c>
      <c r="B843" s="150" t="s">
        <v>4063</v>
      </c>
      <c r="C843" s="149" t="s">
        <v>4063</v>
      </c>
      <c r="D843" s="149" t="s">
        <v>4064</v>
      </c>
      <c r="E843" s="151">
        <v>7</v>
      </c>
      <c r="F843" s="170" t="s">
        <v>314</v>
      </c>
      <c r="G843" s="151">
        <v>11</v>
      </c>
      <c r="H843" s="153" t="s">
        <v>4050</v>
      </c>
    </row>
    <row r="844" spans="1:8" ht="15.75" hidden="1">
      <c r="A844" s="149" t="s">
        <v>4065</v>
      </c>
      <c r="B844" s="150" t="s">
        <v>4066</v>
      </c>
      <c r="C844" s="149" t="s">
        <v>4067</v>
      </c>
      <c r="D844" s="149" t="s">
        <v>4068</v>
      </c>
      <c r="E844" s="151">
        <v>7</v>
      </c>
      <c r="F844" s="170" t="s">
        <v>314</v>
      </c>
      <c r="G844" s="151">
        <v>11</v>
      </c>
      <c r="H844" s="153" t="s">
        <v>4050</v>
      </c>
    </row>
    <row r="845" spans="1:8" ht="31.5" hidden="1">
      <c r="A845" s="149" t="s">
        <v>4069</v>
      </c>
      <c r="B845" s="150" t="s">
        <v>4070</v>
      </c>
      <c r="C845" s="149" t="s">
        <v>4071</v>
      </c>
      <c r="D845" s="149" t="s">
        <v>4071</v>
      </c>
      <c r="E845" s="151">
        <v>7</v>
      </c>
      <c r="F845" s="170" t="s">
        <v>314</v>
      </c>
      <c r="G845" s="151">
        <v>11</v>
      </c>
      <c r="H845" s="153" t="s">
        <v>4050</v>
      </c>
    </row>
    <row r="846" spans="1:8" ht="15.75" hidden="1">
      <c r="A846" s="149" t="s">
        <v>4072</v>
      </c>
      <c r="B846" s="150" t="s">
        <v>4073</v>
      </c>
      <c r="C846" s="149" t="s">
        <v>4074</v>
      </c>
      <c r="D846" s="149" t="s">
        <v>4075</v>
      </c>
      <c r="E846" s="151">
        <v>7</v>
      </c>
      <c r="F846" s="170" t="s">
        <v>314</v>
      </c>
      <c r="G846" s="151">
        <v>11</v>
      </c>
      <c r="H846" s="153" t="s">
        <v>4050</v>
      </c>
    </row>
    <row r="847" spans="1:8" ht="15.75" hidden="1">
      <c r="A847" s="149" t="s">
        <v>4076</v>
      </c>
      <c r="B847" s="150" t="s">
        <v>4077</v>
      </c>
      <c r="C847" s="149" t="s">
        <v>4078</v>
      </c>
      <c r="D847" s="149" t="s">
        <v>4079</v>
      </c>
      <c r="E847" s="151">
        <v>7</v>
      </c>
      <c r="F847" s="170" t="s">
        <v>314</v>
      </c>
      <c r="G847" s="151">
        <v>11</v>
      </c>
      <c r="H847" s="153" t="s">
        <v>4050</v>
      </c>
    </row>
    <row r="848" spans="1:8" ht="15.75" hidden="1">
      <c r="A848" s="149" t="s">
        <v>4080</v>
      </c>
      <c r="B848" s="150" t="s">
        <v>3093</v>
      </c>
      <c r="C848" s="149" t="s">
        <v>4081</v>
      </c>
      <c r="D848" s="149" t="s">
        <v>4082</v>
      </c>
      <c r="E848" s="151">
        <v>7</v>
      </c>
      <c r="F848" s="170" t="s">
        <v>314</v>
      </c>
      <c r="G848" s="151">
        <v>11</v>
      </c>
      <c r="H848" s="153" t="s">
        <v>4050</v>
      </c>
    </row>
    <row r="849" spans="1:8" ht="31.5" hidden="1">
      <c r="A849" s="149" t="s">
        <v>4083</v>
      </c>
      <c r="B849" s="150" t="s">
        <v>4084</v>
      </c>
      <c r="C849" s="149" t="s">
        <v>4085</v>
      </c>
      <c r="D849" s="149" t="s">
        <v>4086</v>
      </c>
      <c r="E849" s="151">
        <v>12</v>
      </c>
      <c r="F849" s="170" t="s">
        <v>253</v>
      </c>
      <c r="G849" s="151">
        <v>11</v>
      </c>
      <c r="H849" s="153" t="s">
        <v>4050</v>
      </c>
    </row>
    <row r="850" spans="1:8" ht="15.75" hidden="1">
      <c r="A850" s="149" t="s">
        <v>4087</v>
      </c>
      <c r="B850" s="150" t="s">
        <v>4088</v>
      </c>
      <c r="C850" s="149" t="s">
        <v>4089</v>
      </c>
      <c r="D850" s="149" t="s">
        <v>4090</v>
      </c>
      <c r="E850" s="151">
        <v>13</v>
      </c>
      <c r="F850" s="170" t="s">
        <v>253</v>
      </c>
      <c r="G850" s="151">
        <v>11</v>
      </c>
      <c r="H850" s="153" t="s">
        <v>4050</v>
      </c>
    </row>
    <row r="851" spans="1:8" ht="31.5" hidden="1">
      <c r="A851" s="149" t="s">
        <v>4091</v>
      </c>
      <c r="B851" s="150" t="s">
        <v>4092</v>
      </c>
      <c r="C851" s="149" t="s">
        <v>4093</v>
      </c>
      <c r="D851" s="149" t="s">
        <v>4094</v>
      </c>
      <c r="E851" s="151">
        <v>12</v>
      </c>
      <c r="F851" s="170" t="s">
        <v>253</v>
      </c>
      <c r="G851" s="151">
        <v>11</v>
      </c>
      <c r="H851" s="153" t="s">
        <v>4050</v>
      </c>
    </row>
    <row r="852" spans="1:8" ht="31.5" hidden="1">
      <c r="A852" s="149" t="s">
        <v>4095</v>
      </c>
      <c r="B852" s="150" t="s">
        <v>4096</v>
      </c>
      <c r="C852" s="149" t="s">
        <v>4096</v>
      </c>
      <c r="D852" s="149" t="s">
        <v>4097</v>
      </c>
      <c r="E852" s="151">
        <v>12</v>
      </c>
      <c r="F852" s="170" t="s">
        <v>253</v>
      </c>
      <c r="G852" s="151">
        <v>11</v>
      </c>
      <c r="H852" s="153" t="s">
        <v>4050</v>
      </c>
    </row>
    <row r="853" spans="1:8" ht="31.5" hidden="1">
      <c r="A853" s="149" t="s">
        <v>4098</v>
      </c>
      <c r="B853" s="150" t="s">
        <v>4099</v>
      </c>
      <c r="C853" s="149" t="s">
        <v>4099</v>
      </c>
      <c r="D853" s="149" t="s">
        <v>4100</v>
      </c>
      <c r="E853" s="151">
        <v>12</v>
      </c>
      <c r="F853" s="170" t="s">
        <v>253</v>
      </c>
      <c r="G853" s="151">
        <v>11</v>
      </c>
      <c r="H853" s="153" t="s">
        <v>4050</v>
      </c>
    </row>
    <row r="854" spans="1:8" ht="15.75" hidden="1">
      <c r="A854" s="149" t="s">
        <v>4101</v>
      </c>
      <c r="B854" s="150" t="s">
        <v>4102</v>
      </c>
      <c r="C854" s="149" t="s">
        <v>4102</v>
      </c>
      <c r="D854" s="149" t="s">
        <v>4103</v>
      </c>
      <c r="E854" s="151">
        <v>12</v>
      </c>
      <c r="F854" s="170" t="s">
        <v>253</v>
      </c>
      <c r="G854" s="151">
        <v>11</v>
      </c>
      <c r="H854" s="153" t="s">
        <v>4050</v>
      </c>
    </row>
    <row r="855" spans="1:8" ht="15.75" hidden="1">
      <c r="A855" s="149" t="s">
        <v>4104</v>
      </c>
      <c r="B855" s="150" t="s">
        <v>4105</v>
      </c>
      <c r="C855" s="149" t="s">
        <v>4106</v>
      </c>
      <c r="D855" s="149" t="s">
        <v>4107</v>
      </c>
      <c r="E855" s="151">
        <v>12</v>
      </c>
      <c r="F855" s="170" t="s">
        <v>253</v>
      </c>
      <c r="G855" s="151">
        <v>11</v>
      </c>
      <c r="H855" s="153" t="s">
        <v>4050</v>
      </c>
    </row>
    <row r="856" spans="1:8" ht="15.75" hidden="1">
      <c r="A856" s="149" t="s">
        <v>4108</v>
      </c>
      <c r="B856" s="150" t="s">
        <v>4109</v>
      </c>
      <c r="C856" s="149" t="s">
        <v>4109</v>
      </c>
      <c r="D856" s="149" t="s">
        <v>4110</v>
      </c>
      <c r="E856" s="151">
        <v>12</v>
      </c>
      <c r="F856" s="170" t="s">
        <v>253</v>
      </c>
      <c r="G856" s="151">
        <v>11</v>
      </c>
      <c r="H856" s="153" t="s">
        <v>4050</v>
      </c>
    </row>
    <row r="857" spans="1:8" ht="31.5" hidden="1">
      <c r="A857" s="149" t="s">
        <v>4111</v>
      </c>
      <c r="B857" s="150" t="s">
        <v>4112</v>
      </c>
      <c r="C857" s="149" t="s">
        <v>4113</v>
      </c>
      <c r="D857" s="149" t="s">
        <v>4114</v>
      </c>
      <c r="E857" s="151">
        <v>12</v>
      </c>
      <c r="F857" s="170" t="s">
        <v>253</v>
      </c>
      <c r="G857" s="151">
        <v>11</v>
      </c>
      <c r="H857" s="153" t="s">
        <v>4050</v>
      </c>
    </row>
    <row r="858" spans="1:8" ht="31.5" hidden="1">
      <c r="A858" s="149" t="s">
        <v>4115</v>
      </c>
      <c r="B858" s="150" t="s">
        <v>4116</v>
      </c>
      <c r="C858" s="149" t="s">
        <v>4117</v>
      </c>
      <c r="D858" s="149" t="s">
        <v>4118</v>
      </c>
      <c r="E858" s="151">
        <v>13</v>
      </c>
      <c r="F858" s="170" t="s">
        <v>253</v>
      </c>
      <c r="G858" s="151">
        <v>11</v>
      </c>
      <c r="H858" s="153" t="s">
        <v>4050</v>
      </c>
    </row>
    <row r="859" spans="1:8" ht="15.75" hidden="1">
      <c r="A859" s="149" t="s">
        <v>4119</v>
      </c>
      <c r="B859" s="150" t="s">
        <v>4120</v>
      </c>
      <c r="C859" s="149" t="s">
        <v>4121</v>
      </c>
      <c r="D859" s="149" t="s">
        <v>4122</v>
      </c>
      <c r="E859" s="151">
        <v>13</v>
      </c>
      <c r="F859" s="170" t="s">
        <v>253</v>
      </c>
      <c r="G859" s="151">
        <v>11</v>
      </c>
      <c r="H859" s="153" t="s">
        <v>4050</v>
      </c>
    </row>
    <row r="860" spans="1:8" ht="15.75" hidden="1">
      <c r="A860" s="149" t="s">
        <v>4123</v>
      </c>
      <c r="B860" s="150" t="s">
        <v>4124</v>
      </c>
      <c r="C860" s="149" t="s">
        <v>4125</v>
      </c>
      <c r="D860" s="149" t="s">
        <v>4126</v>
      </c>
      <c r="E860" s="151">
        <v>13</v>
      </c>
      <c r="F860" s="170" t="s">
        <v>253</v>
      </c>
      <c r="G860" s="151">
        <v>11</v>
      </c>
      <c r="H860" s="153" t="s">
        <v>4050</v>
      </c>
    </row>
    <row r="861" spans="1:8" ht="31.5" hidden="1">
      <c r="A861" s="149" t="s">
        <v>4127</v>
      </c>
      <c r="B861" s="150" t="s">
        <v>4128</v>
      </c>
      <c r="C861" s="149" t="s">
        <v>4129</v>
      </c>
      <c r="D861" s="149" t="s">
        <v>4130</v>
      </c>
      <c r="E861" s="151">
        <v>13</v>
      </c>
      <c r="F861" s="170" t="s">
        <v>253</v>
      </c>
      <c r="G861" s="151">
        <v>11</v>
      </c>
      <c r="H861" s="153" t="s">
        <v>4050</v>
      </c>
    </row>
    <row r="862" spans="1:8" ht="31.5" hidden="1">
      <c r="A862" s="149" t="s">
        <v>4131</v>
      </c>
      <c r="B862" s="150" t="s">
        <v>4132</v>
      </c>
      <c r="C862" s="149" t="s">
        <v>4133</v>
      </c>
      <c r="D862" s="149" t="s">
        <v>4134</v>
      </c>
      <c r="E862" s="151">
        <v>11</v>
      </c>
      <c r="F862" s="170" t="s">
        <v>253</v>
      </c>
      <c r="G862" s="151">
        <v>11</v>
      </c>
      <c r="H862" s="153" t="s">
        <v>4050</v>
      </c>
    </row>
    <row r="863" spans="1:8" ht="15.75" hidden="1">
      <c r="A863" s="149" t="s">
        <v>4135</v>
      </c>
      <c r="B863" s="150" t="s">
        <v>4136</v>
      </c>
      <c r="C863" s="149" t="s">
        <v>4136</v>
      </c>
      <c r="D863" s="149" t="s">
        <v>4137</v>
      </c>
      <c r="E863" s="151">
        <v>11</v>
      </c>
      <c r="F863" s="170" t="s">
        <v>253</v>
      </c>
      <c r="G863" s="151">
        <v>11</v>
      </c>
      <c r="H863" s="153" t="s">
        <v>4050</v>
      </c>
    </row>
    <row r="864" spans="1:8" ht="31.5" hidden="1">
      <c r="A864" s="149" t="s">
        <v>4138</v>
      </c>
      <c r="B864" s="150" t="s">
        <v>4139</v>
      </c>
      <c r="C864" s="149" t="s">
        <v>4139</v>
      </c>
      <c r="D864" s="149" t="s">
        <v>4140</v>
      </c>
      <c r="E864" s="151">
        <v>13</v>
      </c>
      <c r="F864" s="170" t="s">
        <v>253</v>
      </c>
      <c r="G864" s="151">
        <v>11</v>
      </c>
      <c r="H864" s="153" t="s">
        <v>4050</v>
      </c>
    </row>
    <row r="865" spans="1:8" ht="15.75" hidden="1">
      <c r="A865" s="149" t="s">
        <v>4141</v>
      </c>
      <c r="B865" s="150" t="s">
        <v>4142</v>
      </c>
      <c r="C865" s="149" t="s">
        <v>4143</v>
      </c>
      <c r="D865" s="149" t="s">
        <v>4144</v>
      </c>
      <c r="E865" s="151">
        <v>13</v>
      </c>
      <c r="F865" s="170" t="s">
        <v>253</v>
      </c>
      <c r="G865" s="151">
        <v>11</v>
      </c>
      <c r="H865" s="153" t="s">
        <v>4050</v>
      </c>
    </row>
    <row r="866" spans="1:8" ht="15.75" hidden="1">
      <c r="A866" s="149" t="s">
        <v>4145</v>
      </c>
      <c r="B866" s="150" t="s">
        <v>4146</v>
      </c>
      <c r="C866" s="149" t="s">
        <v>4146</v>
      </c>
      <c r="D866" s="149" t="s">
        <v>4147</v>
      </c>
      <c r="E866" s="151">
        <v>13</v>
      </c>
      <c r="F866" s="170" t="s">
        <v>253</v>
      </c>
      <c r="G866" s="151">
        <v>11</v>
      </c>
      <c r="H866" s="153" t="s">
        <v>4050</v>
      </c>
    </row>
    <row r="867" spans="1:8" ht="15.75" hidden="1">
      <c r="A867" s="149" t="s">
        <v>4148</v>
      </c>
      <c r="B867" s="150" t="s">
        <v>4149</v>
      </c>
      <c r="C867" s="149" t="s">
        <v>4149</v>
      </c>
      <c r="D867" s="149" t="s">
        <v>4150</v>
      </c>
      <c r="E867" s="151">
        <v>13</v>
      </c>
      <c r="F867" s="170" t="s">
        <v>253</v>
      </c>
      <c r="G867" s="151">
        <v>11</v>
      </c>
      <c r="H867" s="153" t="s">
        <v>4050</v>
      </c>
    </row>
    <row r="868" spans="1:8" ht="31.5" hidden="1">
      <c r="A868" s="149" t="s">
        <v>4151</v>
      </c>
      <c r="B868" s="150" t="s">
        <v>4152</v>
      </c>
      <c r="C868" s="149" t="s">
        <v>4152</v>
      </c>
      <c r="D868" s="149" t="s">
        <v>4153</v>
      </c>
      <c r="E868" s="151">
        <v>13</v>
      </c>
      <c r="F868" s="170" t="s">
        <v>253</v>
      </c>
      <c r="G868" s="151">
        <v>11</v>
      </c>
      <c r="H868" s="153" t="s">
        <v>4050</v>
      </c>
    </row>
    <row r="869" spans="1:8" ht="15.75" hidden="1">
      <c r="A869" s="149" t="s">
        <v>4154</v>
      </c>
      <c r="B869" s="150" t="s">
        <v>4155</v>
      </c>
      <c r="C869" s="149" t="s">
        <v>4156</v>
      </c>
      <c r="D869" s="149" t="s">
        <v>4157</v>
      </c>
      <c r="E869" s="151">
        <v>13</v>
      </c>
      <c r="F869" s="170" t="s">
        <v>253</v>
      </c>
      <c r="G869" s="151">
        <v>11</v>
      </c>
      <c r="H869" s="153" t="s">
        <v>4050</v>
      </c>
    </row>
    <row r="870" spans="1:8" ht="31.5" hidden="1">
      <c r="A870" s="149" t="s">
        <v>4158</v>
      </c>
      <c r="B870" s="150" t="s">
        <v>4159</v>
      </c>
      <c r="C870" s="149" t="s">
        <v>4159</v>
      </c>
      <c r="D870" s="149" t="s">
        <v>4160</v>
      </c>
      <c r="E870" s="151">
        <v>13</v>
      </c>
      <c r="F870" s="170" t="s">
        <v>253</v>
      </c>
      <c r="G870" s="151">
        <v>11</v>
      </c>
      <c r="H870" s="153" t="s">
        <v>4050</v>
      </c>
    </row>
    <row r="871" spans="1:8" ht="15.75" hidden="1">
      <c r="A871" s="149" t="s">
        <v>4161</v>
      </c>
      <c r="B871" s="150" t="s">
        <v>4162</v>
      </c>
      <c r="C871" s="149" t="s">
        <v>4163</v>
      </c>
      <c r="D871" s="149" t="s">
        <v>4164</v>
      </c>
      <c r="E871" s="151">
        <v>13</v>
      </c>
      <c r="F871" s="170" t="s">
        <v>253</v>
      </c>
      <c r="G871" s="151">
        <v>11</v>
      </c>
      <c r="H871" s="153" t="s">
        <v>4050</v>
      </c>
    </row>
    <row r="872" spans="1:8" ht="31.5" hidden="1">
      <c r="A872" s="149" t="s">
        <v>4165</v>
      </c>
      <c r="B872" s="150" t="s">
        <v>4166</v>
      </c>
      <c r="C872" s="149" t="s">
        <v>4167</v>
      </c>
      <c r="D872" s="149" t="s">
        <v>4168</v>
      </c>
      <c r="E872" s="151">
        <v>13</v>
      </c>
      <c r="F872" s="170" t="s">
        <v>253</v>
      </c>
      <c r="G872" s="151">
        <v>11</v>
      </c>
      <c r="H872" s="153" t="s">
        <v>4050</v>
      </c>
    </row>
    <row r="873" spans="1:8" ht="31.5" hidden="1">
      <c r="A873" s="149" t="s">
        <v>4169</v>
      </c>
      <c r="B873" s="150" t="s">
        <v>4170</v>
      </c>
      <c r="C873" s="149" t="s">
        <v>4171</v>
      </c>
      <c r="D873" s="149" t="s">
        <v>4172</v>
      </c>
      <c r="E873" s="151">
        <v>13</v>
      </c>
      <c r="F873" s="170" t="s">
        <v>253</v>
      </c>
      <c r="G873" s="151">
        <v>11</v>
      </c>
      <c r="H873" s="153" t="s">
        <v>4050</v>
      </c>
    </row>
    <row r="874" spans="1:8" ht="15.75" hidden="1">
      <c r="A874" s="149" t="s">
        <v>4173</v>
      </c>
      <c r="B874" s="150" t="s">
        <v>4174</v>
      </c>
      <c r="C874" s="149" t="s">
        <v>4174</v>
      </c>
      <c r="D874" s="149" t="s">
        <v>4175</v>
      </c>
      <c r="E874" s="151">
        <v>13</v>
      </c>
      <c r="F874" s="170" t="s">
        <v>253</v>
      </c>
      <c r="G874" s="151">
        <v>11</v>
      </c>
      <c r="H874" s="153" t="s">
        <v>4050</v>
      </c>
    </row>
    <row r="875" spans="1:8" ht="15.75" hidden="1">
      <c r="A875" s="149" t="s">
        <v>4176</v>
      </c>
      <c r="B875" s="150" t="s">
        <v>4177</v>
      </c>
      <c r="C875" s="149" t="s">
        <v>4178</v>
      </c>
      <c r="D875" s="149" t="s">
        <v>4179</v>
      </c>
      <c r="E875" s="151">
        <v>11</v>
      </c>
      <c r="F875" s="170" t="s">
        <v>253</v>
      </c>
      <c r="G875" s="151">
        <v>11</v>
      </c>
      <c r="H875" s="153" t="s">
        <v>4050</v>
      </c>
    </row>
    <row r="876" spans="1:8" ht="15.75" hidden="1">
      <c r="A876" s="149" t="s">
        <v>4180</v>
      </c>
      <c r="B876" s="150" t="s">
        <v>4181</v>
      </c>
      <c r="C876" s="149" t="s">
        <v>4181</v>
      </c>
      <c r="D876" s="149" t="s">
        <v>4182</v>
      </c>
      <c r="E876" s="151">
        <v>11</v>
      </c>
      <c r="F876" s="170" t="s">
        <v>253</v>
      </c>
      <c r="G876" s="151">
        <v>11</v>
      </c>
      <c r="H876" s="153" t="s">
        <v>4050</v>
      </c>
    </row>
    <row r="877" spans="1:8" ht="15.75" hidden="1">
      <c r="A877" s="149" t="s">
        <v>4183</v>
      </c>
      <c r="B877" s="150" t="s">
        <v>4184</v>
      </c>
      <c r="C877" s="149" t="s">
        <v>4184</v>
      </c>
      <c r="D877" s="149" t="s">
        <v>4185</v>
      </c>
      <c r="E877" s="151">
        <v>11</v>
      </c>
      <c r="F877" s="170" t="s">
        <v>253</v>
      </c>
      <c r="G877" s="151">
        <v>11</v>
      </c>
      <c r="H877" s="153" t="s">
        <v>4050</v>
      </c>
    </row>
    <row r="878" spans="1:8" ht="15.75" hidden="1">
      <c r="A878" s="149" t="s">
        <v>4186</v>
      </c>
      <c r="B878" s="150" t="s">
        <v>4187</v>
      </c>
      <c r="C878" s="149" t="s">
        <v>4187</v>
      </c>
      <c r="D878" s="149" t="s">
        <v>4188</v>
      </c>
      <c r="E878" s="151">
        <v>11</v>
      </c>
      <c r="F878" s="170" t="s">
        <v>253</v>
      </c>
      <c r="G878" s="151">
        <v>11</v>
      </c>
      <c r="H878" s="153" t="s">
        <v>4050</v>
      </c>
    </row>
    <row r="879" spans="1:8" ht="15.75" hidden="1">
      <c r="A879" s="149" t="s">
        <v>4189</v>
      </c>
      <c r="B879" s="150" t="s">
        <v>4190</v>
      </c>
      <c r="C879" s="149" t="s">
        <v>4190</v>
      </c>
      <c r="D879" s="149" t="s">
        <v>4191</v>
      </c>
      <c r="E879" s="151">
        <v>14</v>
      </c>
      <c r="F879" s="170" t="s">
        <v>718</v>
      </c>
      <c r="G879" s="151">
        <v>11</v>
      </c>
      <c r="H879" s="153" t="s">
        <v>4050</v>
      </c>
    </row>
    <row r="880" spans="1:8" ht="15.75" hidden="1">
      <c r="A880" s="149" t="s">
        <v>4192</v>
      </c>
      <c r="B880" s="150" t="s">
        <v>4193</v>
      </c>
      <c r="C880" s="149" t="s">
        <v>4194</v>
      </c>
      <c r="D880" s="149" t="s">
        <v>4195</v>
      </c>
      <c r="E880" s="151">
        <v>14</v>
      </c>
      <c r="F880" s="170" t="s">
        <v>718</v>
      </c>
      <c r="G880" s="151">
        <v>11</v>
      </c>
      <c r="H880" s="153" t="s">
        <v>4050</v>
      </c>
    </row>
    <row r="881" spans="1:8" ht="15.75" hidden="1">
      <c r="A881" s="149" t="s">
        <v>4196</v>
      </c>
      <c r="B881" s="150" t="s">
        <v>4197</v>
      </c>
      <c r="C881" s="149" t="s">
        <v>4198</v>
      </c>
      <c r="D881" s="149" t="s">
        <v>4199</v>
      </c>
      <c r="E881" s="151">
        <v>14</v>
      </c>
      <c r="F881" s="170" t="s">
        <v>718</v>
      </c>
      <c r="G881" s="151">
        <v>11</v>
      </c>
      <c r="H881" s="153" t="s">
        <v>4050</v>
      </c>
    </row>
    <row r="882" spans="1:8" ht="15.75" hidden="1">
      <c r="A882" s="149" t="s">
        <v>4200</v>
      </c>
      <c r="B882" s="150" t="s">
        <v>4201</v>
      </c>
      <c r="C882" s="149" t="s">
        <v>4202</v>
      </c>
      <c r="D882" s="149" t="s">
        <v>4203</v>
      </c>
      <c r="E882" s="151">
        <v>14</v>
      </c>
      <c r="F882" s="170" t="s">
        <v>718</v>
      </c>
      <c r="G882" s="151">
        <v>11</v>
      </c>
      <c r="H882" s="153" t="s">
        <v>4050</v>
      </c>
    </row>
    <row r="883" spans="1:8" ht="15.75" hidden="1">
      <c r="A883" s="149" t="s">
        <v>4204</v>
      </c>
      <c r="B883" s="150" t="s">
        <v>4205</v>
      </c>
      <c r="C883" s="149" t="s">
        <v>4206</v>
      </c>
      <c r="D883" s="149" t="s">
        <v>4207</v>
      </c>
      <c r="E883" s="151">
        <v>14</v>
      </c>
      <c r="F883" s="170" t="s">
        <v>718</v>
      </c>
      <c r="G883" s="151">
        <v>11</v>
      </c>
      <c r="H883" s="153" t="s">
        <v>4050</v>
      </c>
    </row>
    <row r="884" spans="1:8" ht="15.75" hidden="1">
      <c r="A884" s="149" t="s">
        <v>4208</v>
      </c>
      <c r="B884" s="150" t="s">
        <v>4209</v>
      </c>
      <c r="C884" s="149" t="s">
        <v>4210</v>
      </c>
      <c r="D884" s="149" t="s">
        <v>4211</v>
      </c>
      <c r="E884" s="151">
        <v>14</v>
      </c>
      <c r="F884" s="170" t="s">
        <v>718</v>
      </c>
      <c r="G884" s="151">
        <v>11</v>
      </c>
      <c r="H884" s="153" t="s">
        <v>4050</v>
      </c>
    </row>
    <row r="885" spans="1:8" ht="15.75" hidden="1">
      <c r="A885" s="149" t="s">
        <v>4212</v>
      </c>
      <c r="B885" s="150" t="s">
        <v>4213</v>
      </c>
      <c r="C885" s="149" t="s">
        <v>4214</v>
      </c>
      <c r="D885" s="149" t="s">
        <v>4215</v>
      </c>
      <c r="E885" s="151">
        <v>14</v>
      </c>
      <c r="F885" s="170" t="s">
        <v>718</v>
      </c>
      <c r="G885" s="151">
        <v>11</v>
      </c>
      <c r="H885" s="153" t="s">
        <v>4050</v>
      </c>
    </row>
    <row r="886" spans="1:8" ht="15.75" hidden="1">
      <c r="A886" s="149" t="s">
        <v>4216</v>
      </c>
      <c r="B886" s="150" t="s">
        <v>4217</v>
      </c>
      <c r="C886" s="149" t="s">
        <v>4218</v>
      </c>
      <c r="D886" s="149" t="s">
        <v>4219</v>
      </c>
      <c r="E886" s="151">
        <v>14</v>
      </c>
      <c r="F886" s="170" t="s">
        <v>718</v>
      </c>
      <c r="G886" s="151">
        <v>11</v>
      </c>
      <c r="H886" s="153" t="s">
        <v>4050</v>
      </c>
    </row>
    <row r="887" spans="1:8" ht="15.75" hidden="1">
      <c r="A887" s="149" t="s">
        <v>4220</v>
      </c>
      <c r="B887" s="150" t="s">
        <v>4221</v>
      </c>
      <c r="C887" s="149" t="s">
        <v>4222</v>
      </c>
      <c r="D887" s="149" t="s">
        <v>4223</v>
      </c>
      <c r="E887" s="151">
        <v>14</v>
      </c>
      <c r="F887" s="170" t="s">
        <v>718</v>
      </c>
      <c r="G887" s="151">
        <v>11</v>
      </c>
      <c r="H887" s="153" t="s">
        <v>4050</v>
      </c>
    </row>
    <row r="888" spans="1:8" ht="15.75" hidden="1">
      <c r="A888" s="149" t="s">
        <v>4224</v>
      </c>
      <c r="B888" s="150" t="s">
        <v>4225</v>
      </c>
      <c r="C888" s="149" t="s">
        <v>4226</v>
      </c>
      <c r="D888" s="149" t="s">
        <v>4227</v>
      </c>
      <c r="E888" s="151">
        <v>14</v>
      </c>
      <c r="F888" s="170" t="s">
        <v>718</v>
      </c>
      <c r="G888" s="151">
        <v>11</v>
      </c>
      <c r="H888" s="153" t="s">
        <v>4050</v>
      </c>
    </row>
    <row r="889" spans="1:8" ht="31.5" hidden="1">
      <c r="A889" s="149" t="s">
        <v>4228</v>
      </c>
      <c r="B889" s="150" t="s">
        <v>4229</v>
      </c>
      <c r="C889" s="149" t="s">
        <v>4230</v>
      </c>
      <c r="D889" s="149" t="s">
        <v>4231</v>
      </c>
      <c r="E889" s="151">
        <v>15</v>
      </c>
      <c r="F889" s="170" t="s">
        <v>253</v>
      </c>
      <c r="G889" s="151">
        <v>11</v>
      </c>
      <c r="H889" s="153" t="s">
        <v>4050</v>
      </c>
    </row>
    <row r="890" spans="1:8" ht="31.5" hidden="1">
      <c r="A890" s="149" t="s">
        <v>4232</v>
      </c>
      <c r="B890" s="150" t="s">
        <v>4233</v>
      </c>
      <c r="C890" s="149" t="s">
        <v>4234</v>
      </c>
      <c r="D890" s="149" t="s">
        <v>4235</v>
      </c>
      <c r="E890" s="151">
        <v>15</v>
      </c>
      <c r="F890" s="170" t="s">
        <v>253</v>
      </c>
      <c r="G890" s="151">
        <v>11</v>
      </c>
      <c r="H890" s="153" t="s">
        <v>4050</v>
      </c>
    </row>
    <row r="891" spans="1:8" ht="15.75" hidden="1">
      <c r="A891" s="149" t="s">
        <v>4236</v>
      </c>
      <c r="B891" s="150" t="s">
        <v>4237</v>
      </c>
      <c r="C891" s="149" t="s">
        <v>4237</v>
      </c>
      <c r="D891" s="149" t="s">
        <v>4238</v>
      </c>
      <c r="E891" s="151">
        <v>15</v>
      </c>
      <c r="F891" s="170" t="s">
        <v>253</v>
      </c>
      <c r="G891" s="151">
        <v>11</v>
      </c>
      <c r="H891" s="153" t="s">
        <v>4050</v>
      </c>
    </row>
    <row r="892" spans="1:8" ht="31.5" hidden="1">
      <c r="A892" s="149" t="s">
        <v>4239</v>
      </c>
      <c r="B892" s="150" t="s">
        <v>4240</v>
      </c>
      <c r="C892" s="149" t="s">
        <v>4241</v>
      </c>
      <c r="D892" s="149" t="s">
        <v>4242</v>
      </c>
      <c r="E892" s="151">
        <v>15</v>
      </c>
      <c r="F892" s="170" t="s">
        <v>253</v>
      </c>
      <c r="G892" s="151">
        <v>11</v>
      </c>
      <c r="H892" s="153" t="s">
        <v>4050</v>
      </c>
    </row>
    <row r="893" spans="1:8" ht="31.5" hidden="1">
      <c r="A893" s="149" t="s">
        <v>4243</v>
      </c>
      <c r="B893" s="150" t="s">
        <v>4244</v>
      </c>
      <c r="C893" s="149" t="s">
        <v>4244</v>
      </c>
      <c r="D893" s="149" t="s">
        <v>4245</v>
      </c>
      <c r="E893" s="151">
        <v>15</v>
      </c>
      <c r="F893" s="170" t="s">
        <v>253</v>
      </c>
      <c r="G893" s="151">
        <v>11</v>
      </c>
      <c r="H893" s="153" t="s">
        <v>4050</v>
      </c>
    </row>
    <row r="894" spans="1:8" ht="31.5" hidden="1">
      <c r="A894" s="149" t="s">
        <v>4246</v>
      </c>
      <c r="B894" s="150" t="s">
        <v>4247</v>
      </c>
      <c r="C894" s="149" t="s">
        <v>4248</v>
      </c>
      <c r="D894" s="149" t="s">
        <v>4249</v>
      </c>
      <c r="E894" s="151">
        <v>15</v>
      </c>
      <c r="F894" s="170" t="s">
        <v>253</v>
      </c>
      <c r="G894" s="151">
        <v>11</v>
      </c>
      <c r="H894" s="153" t="s">
        <v>4050</v>
      </c>
    </row>
    <row r="895" spans="1:8" ht="31.5" hidden="1">
      <c r="A895" s="149" t="s">
        <v>4250</v>
      </c>
      <c r="B895" s="150" t="s">
        <v>4251</v>
      </c>
      <c r="C895" s="149" t="s">
        <v>4252</v>
      </c>
      <c r="D895" s="149" t="s">
        <v>4253</v>
      </c>
      <c r="E895" s="151">
        <v>15</v>
      </c>
      <c r="F895" s="170" t="s">
        <v>253</v>
      </c>
      <c r="G895" s="151">
        <v>11</v>
      </c>
      <c r="H895" s="153" t="s">
        <v>4050</v>
      </c>
    </row>
    <row r="896" spans="1:8" ht="31.5" hidden="1">
      <c r="A896" s="149" t="s">
        <v>4254</v>
      </c>
      <c r="B896" s="150" t="s">
        <v>4255</v>
      </c>
      <c r="C896" s="149" t="s">
        <v>4256</v>
      </c>
      <c r="D896" s="149" t="s">
        <v>4257</v>
      </c>
      <c r="E896" s="151">
        <v>15</v>
      </c>
      <c r="F896" s="170" t="s">
        <v>253</v>
      </c>
      <c r="G896" s="151">
        <v>11</v>
      </c>
      <c r="H896" s="153" t="s">
        <v>4050</v>
      </c>
    </row>
    <row r="897" spans="1:8" ht="31.5" hidden="1">
      <c r="A897" s="149" t="s">
        <v>4258</v>
      </c>
      <c r="B897" s="150" t="s">
        <v>4259</v>
      </c>
      <c r="C897" s="149" t="s">
        <v>4259</v>
      </c>
      <c r="D897" s="149" t="s">
        <v>4260</v>
      </c>
      <c r="E897" s="151">
        <v>15</v>
      </c>
      <c r="F897" s="170" t="s">
        <v>253</v>
      </c>
      <c r="G897" s="151">
        <v>11</v>
      </c>
      <c r="H897" s="153" t="s">
        <v>4050</v>
      </c>
    </row>
    <row r="898" spans="1:8" ht="31.5" hidden="1">
      <c r="A898" s="149" t="s">
        <v>4261</v>
      </c>
      <c r="B898" s="150" t="s">
        <v>4262</v>
      </c>
      <c r="C898" s="149" t="s">
        <v>4262</v>
      </c>
      <c r="D898" s="149" t="s">
        <v>4263</v>
      </c>
      <c r="E898" s="151">
        <v>15</v>
      </c>
      <c r="F898" s="170" t="s">
        <v>253</v>
      </c>
      <c r="G898" s="151">
        <v>11</v>
      </c>
      <c r="H898" s="153" t="s">
        <v>4050</v>
      </c>
    </row>
    <row r="899" spans="1:8" ht="31.5" hidden="1">
      <c r="A899" s="149" t="s">
        <v>4264</v>
      </c>
      <c r="B899" s="150" t="s">
        <v>4265</v>
      </c>
      <c r="C899" s="149" t="s">
        <v>4266</v>
      </c>
      <c r="D899" s="149" t="s">
        <v>4267</v>
      </c>
      <c r="E899" s="151">
        <v>15</v>
      </c>
      <c r="F899" s="170" t="s">
        <v>253</v>
      </c>
      <c r="G899" s="151">
        <v>11</v>
      </c>
      <c r="H899" s="153" t="s">
        <v>4050</v>
      </c>
    </row>
    <row r="900" spans="1:8" ht="31.5" hidden="1">
      <c r="A900" s="149" t="s">
        <v>4268</v>
      </c>
      <c r="B900" s="150" t="s">
        <v>4269</v>
      </c>
      <c r="C900" s="149" t="s">
        <v>4269</v>
      </c>
      <c r="D900" s="149" t="s">
        <v>4270</v>
      </c>
      <c r="E900" s="151">
        <v>15</v>
      </c>
      <c r="F900" s="170" t="s">
        <v>253</v>
      </c>
      <c r="G900" s="151">
        <v>11</v>
      </c>
      <c r="H900" s="153" t="s">
        <v>4050</v>
      </c>
    </row>
    <row r="901" spans="1:8" ht="31.5" hidden="1">
      <c r="A901" s="149" t="s">
        <v>4271</v>
      </c>
      <c r="B901" s="150" t="s">
        <v>4272</v>
      </c>
      <c r="C901" s="149" t="s">
        <v>4273</v>
      </c>
      <c r="D901" s="149" t="s">
        <v>4274</v>
      </c>
      <c r="E901" s="151">
        <v>15</v>
      </c>
      <c r="F901" s="170" t="s">
        <v>253</v>
      </c>
      <c r="G901" s="151">
        <v>11</v>
      </c>
      <c r="H901" s="153" t="s">
        <v>4050</v>
      </c>
    </row>
    <row r="902" spans="1:8" ht="15.75" hidden="1">
      <c r="A902" s="149" t="s">
        <v>4275</v>
      </c>
      <c r="B902" s="150" t="s">
        <v>4276</v>
      </c>
      <c r="C902" s="149" t="s">
        <v>4277</v>
      </c>
      <c r="D902" s="149" t="s">
        <v>4278</v>
      </c>
      <c r="E902" s="151">
        <v>15</v>
      </c>
      <c r="F902" s="170" t="s">
        <v>253</v>
      </c>
      <c r="G902" s="151">
        <v>11</v>
      </c>
      <c r="H902" s="153" t="s">
        <v>4050</v>
      </c>
    </row>
    <row r="903" spans="1:8" ht="31.5" hidden="1">
      <c r="A903" s="149" t="s">
        <v>4279</v>
      </c>
      <c r="B903" s="150" t="s">
        <v>4280</v>
      </c>
      <c r="C903" s="149" t="s">
        <v>4281</v>
      </c>
      <c r="D903" s="149" t="s">
        <v>4282</v>
      </c>
      <c r="E903" s="151">
        <v>15</v>
      </c>
      <c r="F903" s="170" t="s">
        <v>253</v>
      </c>
      <c r="G903" s="151">
        <v>11</v>
      </c>
      <c r="H903" s="153" t="s">
        <v>4050</v>
      </c>
    </row>
    <row r="904" spans="1:8" ht="31.5" hidden="1">
      <c r="A904" s="149" t="s">
        <v>4283</v>
      </c>
      <c r="B904" s="150" t="s">
        <v>4284</v>
      </c>
      <c r="C904" s="149" t="s">
        <v>4285</v>
      </c>
      <c r="D904" s="149" t="s">
        <v>4286</v>
      </c>
      <c r="E904" s="151">
        <v>15</v>
      </c>
      <c r="F904" s="170" t="s">
        <v>253</v>
      </c>
      <c r="G904" s="151">
        <v>11</v>
      </c>
      <c r="H904" s="153" t="s">
        <v>4050</v>
      </c>
    </row>
    <row r="905" spans="1:8" ht="31.5" hidden="1">
      <c r="A905" s="149" t="s">
        <v>4287</v>
      </c>
      <c r="B905" s="150" t="s">
        <v>4288</v>
      </c>
      <c r="C905" s="149" t="s">
        <v>4289</v>
      </c>
      <c r="D905" s="149" t="s">
        <v>4290</v>
      </c>
      <c r="E905" s="151">
        <v>15</v>
      </c>
      <c r="F905" s="170" t="s">
        <v>253</v>
      </c>
      <c r="G905" s="151">
        <v>11</v>
      </c>
      <c r="H905" s="153" t="s">
        <v>4050</v>
      </c>
    </row>
    <row r="906" spans="1:8" ht="31.5" hidden="1">
      <c r="A906" s="149" t="s">
        <v>4291</v>
      </c>
      <c r="B906" s="150" t="s">
        <v>4292</v>
      </c>
      <c r="C906" s="149" t="s">
        <v>4293</v>
      </c>
      <c r="D906" s="149" t="s">
        <v>4294</v>
      </c>
      <c r="E906" s="151">
        <v>15</v>
      </c>
      <c r="F906" s="170" t="s">
        <v>253</v>
      </c>
      <c r="G906" s="151">
        <v>11</v>
      </c>
      <c r="H906" s="153" t="s">
        <v>4050</v>
      </c>
    </row>
    <row r="907" spans="1:8" ht="47.25" hidden="1">
      <c r="A907" s="149" t="s">
        <v>4295</v>
      </c>
      <c r="B907" s="150" t="s">
        <v>4296</v>
      </c>
      <c r="C907" s="149" t="s">
        <v>4296</v>
      </c>
      <c r="D907" s="149" t="s">
        <v>4297</v>
      </c>
      <c r="E907" s="151">
        <v>15</v>
      </c>
      <c r="F907" s="170" t="s">
        <v>253</v>
      </c>
      <c r="G907" s="151">
        <v>11</v>
      </c>
      <c r="H907" s="153" t="s">
        <v>4050</v>
      </c>
    </row>
    <row r="908" spans="1:8" ht="31.5" hidden="1">
      <c r="A908" s="149" t="s">
        <v>4298</v>
      </c>
      <c r="B908" s="150" t="s">
        <v>4299</v>
      </c>
      <c r="C908" s="149" t="s">
        <v>4299</v>
      </c>
      <c r="D908" s="149" t="s">
        <v>4300</v>
      </c>
      <c r="E908" s="151">
        <v>15</v>
      </c>
      <c r="F908" s="170" t="s">
        <v>253</v>
      </c>
      <c r="G908" s="151">
        <v>11</v>
      </c>
      <c r="H908" s="153" t="s">
        <v>4050</v>
      </c>
    </row>
    <row r="909" spans="1:8" ht="31.5" hidden="1">
      <c r="A909" s="149" t="s">
        <v>4301</v>
      </c>
      <c r="B909" s="150" t="s">
        <v>4302</v>
      </c>
      <c r="C909" s="149" t="s">
        <v>4302</v>
      </c>
      <c r="D909" s="149" t="s">
        <v>4303</v>
      </c>
      <c r="E909" s="151">
        <v>15</v>
      </c>
      <c r="F909" s="170" t="s">
        <v>253</v>
      </c>
      <c r="G909" s="151">
        <v>11</v>
      </c>
      <c r="H909" s="153" t="s">
        <v>4050</v>
      </c>
    </row>
    <row r="910" spans="1:8" ht="15.75" hidden="1">
      <c r="A910" s="149" t="s">
        <v>4304</v>
      </c>
      <c r="B910" s="150" t="s">
        <v>4305</v>
      </c>
      <c r="C910" s="149" t="s">
        <v>4306</v>
      </c>
      <c r="D910" s="149" t="s">
        <v>4307</v>
      </c>
      <c r="E910" s="151">
        <v>15</v>
      </c>
      <c r="F910" s="170" t="s">
        <v>253</v>
      </c>
      <c r="G910" s="151">
        <v>11</v>
      </c>
      <c r="H910" s="153" t="s">
        <v>4050</v>
      </c>
    </row>
    <row r="911" spans="1:8" ht="31.5">
      <c r="A911" s="154" t="s">
        <v>4308</v>
      </c>
      <c r="B911" s="155" t="s">
        <v>4309</v>
      </c>
      <c r="C911" s="154" t="s">
        <v>4310</v>
      </c>
      <c r="D911" s="154" t="s">
        <v>4311</v>
      </c>
      <c r="E911" s="156">
        <v>15</v>
      </c>
      <c r="F911" s="170" t="s">
        <v>253</v>
      </c>
      <c r="G911" s="156">
        <v>11</v>
      </c>
      <c r="H911" s="158" t="s">
        <v>4050</v>
      </c>
    </row>
  </sheetData>
  <autoFilter ref="A2:H911" xr:uid="{98E63BD4-6E60-4573-8658-D66CDE85792C}">
    <filterColumn colId="2">
      <filters>
        <filter val="Lý Thường Kiệt-3"/>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43910-8179-4BAE-96E4-7D85B178EDC5}">
  <dimension ref="A1:B17"/>
  <sheetViews>
    <sheetView topLeftCell="A2" workbookViewId="0">
      <selection activeCell="A2" sqref="A2"/>
    </sheetView>
  </sheetViews>
  <sheetFormatPr defaultRowHeight="14.25"/>
  <cols>
    <col min="1" max="1" width="47.375" bestFit="1" customWidth="1"/>
  </cols>
  <sheetData>
    <row r="1" spans="1:2" ht="18">
      <c r="A1" s="72"/>
    </row>
    <row r="2" spans="1:2">
      <c r="A2" t="s">
        <v>4312</v>
      </c>
    </row>
    <row r="3" spans="1:2">
      <c r="A3" t="s">
        <v>4313</v>
      </c>
    </row>
    <row r="4" spans="1:2">
      <c r="A4" t="s">
        <v>4314</v>
      </c>
    </row>
    <row r="5" spans="1:2">
      <c r="A5" t="s">
        <v>4315</v>
      </c>
    </row>
    <row r="6" spans="1:2">
      <c r="A6" t="s">
        <v>4316</v>
      </c>
    </row>
    <row r="7" spans="1:2">
      <c r="A7" t="s">
        <v>4317</v>
      </c>
    </row>
    <row r="8" spans="1:2">
      <c r="A8" t="s">
        <v>4318</v>
      </c>
    </row>
    <row r="9" spans="1:2">
      <c r="A9" t="s">
        <v>4319</v>
      </c>
    </row>
    <row r="10" spans="1:2">
      <c r="A10" t="s">
        <v>4320</v>
      </c>
    </row>
    <row r="11" spans="1:2">
      <c r="A11" t="s">
        <v>4321</v>
      </c>
    </row>
    <row r="12" spans="1:2">
      <c r="A12" t="s">
        <v>4322</v>
      </c>
    </row>
    <row r="13" spans="1:2">
      <c r="A13" t="s">
        <v>4323</v>
      </c>
    </row>
    <row r="14" spans="1:2">
      <c r="A14" t="s">
        <v>4324</v>
      </c>
    </row>
    <row r="15" spans="1:2">
      <c r="A15" t="s">
        <v>4325</v>
      </c>
    </row>
    <row r="16" spans="1:2">
      <c r="A16" t="s">
        <v>4326</v>
      </c>
      <c r="B16" s="1" t="s">
        <v>4327</v>
      </c>
    </row>
    <row r="17" spans="1:1">
      <c r="A17" t="s">
        <v>4328</v>
      </c>
    </row>
  </sheetData>
  <hyperlinks>
    <hyperlink ref="B16" r:id="rId1" display="../../../../:x:/g/personal/gdcsbac_cscctphcm_onmicrosoft_com/ESWz5w8jofJMk-MkhrHp05cBNOnquq931qVSyRZxJGCuTw?e=rhJMiq&amp;nav=MTVfezREMEUxNjUxLTJGQ0YtNEY3Qy1BQ0JFLTEyQ0JGNDM2NTUyRn0" xr:uid="{85431BD8-FC9A-4287-84CA-CB69CADF2E6F}"/>
  </hyperlinks>
  <pageMargins left="0.7" right="0.7" top="0.75" bottom="0.75" header="0.3" footer="0.3"/>
  <pageSetup paperSize="9" orientation="portrait" horizontalDpi="0" verticalDpi="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5517-4192-40AE-B903-7CCD926BC04F}">
  <sheetPr codeName="Sheet2">
    <tabColor rgb="FF002060"/>
    <pageSetUpPr fitToPage="1"/>
  </sheetPr>
  <dimension ref="A1:V450"/>
  <sheetViews>
    <sheetView workbookViewId="0">
      <pane xSplit="3" ySplit="1" topLeftCell="M305" activePane="bottomRight" state="frozen"/>
      <selection pane="bottomRight" activeCell="O441" sqref="O441"/>
      <selection pane="bottomLeft" activeCell="P338" sqref="P338"/>
      <selection pane="topRight" activeCell="P338" sqref="P338"/>
    </sheetView>
  </sheetViews>
  <sheetFormatPr defaultColWidth="8.75" defaultRowHeight="15.75"/>
  <cols>
    <col min="1" max="1" width="6.375" style="13" bestFit="1" customWidth="1"/>
    <col min="2" max="2" width="20.5" style="13" customWidth="1"/>
    <col min="3" max="3" width="17.875" style="54" customWidth="1"/>
    <col min="4" max="4" width="11.25" style="13" bestFit="1" customWidth="1"/>
    <col min="5" max="5" width="10.125" style="13" customWidth="1"/>
    <col min="6" max="6" width="28.625" style="13" customWidth="1"/>
    <col min="7" max="7" width="8.375" style="13" customWidth="1"/>
    <col min="8" max="9" width="16.25" style="13" customWidth="1"/>
    <col min="10" max="10" width="18.25" style="13" customWidth="1"/>
    <col min="11" max="11" width="27.75" style="13" customWidth="1"/>
    <col min="12" max="12" width="7.75" style="13" customWidth="1"/>
    <col min="13" max="13" width="16.25" style="54" customWidth="1"/>
    <col min="14" max="14" width="9.25" style="13" customWidth="1"/>
    <col min="15" max="15" width="7.25" style="13" customWidth="1"/>
    <col min="16" max="16" width="20.25" style="13" customWidth="1"/>
    <col min="17" max="17" width="27.75" style="13" customWidth="1"/>
    <col min="18" max="18" width="13.375" style="13" customWidth="1"/>
    <col min="19" max="19" width="20.25" style="13" customWidth="1"/>
    <col min="20" max="20" width="35.375" style="54" customWidth="1"/>
    <col min="21" max="21" width="16.875" style="13" customWidth="1"/>
    <col min="22" max="22" width="20.625" style="13" bestFit="1" customWidth="1"/>
    <col min="23" max="16384" width="8.75" style="13"/>
  </cols>
  <sheetData>
    <row r="1" spans="1:22">
      <c r="A1" s="10" t="s">
        <v>0</v>
      </c>
      <c r="B1" s="10" t="s">
        <v>1</v>
      </c>
      <c r="C1" s="14" t="s">
        <v>2</v>
      </c>
      <c r="D1" s="10" t="s">
        <v>3</v>
      </c>
      <c r="E1" s="10" t="s">
        <v>4</v>
      </c>
      <c r="F1" s="10" t="s">
        <v>5</v>
      </c>
      <c r="G1" s="10" t="s">
        <v>6</v>
      </c>
      <c r="H1" s="10" t="s">
        <v>4329</v>
      </c>
      <c r="I1" s="10" t="s">
        <v>4330</v>
      </c>
      <c r="J1" s="10" t="s">
        <v>7</v>
      </c>
      <c r="K1" s="10" t="s">
        <v>8</v>
      </c>
      <c r="L1" s="10" t="s">
        <v>4331</v>
      </c>
      <c r="M1" s="14" t="s">
        <v>9</v>
      </c>
      <c r="N1" s="10" t="s">
        <v>11</v>
      </c>
      <c r="O1" s="10" t="s">
        <v>10</v>
      </c>
      <c r="P1" s="10" t="s">
        <v>13</v>
      </c>
      <c r="Q1" s="10" t="s">
        <v>14</v>
      </c>
      <c r="R1" s="12" t="s">
        <v>189</v>
      </c>
      <c r="S1" s="12" t="s">
        <v>4332</v>
      </c>
      <c r="T1" s="52" t="s">
        <v>4333</v>
      </c>
      <c r="U1" s="12" t="s">
        <v>4334</v>
      </c>
      <c r="V1" s="12" t="s">
        <v>4335</v>
      </c>
    </row>
    <row r="2" spans="1:22" hidden="1">
      <c r="A2" s="10">
        <v>1</v>
      </c>
      <c r="B2" s="14">
        <v>451</v>
      </c>
      <c r="C2" s="14" t="s">
        <v>4336</v>
      </c>
      <c r="D2" s="10">
        <v>3</v>
      </c>
      <c r="E2" s="10">
        <v>8</v>
      </c>
      <c r="F2" s="10" t="s">
        <v>4337</v>
      </c>
      <c r="G2" s="15" t="s">
        <v>4338</v>
      </c>
      <c r="H2" s="10"/>
      <c r="I2" s="10"/>
      <c r="J2" s="10" t="s">
        <v>4339</v>
      </c>
      <c r="K2" s="10" t="s">
        <v>4340</v>
      </c>
      <c r="L2" s="10">
        <v>5</v>
      </c>
      <c r="M2" s="30">
        <v>45498.251608796294</v>
      </c>
      <c r="N2" s="10"/>
      <c r="O2" s="10"/>
      <c r="P2" s="10" t="s">
        <v>4341</v>
      </c>
      <c r="Q2" s="1" t="s">
        <v>4342</v>
      </c>
      <c r="R2" s="10"/>
      <c r="S2" s="20" t="str">
        <f>HYPERLINK("https://www.google.com/maps/search/" &amp; Table24[[#This Row],[Tên hẻm]], "Xem trên Google Maps")</f>
        <v>Xem trên Google Maps</v>
      </c>
      <c r="T2" s="37" t="str">
        <f>"Hẻm "&amp;Table24[[#This Row],[Hẻm]]&amp;" "&amp;Table24[[#This Row],[Tuyến đường]]&amp;", Phường "&amp;Table24[[#This Row],[Phường]]&amp;", Quận "&amp;Table24[[#This Row],[Quận]]</f>
        <v>Hẻm 451 Hai Bà Trưng , Phường 8, Quận 3</v>
      </c>
      <c r="U2" s="20"/>
      <c r="V2" s="56" t="e">
        <f>HYPERLINK("https://www.google.com/maps/search/?api=1&amp;query=" &amp; _xlfn.ENCODEURL(Table24[[#This Row],[Tên hẻm]]), "Link Google Map")</f>
        <v>#VALUE!</v>
      </c>
    </row>
    <row r="3" spans="1:22" hidden="1">
      <c r="A3" s="11">
        <v>12</v>
      </c>
      <c r="B3" s="16">
        <v>475</v>
      </c>
      <c r="C3" s="16" t="s">
        <v>4336</v>
      </c>
      <c r="D3" s="11">
        <v>3</v>
      </c>
      <c r="E3" s="11">
        <v>8</v>
      </c>
      <c r="F3" s="11" t="s">
        <v>4337</v>
      </c>
      <c r="G3" s="17" t="s">
        <v>4343</v>
      </c>
      <c r="H3" s="11"/>
      <c r="I3" s="11"/>
      <c r="J3" s="11" t="s">
        <v>4344</v>
      </c>
      <c r="K3" s="11" t="s">
        <v>4345</v>
      </c>
      <c r="L3" s="11">
        <v>5</v>
      </c>
      <c r="M3" s="31">
        <v>45498.49722222222</v>
      </c>
      <c r="N3" s="11"/>
      <c r="O3" s="11"/>
      <c r="P3" s="11" t="s">
        <v>4341</v>
      </c>
      <c r="Q3" s="1" t="s">
        <v>4342</v>
      </c>
      <c r="R3" s="11"/>
      <c r="S3" s="21" t="str">
        <f>HYPERLINK("https://www.google.com/maps/search/" &amp; Table24[[#This Row],[Tên hẻm]], "Xem trên Google Maps")</f>
        <v>Xem trên Google Maps</v>
      </c>
      <c r="T3" s="14" t="str">
        <f>"Hẻm "&amp;Table24[[#This Row],[Hẻm]]&amp;" "&amp;Table24[[#This Row],[Tuyến đường]]&amp;", Phường "&amp;Table24[[#This Row],[Phường]]&amp;", Quận "&amp;Table24[[#This Row],[Quận]]</f>
        <v>Hẻm 475 Hai Bà Trưng , Phường 8, Quận 3</v>
      </c>
      <c r="U3" s="21"/>
      <c r="V3" s="56" t="e">
        <f>HYPERLINK("https://www.google.com/maps/search/?api=1&amp;query=" &amp; _xlfn.ENCODEURL(Table24[[#This Row],[Tên hẻm]]), "Link Google Map")</f>
        <v>#VALUE!</v>
      </c>
    </row>
    <row r="4" spans="1:22" ht="31.5" hidden="1">
      <c r="A4" s="11">
        <v>13</v>
      </c>
      <c r="B4" s="16">
        <v>235</v>
      </c>
      <c r="C4" s="16" t="s">
        <v>4346</v>
      </c>
      <c r="D4" s="11">
        <v>3</v>
      </c>
      <c r="E4" s="11" t="s">
        <v>4347</v>
      </c>
      <c r="F4" s="11" t="s">
        <v>4348</v>
      </c>
      <c r="G4" s="17" t="s">
        <v>4349</v>
      </c>
      <c r="H4" s="11"/>
      <c r="I4" s="11"/>
      <c r="J4" s="11" t="s">
        <v>4350</v>
      </c>
      <c r="K4" s="11" t="s">
        <v>4351</v>
      </c>
      <c r="L4" s="11">
        <v>9</v>
      </c>
      <c r="M4" s="31">
        <v>45498.502569444441</v>
      </c>
      <c r="N4" s="11"/>
      <c r="O4" s="11"/>
      <c r="P4" s="11" t="s">
        <v>4341</v>
      </c>
      <c r="Q4" s="1" t="s">
        <v>4352</v>
      </c>
      <c r="R4" s="11"/>
      <c r="S4" s="21" t="str">
        <f>HYPERLINK("https://www.google.com/maps/search/" &amp; Table24[[#This Row],[Tên hẻm]], "Xem trên Google Maps")</f>
        <v>Xem trên Google Maps</v>
      </c>
      <c r="T4" s="14" t="str">
        <f>"Hẻm "&amp;Table24[[#This Row],[Hẻm]]&amp;" "&amp;Table24[[#This Row],[Tuyến đường]]&amp;", Phường "&amp;Table24[[#This Row],[Phường]]&amp;", Quận "&amp;Table24[[#This Row],[Quận]]</f>
        <v>Hẻm 235 Nam Kỳ Khởi Nghĩa , Phường Võ Thị Sáu , Quận 3</v>
      </c>
      <c r="U4" s="21"/>
      <c r="V4" s="56" t="e">
        <f>HYPERLINK("https://www.google.com/maps/search/?api=1&amp;query=" &amp; _xlfn.ENCODEURL(Table24[[#This Row],[Tên hẻm]]), "Link Google Map")</f>
        <v>#VALUE!</v>
      </c>
    </row>
    <row r="5" spans="1:22" ht="31.5" hidden="1">
      <c r="A5" s="11">
        <v>14</v>
      </c>
      <c r="B5" s="16">
        <v>134</v>
      </c>
      <c r="C5" s="16" t="s">
        <v>4353</v>
      </c>
      <c r="D5" s="11">
        <v>3</v>
      </c>
      <c r="E5" s="11" t="s">
        <v>4347</v>
      </c>
      <c r="F5" s="11" t="s">
        <v>4348</v>
      </c>
      <c r="G5" s="17" t="s">
        <v>4349</v>
      </c>
      <c r="H5" s="11"/>
      <c r="I5" s="11"/>
      <c r="J5" s="11" t="s">
        <v>4350</v>
      </c>
      <c r="K5" s="11" t="s">
        <v>4354</v>
      </c>
      <c r="L5" s="11">
        <v>2</v>
      </c>
      <c r="M5" s="31">
        <v>45498.50440972222</v>
      </c>
      <c r="N5" s="11"/>
      <c r="O5" s="11"/>
      <c r="P5" s="11" t="s">
        <v>4341</v>
      </c>
      <c r="Q5" s="1" t="s">
        <v>4352</v>
      </c>
      <c r="R5" s="11"/>
      <c r="S5" s="21" t="str">
        <f>HYPERLINK("https://www.google.com/maps/search/" &amp; Table24[[#This Row],[Tên hẻm]], "Xem trên Google Maps")</f>
        <v>Xem trên Google Maps</v>
      </c>
      <c r="T5" s="14" t="str">
        <f>"Hẻm "&amp;Table24[[#This Row],[Hẻm]]&amp;" "&amp;Table24[[#This Row],[Tuyến đường]]&amp;", Phường "&amp;Table24[[#This Row],[Phường]]&amp;", Quận "&amp;Table24[[#This Row],[Quận]]</f>
        <v>Hẻm 134 Lý Chính Thắng , Phường Võ Thị Sáu , Quận 3</v>
      </c>
      <c r="U5" s="21"/>
      <c r="V5" s="56" t="e">
        <f>HYPERLINK("https://www.google.com/maps/search/?api=1&amp;query=" &amp; _xlfn.ENCODEURL(Table24[[#This Row],[Tên hẻm]]), "Link Google Map")</f>
        <v>#VALUE!</v>
      </c>
    </row>
    <row r="6" spans="1:22" ht="31.5" hidden="1">
      <c r="A6" s="11">
        <v>15</v>
      </c>
      <c r="B6" s="16">
        <v>384</v>
      </c>
      <c r="C6" s="16" t="s">
        <v>4346</v>
      </c>
      <c r="D6" s="11">
        <v>3</v>
      </c>
      <c r="E6" s="11">
        <v>8</v>
      </c>
      <c r="F6" s="11" t="s">
        <v>4355</v>
      </c>
      <c r="G6" s="17">
        <v>3</v>
      </c>
      <c r="H6" s="11"/>
      <c r="I6" s="11"/>
      <c r="J6" s="11" t="s">
        <v>4356</v>
      </c>
      <c r="K6" s="11" t="s">
        <v>4357</v>
      </c>
      <c r="L6" s="11">
        <v>8</v>
      </c>
      <c r="M6" s="31">
        <v>45498.508263888885</v>
      </c>
      <c r="N6" s="11"/>
      <c r="O6" s="11"/>
      <c r="P6" s="11" t="s">
        <v>4341</v>
      </c>
      <c r="Q6" s="1" t="s">
        <v>4358</v>
      </c>
      <c r="R6" s="11"/>
      <c r="S6" s="21" t="str">
        <f>HYPERLINK("https://www.google.com/maps/search/" &amp; Table24[[#This Row],[Tên hẻm]], "Xem trên Google Maps")</f>
        <v>Xem trên Google Maps</v>
      </c>
      <c r="T6" s="14" t="str">
        <f>"Hẻm "&amp;Table24[[#This Row],[Hẻm]]&amp;" "&amp;Table24[[#This Row],[Tuyến đường]]&amp;", Phường "&amp;Table24[[#This Row],[Phường]]&amp;", Quận "&amp;Table24[[#This Row],[Quận]]</f>
        <v>Hẻm 384 Nam Kỳ Khởi Nghĩa , Phường 8, Quận 3</v>
      </c>
      <c r="U6" s="21"/>
      <c r="V6" s="56" t="e">
        <f>HYPERLINK("https://www.google.com/maps/search/?api=1&amp;query=" &amp; _xlfn.ENCODEURL(Table24[[#This Row],[Tên hẻm]]), "Link Google Map")</f>
        <v>#VALUE!</v>
      </c>
    </row>
    <row r="7" spans="1:22" ht="31.5" hidden="1">
      <c r="A7" s="11">
        <v>16</v>
      </c>
      <c r="B7" s="16">
        <v>290</v>
      </c>
      <c r="C7" s="16" t="s">
        <v>4346</v>
      </c>
      <c r="D7" s="11">
        <v>3</v>
      </c>
      <c r="E7" s="11">
        <v>8</v>
      </c>
      <c r="F7" s="11" t="s">
        <v>4355</v>
      </c>
      <c r="G7" s="17">
        <v>4</v>
      </c>
      <c r="H7" s="11"/>
      <c r="I7" s="11"/>
      <c r="J7" s="11" t="s">
        <v>4359</v>
      </c>
      <c r="K7" s="11" t="s">
        <v>4360</v>
      </c>
      <c r="L7" s="11">
        <v>7</v>
      </c>
      <c r="M7" s="31">
        <v>45498.510729166665</v>
      </c>
      <c r="N7" s="11"/>
      <c r="O7" s="11"/>
      <c r="P7" s="11" t="s">
        <v>4341</v>
      </c>
      <c r="Q7" s="1" t="s">
        <v>4358</v>
      </c>
      <c r="R7" s="11"/>
      <c r="S7" s="21" t="str">
        <f>HYPERLINK("https://www.google.com/maps/search/" &amp; Table24[[#This Row],[Tên hẻm]], "Xem trên Google Maps")</f>
        <v>Xem trên Google Maps</v>
      </c>
      <c r="T7" s="14" t="str">
        <f>"Hẻm "&amp;Table24[[#This Row],[Hẻm]]&amp;" "&amp;Table24[[#This Row],[Tuyến đường]]&amp;", Phường "&amp;Table24[[#This Row],[Phường]]&amp;", Quận "&amp;Table24[[#This Row],[Quận]]</f>
        <v>Hẻm 290 Nam Kỳ Khởi Nghĩa , Phường 8, Quận 3</v>
      </c>
      <c r="U7" s="21"/>
      <c r="V7" s="56" t="e">
        <f>HYPERLINK("https://www.google.com/maps/search/?api=1&amp;query=" &amp; _xlfn.ENCODEURL(Table24[[#This Row],[Tên hẻm]]), "Link Google Map")</f>
        <v>#VALUE!</v>
      </c>
    </row>
    <row r="8" spans="1:22" hidden="1">
      <c r="A8" s="11">
        <v>17</v>
      </c>
      <c r="B8" s="16">
        <v>22</v>
      </c>
      <c r="C8" s="16" t="s">
        <v>4361</v>
      </c>
      <c r="D8" s="11">
        <v>3</v>
      </c>
      <c r="E8" s="11">
        <v>4</v>
      </c>
      <c r="F8" s="11" t="s">
        <v>4362</v>
      </c>
      <c r="G8" s="17" t="s">
        <v>4363</v>
      </c>
      <c r="H8" s="11"/>
      <c r="I8" s="11"/>
      <c r="J8" s="11" t="s">
        <v>4364</v>
      </c>
      <c r="K8" s="11" t="s">
        <v>4365</v>
      </c>
      <c r="L8" s="11">
        <v>3</v>
      </c>
      <c r="M8" s="31">
        <v>45499.32104166667</v>
      </c>
      <c r="N8" s="11"/>
      <c r="O8" s="11"/>
      <c r="P8" s="11" t="s">
        <v>4341</v>
      </c>
      <c r="Q8" s="1" t="s">
        <v>4366</v>
      </c>
      <c r="R8" s="11"/>
      <c r="S8" s="21" t="str">
        <f>HYPERLINK("https://www.google.com/maps/search/" &amp; Table24[[#This Row],[Tên hẻm]], "Xem trên Google Maps")</f>
        <v>Xem trên Google Maps</v>
      </c>
      <c r="T8" s="14" t="str">
        <f>"Hẻm "&amp;Table24[[#This Row],[Hẻm]]&amp;" "&amp;Table24[[#This Row],[Tuyến đường]]&amp;", Phường "&amp;Table24[[#This Row],[Phường]]&amp;", Quận "&amp;Table24[[#This Row],[Quận]]</f>
        <v>Hẻm 22 Nguyễn Hiền , Phường 4, Quận 3</v>
      </c>
      <c r="U8" s="21"/>
      <c r="V8" s="56" t="e">
        <f>HYPERLINK("https://www.google.com/maps/search/?api=1&amp;query=" &amp; _xlfn.ENCODEURL(Table24[[#This Row],[Tên hẻm]]), "Link Google Map")</f>
        <v>#VALUE!</v>
      </c>
    </row>
    <row r="9" spans="1:22" hidden="1">
      <c r="A9" s="11">
        <v>18</v>
      </c>
      <c r="B9" s="16">
        <v>36</v>
      </c>
      <c r="C9" s="16" t="s">
        <v>4361</v>
      </c>
      <c r="D9" s="11">
        <v>3</v>
      </c>
      <c r="E9" s="11">
        <v>4</v>
      </c>
      <c r="F9" s="11" t="s">
        <v>4362</v>
      </c>
      <c r="G9" s="17" t="s">
        <v>4367</v>
      </c>
      <c r="H9" s="11"/>
      <c r="I9" s="11"/>
      <c r="J9" s="11" t="s">
        <v>4368</v>
      </c>
      <c r="K9" s="11" t="s">
        <v>4369</v>
      </c>
      <c r="L9" s="11">
        <v>5</v>
      </c>
      <c r="M9" s="31">
        <v>45499.323460648149</v>
      </c>
      <c r="N9" s="11"/>
      <c r="O9" s="11"/>
      <c r="P9" s="11" t="s">
        <v>4341</v>
      </c>
      <c r="Q9" s="11"/>
      <c r="R9" s="11"/>
      <c r="S9" s="21" t="str">
        <f>HYPERLINK("https://www.google.com/maps/search/" &amp; Table24[[#This Row],[Tên hẻm]], "Xem trên Google Maps")</f>
        <v>Xem trên Google Maps</v>
      </c>
      <c r="T9" s="14" t="str">
        <f>"Hẻm "&amp;Table24[[#This Row],[Hẻm]]&amp;" "&amp;Table24[[#This Row],[Tuyến đường]]&amp;", Phường "&amp;Table24[[#This Row],[Phường]]&amp;", Quận "&amp;Table24[[#This Row],[Quận]]</f>
        <v>Hẻm 36 Nguyễn Hiền , Phường 4, Quận 3</v>
      </c>
      <c r="U9" s="21"/>
      <c r="V9" s="56" t="e">
        <f>HYPERLINK("https://www.google.com/maps/search/?api=1&amp;query=" &amp; _xlfn.ENCODEURL(Table24[[#This Row],[Tên hẻm]]), "Link Google Map")</f>
        <v>#VALUE!</v>
      </c>
    </row>
    <row r="10" spans="1:22" ht="31.5" hidden="1">
      <c r="A10" s="11">
        <v>19</v>
      </c>
      <c r="B10" s="16">
        <v>26</v>
      </c>
      <c r="C10" s="16" t="s">
        <v>4362</v>
      </c>
      <c r="D10" s="11">
        <v>3</v>
      </c>
      <c r="E10" s="11">
        <v>4</v>
      </c>
      <c r="F10" s="11" t="s">
        <v>4370</v>
      </c>
      <c r="G10" s="17" t="s">
        <v>4371</v>
      </c>
      <c r="H10" s="11"/>
      <c r="I10" s="11"/>
      <c r="J10" s="11" t="s">
        <v>4372</v>
      </c>
      <c r="K10" s="11" t="s">
        <v>4373</v>
      </c>
      <c r="L10" s="11">
        <v>3</v>
      </c>
      <c r="M10" s="31">
        <v>45499.32640046296</v>
      </c>
      <c r="N10" s="11"/>
      <c r="O10" s="11"/>
      <c r="P10" s="11" t="s">
        <v>4341</v>
      </c>
      <c r="Q10" s="1" t="s">
        <v>4374</v>
      </c>
      <c r="R10" s="11"/>
      <c r="S10" s="21" t="str">
        <f>HYPERLINK("https://www.google.com/maps/search/" &amp; Table24[[#This Row],[Tên hẻm]], "Xem trên Google Maps")</f>
        <v>Xem trên Google Maps</v>
      </c>
      <c r="T10" s="14" t="str">
        <f>"Hẻm "&amp;Table24[[#This Row],[Hẻm]]&amp;" "&amp;Table24[[#This Row],[Tuyến đường]]&amp;", Phường "&amp;Table24[[#This Row],[Phường]]&amp;", Quận "&amp;Table24[[#This Row],[Quận]]</f>
        <v>Hẻm 26 Đường số 3-cư xá Đô Thành , Phường 4, Quận 3</v>
      </c>
      <c r="U10" s="21"/>
      <c r="V10" s="56" t="e">
        <f>HYPERLINK("https://www.google.com/maps/search/?api=1&amp;query=" &amp; _xlfn.ENCODEURL(Table24[[#This Row],[Tên hẻm]]), "Link Google Map")</f>
        <v>#VALUE!</v>
      </c>
    </row>
    <row r="11" spans="1:22" hidden="1">
      <c r="A11" s="11">
        <v>20</v>
      </c>
      <c r="B11" s="16">
        <v>128</v>
      </c>
      <c r="C11" s="16" t="s">
        <v>4375</v>
      </c>
      <c r="D11" s="11">
        <v>3</v>
      </c>
      <c r="E11" s="11">
        <v>3</v>
      </c>
      <c r="F11" s="11" t="s">
        <v>4376</v>
      </c>
      <c r="G11" s="17" t="s">
        <v>4363</v>
      </c>
      <c r="H11" s="11"/>
      <c r="I11" s="11"/>
      <c r="J11" s="11" t="s">
        <v>4377</v>
      </c>
      <c r="K11" s="11" t="s">
        <v>4378</v>
      </c>
      <c r="L11" s="11">
        <v>3</v>
      </c>
      <c r="M11" s="31">
        <v>45499.328414351854</v>
      </c>
      <c r="N11" s="11"/>
      <c r="O11" s="11"/>
      <c r="P11" s="11" t="s">
        <v>4341</v>
      </c>
      <c r="Q11" s="1" t="s">
        <v>4379</v>
      </c>
      <c r="R11" s="11"/>
      <c r="S11" s="21" t="str">
        <f>HYPERLINK("https://www.google.com/maps/search/" &amp; Table24[[#This Row],[Tên hẻm]], "Xem trên Google Maps")</f>
        <v>Xem trên Google Maps</v>
      </c>
      <c r="T11" s="14" t="str">
        <f>"Hẻm "&amp;Table24[[#This Row],[Hẻm]]&amp;" "&amp;Table24[[#This Row],[Tuyến đường]]&amp;", Phường "&amp;Table24[[#This Row],[Phường]]&amp;", Quận "&amp;Table24[[#This Row],[Quận]]</f>
        <v>Hẻm 128 Bàn Cờ , Phường 3, Quận 3</v>
      </c>
      <c r="U11" s="21"/>
      <c r="V11" s="56" t="e">
        <f>HYPERLINK("https://www.google.com/maps/search/?api=1&amp;query=" &amp; _xlfn.ENCODEURL(Table24[[#This Row],[Tên hẻm]]), "Link Google Map")</f>
        <v>#VALUE!</v>
      </c>
    </row>
    <row r="12" spans="1:22" hidden="1">
      <c r="A12" s="11">
        <v>21</v>
      </c>
      <c r="B12" s="16">
        <v>264</v>
      </c>
      <c r="C12" s="16" t="s">
        <v>4380</v>
      </c>
      <c r="D12" s="11">
        <v>3</v>
      </c>
      <c r="E12" s="11">
        <v>14</v>
      </c>
      <c r="F12" s="11" t="s">
        <v>4381</v>
      </c>
      <c r="G12" s="17">
        <v>6</v>
      </c>
      <c r="H12" s="11"/>
      <c r="I12" s="11"/>
      <c r="J12" s="11" t="s">
        <v>4382</v>
      </c>
      <c r="K12" s="11" t="s">
        <v>4383</v>
      </c>
      <c r="L12" s="11">
        <v>5</v>
      </c>
      <c r="M12" s="31">
        <v>45499.350428240738</v>
      </c>
      <c r="N12" s="11"/>
      <c r="O12" s="11"/>
      <c r="P12" s="11" t="s">
        <v>4341</v>
      </c>
      <c r="Q12" s="1" t="s">
        <v>4384</v>
      </c>
      <c r="R12" s="11"/>
      <c r="S12" s="21" t="str">
        <f>HYPERLINK("https://www.google.com/maps/search/" &amp; Table24[[#This Row],[Tên hẻm]], "Xem trên Google Maps")</f>
        <v>Xem trên Google Maps</v>
      </c>
      <c r="T12" s="14" t="str">
        <f>"Hẻm "&amp;Table24[[#This Row],[Hẻm]]&amp;" "&amp;Table24[[#This Row],[Tuyến đường]]&amp;", Phường "&amp;Table24[[#This Row],[Phường]]&amp;", Quận "&amp;Table24[[#This Row],[Quận]]</f>
        <v>Hẻm 264 Lê Văn Sỹ , Phường 14, Quận 3</v>
      </c>
      <c r="U12" s="21"/>
      <c r="V12" s="56" t="e">
        <f>HYPERLINK("https://www.google.com/maps/search/?api=1&amp;query=" &amp; _xlfn.ENCODEURL(Table24[[#This Row],[Tên hẻm]]), "Link Google Map")</f>
        <v>#VALUE!</v>
      </c>
    </row>
    <row r="13" spans="1:22" hidden="1">
      <c r="A13" s="11">
        <v>22</v>
      </c>
      <c r="B13" s="16">
        <v>443</v>
      </c>
      <c r="C13" s="16" t="s">
        <v>4380</v>
      </c>
      <c r="D13" s="11">
        <v>3</v>
      </c>
      <c r="E13" s="11">
        <v>12</v>
      </c>
      <c r="F13" s="11" t="s">
        <v>4385</v>
      </c>
      <c r="G13" s="17">
        <v>3</v>
      </c>
      <c r="H13" s="11"/>
      <c r="I13" s="11"/>
      <c r="J13" s="11" t="s">
        <v>4386</v>
      </c>
      <c r="K13" s="11" t="s">
        <v>4387</v>
      </c>
      <c r="L13" s="11">
        <v>4</v>
      </c>
      <c r="M13" s="31">
        <v>45499.410196759258</v>
      </c>
      <c r="N13" s="11"/>
      <c r="O13" s="11"/>
      <c r="P13" s="11" t="s">
        <v>4341</v>
      </c>
      <c r="Q13" s="1" t="s">
        <v>4388</v>
      </c>
      <c r="R13" s="11"/>
      <c r="S13" s="21" t="str">
        <f>HYPERLINK("https://www.google.com/maps/search/" &amp; Table24[[#This Row],[Tên hẻm]], "Xem trên Google Maps")</f>
        <v>Xem trên Google Maps</v>
      </c>
      <c r="T13" s="14" t="str">
        <f>"Hẻm "&amp;Table24[[#This Row],[Hẻm]]&amp;" "&amp;Table24[[#This Row],[Tuyến đường]]&amp;", Phường "&amp;Table24[[#This Row],[Phường]]&amp;", Quận "&amp;Table24[[#This Row],[Quận]]</f>
        <v>Hẻm 443 Lê Văn Sỹ , Phường 12, Quận 3</v>
      </c>
      <c r="U13" s="21"/>
      <c r="V13" s="56" t="e">
        <f>HYPERLINK("https://www.google.com/maps/search/?api=1&amp;query=" &amp; _xlfn.ENCODEURL(Table24[[#This Row],[Tên hẻm]]), "Link Google Map")</f>
        <v>#VALUE!</v>
      </c>
    </row>
    <row r="14" spans="1:22" hidden="1">
      <c r="A14" s="11">
        <v>24</v>
      </c>
      <c r="B14" s="16">
        <v>972</v>
      </c>
      <c r="C14" s="16" t="s">
        <v>4389</v>
      </c>
      <c r="D14" s="11">
        <v>3</v>
      </c>
      <c r="E14" s="11">
        <v>12</v>
      </c>
      <c r="F14" s="11" t="s">
        <v>4390</v>
      </c>
      <c r="G14" s="17">
        <v>5</v>
      </c>
      <c r="H14" s="11"/>
      <c r="I14" s="11"/>
      <c r="J14" s="11" t="s">
        <v>4391</v>
      </c>
      <c r="K14" s="11" t="s">
        <v>4392</v>
      </c>
      <c r="L14" s="11">
        <v>4</v>
      </c>
      <c r="M14" s="31">
        <v>45499.412245370368</v>
      </c>
      <c r="N14" s="11"/>
      <c r="O14" s="11"/>
      <c r="P14" s="11" t="s">
        <v>4341</v>
      </c>
      <c r="Q14" s="1" t="s">
        <v>4388</v>
      </c>
      <c r="R14" s="11"/>
      <c r="S14" s="21" t="str">
        <f>HYPERLINK("https://www.google.com/maps/search/" &amp; Table24[[#This Row],[Tên hẻm]], "Xem trên Google Maps")</f>
        <v>Xem trên Google Maps</v>
      </c>
      <c r="T14" s="14" t="str">
        <f>"Hẻm "&amp;Table24[[#This Row],[Hẻm]]&amp;" "&amp;Table24[[#This Row],[Tuyến đường]]&amp;", Phường "&amp;Table24[[#This Row],[Phường]]&amp;", Quận "&amp;Table24[[#This Row],[Quận]]</f>
        <v>Hẻm 972 Trường Sa, Phường 12, Quận 3</v>
      </c>
      <c r="U14" s="21"/>
      <c r="V14" s="56" t="e">
        <f>HYPERLINK("https://www.google.com/maps/search/?api=1&amp;query=" &amp; _xlfn.ENCODEURL(Table24[[#This Row],[Tên hẻm]]), "Link Google Map")</f>
        <v>#VALUE!</v>
      </c>
    </row>
    <row r="15" spans="1:22" hidden="1">
      <c r="A15" s="11">
        <v>25</v>
      </c>
      <c r="B15" s="16">
        <v>359</v>
      </c>
      <c r="C15" s="16" t="s">
        <v>4380</v>
      </c>
      <c r="D15" s="11">
        <v>3</v>
      </c>
      <c r="E15" s="11">
        <v>13</v>
      </c>
      <c r="F15" s="11" t="s">
        <v>4390</v>
      </c>
      <c r="G15" s="17" t="s">
        <v>4367</v>
      </c>
      <c r="H15" s="11"/>
      <c r="I15" s="11"/>
      <c r="J15" s="11" t="s">
        <v>4393</v>
      </c>
      <c r="K15" s="11" t="s">
        <v>4394</v>
      </c>
      <c r="L15" s="11">
        <v>8</v>
      </c>
      <c r="M15" s="31">
        <v>45499.414189814815</v>
      </c>
      <c r="N15" s="11"/>
      <c r="O15" s="11"/>
      <c r="P15" s="11" t="s">
        <v>4341</v>
      </c>
      <c r="Q15" s="1" t="s">
        <v>4388</v>
      </c>
      <c r="R15" s="11"/>
      <c r="S15" s="21" t="str">
        <f>HYPERLINK("https://www.google.com/maps/search/" &amp; Table24[[#This Row],[Tên hẻm]], "Xem trên Google Maps")</f>
        <v>Xem trên Google Maps</v>
      </c>
      <c r="T15" s="14" t="str">
        <f>"Hẻm "&amp;Table24[[#This Row],[Hẻm]]&amp;" "&amp;Table24[[#This Row],[Tuyến đường]]&amp;", Phường "&amp;Table24[[#This Row],[Phường]]&amp;", Quận "&amp;Table24[[#This Row],[Quận]]</f>
        <v>Hẻm 359 Lê Văn Sỹ , Phường 13, Quận 3</v>
      </c>
      <c r="U15" s="21"/>
      <c r="V15" s="56" t="e">
        <f>HYPERLINK("https://www.google.com/maps/search/?api=1&amp;query=" &amp; _xlfn.ENCODEURL(Table24[[#This Row],[Tên hẻm]]), "Link Google Map")</f>
        <v>#VALUE!</v>
      </c>
    </row>
    <row r="16" spans="1:22" hidden="1">
      <c r="A16" s="11">
        <v>26</v>
      </c>
      <c r="B16" s="16">
        <v>413</v>
      </c>
      <c r="C16" s="16" t="s">
        <v>4380</v>
      </c>
      <c r="D16" s="11">
        <v>3</v>
      </c>
      <c r="E16" s="11">
        <v>12</v>
      </c>
      <c r="F16" s="11" t="s">
        <v>4390</v>
      </c>
      <c r="G16" s="17">
        <v>3</v>
      </c>
      <c r="H16" s="11"/>
      <c r="I16" s="11"/>
      <c r="J16" s="11" t="s">
        <v>4395</v>
      </c>
      <c r="K16" s="11" t="s">
        <v>4396</v>
      </c>
      <c r="L16" s="11">
        <v>6</v>
      </c>
      <c r="M16" s="31">
        <v>45499.418946759259</v>
      </c>
      <c r="N16" s="11"/>
      <c r="O16" s="11"/>
      <c r="P16" s="11" t="s">
        <v>4341</v>
      </c>
      <c r="Q16" s="1" t="s">
        <v>4388</v>
      </c>
      <c r="R16" s="11"/>
      <c r="S16" s="21" t="str">
        <f>HYPERLINK("https://www.google.com/maps/search/" &amp; Table24[[#This Row],[Tên hẻm]], "Xem trên Google Maps")</f>
        <v>Xem trên Google Maps</v>
      </c>
      <c r="T16" s="14" t="str">
        <f>"Hẻm "&amp;Table24[[#This Row],[Hẻm]]&amp;" "&amp;Table24[[#This Row],[Tuyến đường]]&amp;", Phường "&amp;Table24[[#This Row],[Phường]]&amp;", Quận "&amp;Table24[[#This Row],[Quận]]</f>
        <v>Hẻm 413 Lê Văn Sỹ , Phường 12, Quận 3</v>
      </c>
      <c r="U16" s="21"/>
      <c r="V16" s="56" t="e">
        <f>HYPERLINK("https://www.google.com/maps/search/?api=1&amp;query=" &amp; _xlfn.ENCODEURL(Table24[[#This Row],[Tên hẻm]]), "Link Google Map")</f>
        <v>#VALUE!</v>
      </c>
    </row>
    <row r="17" spans="1:22" ht="31.5" hidden="1">
      <c r="A17" s="11">
        <v>27</v>
      </c>
      <c r="B17" s="16">
        <v>320</v>
      </c>
      <c r="C17" s="16" t="s">
        <v>4397</v>
      </c>
      <c r="D17" s="11" t="s">
        <v>4398</v>
      </c>
      <c r="E17" s="11">
        <v>11</v>
      </c>
      <c r="F17" s="11" t="s">
        <v>4399</v>
      </c>
      <c r="G17" s="17" t="s">
        <v>4338</v>
      </c>
      <c r="H17" s="11"/>
      <c r="I17" s="11"/>
      <c r="J17" s="11" t="s">
        <v>4400</v>
      </c>
      <c r="K17" s="11" t="s">
        <v>4401</v>
      </c>
      <c r="L17" s="11">
        <v>2</v>
      </c>
      <c r="M17" s="31">
        <v>45500.40520833333</v>
      </c>
      <c r="N17" s="11"/>
      <c r="O17" s="11"/>
      <c r="P17" s="11" t="s">
        <v>4341</v>
      </c>
      <c r="Q17" s="11"/>
      <c r="R17" s="11"/>
      <c r="S17" s="21" t="str">
        <f>HYPERLINK("https://www.google.com/maps/search/" &amp; Table24[[#This Row],[Tên hẻm]], "Xem trên Google Maps")</f>
        <v>Xem trên Google Maps</v>
      </c>
      <c r="T17" s="14" t="str">
        <f>"Hẻm "&amp;Table24[[#This Row],[Hẻm]]&amp;" "&amp;Table24[[#This Row],[Tuyến đường]]&amp;", Phường "&amp;Table24[[#This Row],[Phường]]&amp;", Quận "&amp;Table24[[#This Row],[Quận]]</f>
        <v xml:space="preserve">Hẻm 320 Huỳnh Văn Bánh , Phường 11, Quận Phú Nhuận </v>
      </c>
      <c r="U17" s="21"/>
      <c r="V17" s="56" t="e">
        <f>HYPERLINK("https://www.google.com/maps/search/?api=1&amp;query=" &amp; _xlfn.ENCODEURL(Table24[[#This Row],[Tên hẻm]]), "Link Google Map")</f>
        <v>#VALUE!</v>
      </c>
    </row>
    <row r="18" spans="1:22" ht="31.5" hidden="1">
      <c r="A18" s="11">
        <v>28</v>
      </c>
      <c r="B18" s="16">
        <v>387</v>
      </c>
      <c r="C18" s="16" t="s">
        <v>4397</v>
      </c>
      <c r="D18" s="11" t="s">
        <v>4398</v>
      </c>
      <c r="E18" s="11">
        <v>11</v>
      </c>
      <c r="F18" s="11" t="s">
        <v>4402</v>
      </c>
      <c r="G18" s="17">
        <v>3</v>
      </c>
      <c r="H18" s="11"/>
      <c r="I18" s="11"/>
      <c r="J18" s="11" t="s">
        <v>4403</v>
      </c>
      <c r="K18" s="11" t="s">
        <v>4404</v>
      </c>
      <c r="L18" s="11">
        <v>2</v>
      </c>
      <c r="M18" s="31">
        <v>45500.406643518516</v>
      </c>
      <c r="N18" s="11"/>
      <c r="O18" s="11"/>
      <c r="P18" s="11" t="s">
        <v>4341</v>
      </c>
      <c r="Q18" s="11"/>
      <c r="R18" s="11"/>
      <c r="S18" s="21" t="str">
        <f>HYPERLINK("https://www.google.com/maps/search/" &amp; Table24[[#This Row],[Tên hẻm]], "Xem trên Google Maps")</f>
        <v>Xem trên Google Maps</v>
      </c>
      <c r="T18" s="14" t="str">
        <f>"Hẻm "&amp;Table24[[#This Row],[Hẻm]]&amp;" "&amp;Table24[[#This Row],[Tuyến đường]]&amp;", Phường "&amp;Table24[[#This Row],[Phường]]&amp;", Quận "&amp;Table24[[#This Row],[Quận]]</f>
        <v xml:space="preserve">Hẻm 387 Huỳnh Văn Bánh , Phường 11, Quận Phú Nhuận </v>
      </c>
      <c r="U18" s="21"/>
      <c r="V18" s="56" t="e">
        <f>HYPERLINK("https://www.google.com/maps/search/?api=1&amp;query=" &amp; _xlfn.ENCODEURL(Table24[[#This Row],[Tên hẻm]]), "Link Google Map")</f>
        <v>#VALUE!</v>
      </c>
    </row>
    <row r="19" spans="1:22" ht="31.5" hidden="1">
      <c r="A19" s="11">
        <v>30</v>
      </c>
      <c r="B19" s="16">
        <v>98</v>
      </c>
      <c r="C19" s="16" t="s">
        <v>4405</v>
      </c>
      <c r="D19" s="11" t="s">
        <v>4398</v>
      </c>
      <c r="E19" s="11">
        <v>5</v>
      </c>
      <c r="F19" s="11" t="s">
        <v>4406</v>
      </c>
      <c r="G19" s="17">
        <v>4</v>
      </c>
      <c r="H19" s="11"/>
      <c r="I19" s="11"/>
      <c r="J19" s="11" t="s">
        <v>4407</v>
      </c>
      <c r="K19" s="11" t="s">
        <v>4408</v>
      </c>
      <c r="L19" s="11">
        <v>4</v>
      </c>
      <c r="M19" s="31">
        <v>45500.408680555556</v>
      </c>
      <c r="N19" s="11"/>
      <c r="O19" s="11"/>
      <c r="P19" s="11" t="s">
        <v>4341</v>
      </c>
      <c r="Q19" s="11"/>
      <c r="R19" s="11"/>
      <c r="S19" s="21" t="str">
        <f>HYPERLINK("https://www.google.com/maps/search/" &amp; Table24[[#This Row],[Tên hẻm]], "Xem trên Google Maps")</f>
        <v>Xem trên Google Maps</v>
      </c>
      <c r="T19" s="14" t="str">
        <f>"Hẻm "&amp;Table24[[#This Row],[Hẻm]]&amp;" "&amp;Table24[[#This Row],[Tuyến đường]]&amp;", Phường "&amp;Table24[[#This Row],[Phường]]&amp;", Quận "&amp;Table24[[#This Row],[Quận]]</f>
        <v xml:space="preserve">Hẻm 98 Thích Quảng Đức , Phường 5, Quận Phú Nhuận </v>
      </c>
      <c r="U19" s="21"/>
      <c r="V19" s="56" t="e">
        <f>HYPERLINK("https://www.google.com/maps/search/?api=1&amp;query=" &amp; _xlfn.ENCODEURL(Table24[[#This Row],[Tên hẻm]]), "Link Google Map")</f>
        <v>#VALUE!</v>
      </c>
    </row>
    <row r="20" spans="1:22" ht="31.5" hidden="1">
      <c r="A20" s="11">
        <v>31</v>
      </c>
      <c r="B20" s="16">
        <v>100</v>
      </c>
      <c r="C20" s="16" t="s">
        <v>4405</v>
      </c>
      <c r="D20" s="11" t="s">
        <v>4398</v>
      </c>
      <c r="E20" s="11">
        <v>5</v>
      </c>
      <c r="F20" s="11" t="s">
        <v>4406</v>
      </c>
      <c r="G20" s="17">
        <v>3</v>
      </c>
      <c r="H20" s="11"/>
      <c r="I20" s="11"/>
      <c r="J20" s="11" t="s">
        <v>4409</v>
      </c>
      <c r="K20" s="11" t="s">
        <v>4410</v>
      </c>
      <c r="L20" s="11">
        <v>7</v>
      </c>
      <c r="M20" s="31">
        <v>45500.410439814812</v>
      </c>
      <c r="N20" s="11"/>
      <c r="O20" s="11"/>
      <c r="P20" s="11" t="s">
        <v>4341</v>
      </c>
      <c r="Q20" s="11"/>
      <c r="R20" s="11"/>
      <c r="S20" s="21" t="str">
        <f>HYPERLINK("https://www.google.com/maps/search/" &amp; Table24[[#This Row],[Tên hẻm]], "Xem trên Google Maps")</f>
        <v>Xem trên Google Maps</v>
      </c>
      <c r="T20" s="14" t="str">
        <f>"Hẻm "&amp;Table24[[#This Row],[Hẻm]]&amp;" "&amp;Table24[[#This Row],[Tuyến đường]]&amp;", Phường "&amp;Table24[[#This Row],[Phường]]&amp;", Quận "&amp;Table24[[#This Row],[Quận]]</f>
        <v xml:space="preserve">Hẻm 100 Thích Quảng Đức , Phường 5, Quận Phú Nhuận </v>
      </c>
      <c r="U20" s="21"/>
      <c r="V20" s="56" t="e">
        <f>HYPERLINK("https://www.google.com/maps/search/?api=1&amp;query=" &amp; _xlfn.ENCODEURL(Table24[[#This Row],[Tên hẻm]]), "Link Google Map")</f>
        <v>#VALUE!</v>
      </c>
    </row>
    <row r="21" spans="1:22" ht="31.5" hidden="1">
      <c r="A21" s="11">
        <v>32</v>
      </c>
      <c r="B21" s="16">
        <v>67</v>
      </c>
      <c r="C21" s="16" t="s">
        <v>4411</v>
      </c>
      <c r="D21" s="11" t="s">
        <v>4412</v>
      </c>
      <c r="E21" s="11">
        <v>6</v>
      </c>
      <c r="F21" s="11" t="s">
        <v>4413</v>
      </c>
      <c r="G21" s="17" t="s">
        <v>4338</v>
      </c>
      <c r="H21" s="11"/>
      <c r="I21" s="11"/>
      <c r="J21" s="11" t="s">
        <v>4414</v>
      </c>
      <c r="K21" s="11" t="s">
        <v>4415</v>
      </c>
      <c r="L21" s="11">
        <v>4</v>
      </c>
      <c r="M21" s="31">
        <v>45500.412569444445</v>
      </c>
      <c r="N21" s="11"/>
      <c r="O21" s="11"/>
      <c r="P21" s="11" t="s">
        <v>4341</v>
      </c>
      <c r="Q21" s="11"/>
      <c r="R21" s="11"/>
      <c r="S21" s="21" t="str">
        <f>HYPERLINK("https://www.google.com/maps/search/" &amp; Table24[[#This Row],[Tên hẻm]], "Xem trên Google Maps")</f>
        <v>Xem trên Google Maps</v>
      </c>
      <c r="T21" s="14" t="str">
        <f>"Hẻm "&amp;Table24[[#This Row],[Hẻm]]&amp;" "&amp;Table24[[#This Row],[Tuyến đường]]&amp;", Phường "&amp;Table24[[#This Row],[Phường]]&amp;", Quận "&amp;Table24[[#This Row],[Quận]]</f>
        <v xml:space="preserve">Hẻm 67 Hoàng Hoa Thám , Phường 6, Quận Bình Thạnh </v>
      </c>
      <c r="U21" s="21"/>
      <c r="V21" s="56" t="e">
        <f>HYPERLINK("https://www.google.com/maps/search/?api=1&amp;query=" &amp; _xlfn.ENCODEURL(Table24[[#This Row],[Tên hẻm]]), "Link Google Map")</f>
        <v>#VALUE!</v>
      </c>
    </row>
    <row r="22" spans="1:22" ht="31.5" hidden="1">
      <c r="A22" s="11">
        <v>33</v>
      </c>
      <c r="B22" s="16" t="s">
        <v>4416</v>
      </c>
      <c r="C22" s="16" t="s">
        <v>4411</v>
      </c>
      <c r="D22" s="11" t="s">
        <v>4412</v>
      </c>
      <c r="E22" s="11">
        <v>7</v>
      </c>
      <c r="F22" s="11" t="s">
        <v>4417</v>
      </c>
      <c r="G22" s="17">
        <v>3</v>
      </c>
      <c r="H22" s="11"/>
      <c r="I22" s="11"/>
      <c r="J22" s="11" t="s">
        <v>4418</v>
      </c>
      <c r="K22" s="11" t="s">
        <v>4419</v>
      </c>
      <c r="L22" s="11">
        <v>10</v>
      </c>
      <c r="M22" s="31">
        <v>45500.414247685185</v>
      </c>
      <c r="N22" s="11"/>
      <c r="O22" s="11"/>
      <c r="P22" s="11" t="s">
        <v>4341</v>
      </c>
      <c r="Q22" s="11"/>
      <c r="R22" s="11"/>
      <c r="S22" s="21" t="str">
        <f>HYPERLINK("https://www.google.com/maps/search/" &amp; Table24[[#This Row],[Tên hẻm]], "Xem trên Google Maps")</f>
        <v>Xem trên Google Maps</v>
      </c>
      <c r="T22" s="14" t="str">
        <f>"Hẻm "&amp;Table24[[#This Row],[Hẻm]]&amp;" "&amp;Table24[[#This Row],[Tuyến đường]]&amp;", Phường "&amp;Table24[[#This Row],[Phường]]&amp;", Quận "&amp;Table24[[#This Row],[Quận]]</f>
        <v xml:space="preserve">Hẻm 42 và 12 Hoàng Hoa Thám , Phường 7, Quận Bình Thạnh </v>
      </c>
      <c r="U22" s="21"/>
      <c r="V22" s="56" t="e">
        <f>HYPERLINK("https://www.google.com/maps/search/?api=1&amp;query=" &amp; _xlfn.ENCODEURL(Table24[[#This Row],[Tên hẻm]]), "Link Google Map")</f>
        <v>#VALUE!</v>
      </c>
    </row>
    <row r="23" spans="1:22" ht="31.5" hidden="1">
      <c r="A23" s="11">
        <v>34</v>
      </c>
      <c r="B23" s="16">
        <v>313</v>
      </c>
      <c r="C23" s="16" t="s">
        <v>4420</v>
      </c>
      <c r="D23" s="11" t="s">
        <v>4398</v>
      </c>
      <c r="E23" s="11">
        <v>10</v>
      </c>
      <c r="F23" s="11" t="s">
        <v>4421</v>
      </c>
      <c r="G23" s="17" t="s">
        <v>4367</v>
      </c>
      <c r="H23" s="11"/>
      <c r="I23" s="11"/>
      <c r="J23" s="11" t="s">
        <v>4422</v>
      </c>
      <c r="K23" s="11" t="s">
        <v>4423</v>
      </c>
      <c r="L23" s="11">
        <v>3</v>
      </c>
      <c r="M23" s="31">
        <v>45500.416377314818</v>
      </c>
      <c r="N23" s="11"/>
      <c r="O23" s="11"/>
      <c r="P23" s="11" t="s">
        <v>4341</v>
      </c>
      <c r="Q23" s="11"/>
      <c r="R23" s="11"/>
      <c r="S23" s="21" t="str">
        <f>HYPERLINK("https://www.google.com/maps/search/" &amp; Table24[[#This Row],[Tên hẻm]], "Xem trên Google Maps")</f>
        <v>Xem trên Google Maps</v>
      </c>
      <c r="T23" s="14" t="str">
        <f>"Hẻm "&amp;Table24[[#This Row],[Hẻm]]&amp;" "&amp;Table24[[#This Row],[Tuyến đường]]&amp;", Phường "&amp;Table24[[#This Row],[Phường]]&amp;", Quận "&amp;Table24[[#This Row],[Quận]]</f>
        <v xml:space="preserve">Hẻm 313 Nguyễn Trọng Tuyển , Phường 10, Quận Phú Nhuận </v>
      </c>
      <c r="U23" s="21"/>
      <c r="V23" s="56" t="e">
        <f>HYPERLINK("https://www.google.com/maps/search/?api=1&amp;query=" &amp; _xlfn.ENCODEURL(Table24[[#This Row],[Tên hẻm]]), "Link Google Map")</f>
        <v>#VALUE!</v>
      </c>
    </row>
    <row r="24" spans="1:22" ht="31.5" hidden="1">
      <c r="A24" s="11">
        <v>35</v>
      </c>
      <c r="B24" s="16">
        <v>329</v>
      </c>
      <c r="C24" s="16" t="s">
        <v>4420</v>
      </c>
      <c r="D24" s="11" t="s">
        <v>4398</v>
      </c>
      <c r="E24" s="11">
        <v>10</v>
      </c>
      <c r="F24" s="11" t="s">
        <v>4424</v>
      </c>
      <c r="G24" s="17" t="s">
        <v>4367</v>
      </c>
      <c r="H24" s="11"/>
      <c r="I24" s="11"/>
      <c r="J24" s="11" t="s">
        <v>4425</v>
      </c>
      <c r="K24" s="11" t="s">
        <v>4426</v>
      </c>
      <c r="L24" s="11">
        <v>4</v>
      </c>
      <c r="M24" s="31">
        <v>45500.417847222219</v>
      </c>
      <c r="N24" s="11"/>
      <c r="O24" s="11"/>
      <c r="P24" s="11" t="s">
        <v>4341</v>
      </c>
      <c r="Q24" s="11"/>
      <c r="R24" s="11"/>
      <c r="S24" s="21" t="str">
        <f>HYPERLINK("https://www.google.com/maps/search/" &amp; Table24[[#This Row],[Tên hẻm]], "Xem trên Google Maps")</f>
        <v>Xem trên Google Maps</v>
      </c>
      <c r="T24" s="14" t="str">
        <f>"Hẻm "&amp;Table24[[#This Row],[Hẻm]]&amp;" "&amp;Table24[[#This Row],[Tuyến đường]]&amp;", Phường "&amp;Table24[[#This Row],[Phường]]&amp;", Quận "&amp;Table24[[#This Row],[Quận]]</f>
        <v xml:space="preserve">Hẻm 329 Nguyễn Trọng Tuyển , Phường 10, Quận Phú Nhuận </v>
      </c>
      <c r="U24" s="21"/>
      <c r="V24" s="56" t="e">
        <f>HYPERLINK("https://www.google.com/maps/search/?api=1&amp;query=" &amp; _xlfn.ENCODEURL(Table24[[#This Row],[Tên hẻm]]), "Link Google Map")</f>
        <v>#VALUE!</v>
      </c>
    </row>
    <row r="25" spans="1:22" ht="31.5" hidden="1">
      <c r="A25" s="11">
        <v>36</v>
      </c>
      <c r="B25" s="16">
        <v>27</v>
      </c>
      <c r="C25" s="16" t="s">
        <v>4427</v>
      </c>
      <c r="D25" s="11" t="s">
        <v>4412</v>
      </c>
      <c r="E25" s="11">
        <v>7</v>
      </c>
      <c r="F25" s="11" t="s">
        <v>4428</v>
      </c>
      <c r="G25" s="17" t="s">
        <v>4429</v>
      </c>
      <c r="H25" s="11"/>
      <c r="I25" s="11"/>
      <c r="J25" s="11" t="s">
        <v>4430</v>
      </c>
      <c r="K25" s="11" t="s">
        <v>4431</v>
      </c>
      <c r="L25" s="11">
        <v>6</v>
      </c>
      <c r="M25" s="31">
        <v>45500.419675925928</v>
      </c>
      <c r="N25" s="11"/>
      <c r="O25" s="11"/>
      <c r="P25" s="11" t="s">
        <v>4341</v>
      </c>
      <c r="Q25" s="11"/>
      <c r="R25" s="11"/>
      <c r="S25" s="21" t="str">
        <f>HYPERLINK("https://www.google.com/maps/search/" &amp; Table24[[#This Row],[Tên hẻm]], "Xem trên Google Maps")</f>
        <v>Xem trên Google Maps</v>
      </c>
      <c r="T25" s="14" t="str">
        <f>"Hẻm "&amp;Table24[[#This Row],[Hẻm]]&amp;" "&amp;Table24[[#This Row],[Tuyến đường]]&amp;", Phường "&amp;Table24[[#This Row],[Phường]]&amp;", Quận "&amp;Table24[[#This Row],[Quận]]</f>
        <v xml:space="preserve">Hẻm 27 Lê Trực, Phường 7, Quận Bình Thạnh </v>
      </c>
      <c r="U25" s="21"/>
      <c r="V25" s="56" t="e">
        <f>HYPERLINK("https://www.google.com/maps/search/?api=1&amp;query=" &amp; _xlfn.ENCODEURL(Table24[[#This Row],[Tên hẻm]]), "Link Google Map")</f>
        <v>#VALUE!</v>
      </c>
    </row>
    <row r="26" spans="1:22" ht="31.5" hidden="1">
      <c r="A26" s="11">
        <v>37</v>
      </c>
      <c r="B26" s="16">
        <v>37</v>
      </c>
      <c r="C26" s="16" t="s">
        <v>4427</v>
      </c>
      <c r="D26" s="11" t="s">
        <v>4412</v>
      </c>
      <c r="E26" s="11">
        <v>7</v>
      </c>
      <c r="F26" s="11" t="s">
        <v>4432</v>
      </c>
      <c r="G26" s="17" t="s">
        <v>4429</v>
      </c>
      <c r="H26" s="11"/>
      <c r="I26" s="11"/>
      <c r="J26" s="11" t="s">
        <v>4433</v>
      </c>
      <c r="K26" s="11" t="s">
        <v>4434</v>
      </c>
      <c r="L26" s="11">
        <v>2</v>
      </c>
      <c r="M26" s="31">
        <v>45500.421006944445</v>
      </c>
      <c r="N26" s="11"/>
      <c r="O26" s="11"/>
      <c r="P26" s="11" t="s">
        <v>4341</v>
      </c>
      <c r="Q26" s="11"/>
      <c r="R26" s="11"/>
      <c r="S26" s="21" t="str">
        <f>HYPERLINK("https://www.google.com/maps/search/" &amp; Table24[[#This Row],[Tên hẻm]], "Xem trên Google Maps")</f>
        <v>Xem trên Google Maps</v>
      </c>
      <c r="T26" s="14" t="str">
        <f>"Hẻm "&amp;Table24[[#This Row],[Hẻm]]&amp;" "&amp;Table24[[#This Row],[Tuyến đường]]&amp;", Phường "&amp;Table24[[#This Row],[Phường]]&amp;", Quận "&amp;Table24[[#This Row],[Quận]]</f>
        <v xml:space="preserve">Hẻm 37 Lê Trực, Phường 7, Quận Bình Thạnh </v>
      </c>
      <c r="U26" s="21"/>
      <c r="V26" s="56" t="e">
        <f>HYPERLINK("https://www.google.com/maps/search/?api=1&amp;query=" &amp; _xlfn.ENCODEURL(Table24[[#This Row],[Tên hẻm]]), "Link Google Map")</f>
        <v>#VALUE!</v>
      </c>
    </row>
    <row r="27" spans="1:22" ht="31.5" hidden="1">
      <c r="A27" s="11">
        <v>38</v>
      </c>
      <c r="B27" s="16">
        <v>39</v>
      </c>
      <c r="C27" s="16" t="s">
        <v>4427</v>
      </c>
      <c r="D27" s="11" t="s">
        <v>4412</v>
      </c>
      <c r="E27" s="11">
        <v>7</v>
      </c>
      <c r="F27" s="11" t="s">
        <v>4435</v>
      </c>
      <c r="G27" s="17" t="s">
        <v>4429</v>
      </c>
      <c r="H27" s="11"/>
      <c r="I27" s="11"/>
      <c r="J27" s="11" t="s">
        <v>4436</v>
      </c>
      <c r="K27" s="11" t="s">
        <v>4437</v>
      </c>
      <c r="L27" s="11">
        <v>2</v>
      </c>
      <c r="M27" s="31">
        <v>45500.422615740739</v>
      </c>
      <c r="N27" s="11"/>
      <c r="O27" s="11"/>
      <c r="P27" s="11" t="s">
        <v>4341</v>
      </c>
      <c r="Q27" s="11"/>
      <c r="R27" s="11"/>
      <c r="S27" s="21" t="str">
        <f>HYPERLINK("https://www.google.com/maps/search/" &amp; Table24[[#This Row],[Tên hẻm]], "Xem trên Google Maps")</f>
        <v>Xem trên Google Maps</v>
      </c>
      <c r="T27" s="14" t="str">
        <f>"Hẻm "&amp;Table24[[#This Row],[Hẻm]]&amp;" "&amp;Table24[[#This Row],[Tuyến đường]]&amp;", Phường "&amp;Table24[[#This Row],[Phường]]&amp;", Quận "&amp;Table24[[#This Row],[Quận]]</f>
        <v xml:space="preserve">Hẻm 39 Lê Trực, Phường 7, Quận Bình Thạnh </v>
      </c>
      <c r="U27" s="21"/>
      <c r="V27" s="56" t="e">
        <f>HYPERLINK("https://www.google.com/maps/search/?api=1&amp;query=" &amp; _xlfn.ENCODEURL(Table24[[#This Row],[Tên hẻm]]), "Link Google Map")</f>
        <v>#VALUE!</v>
      </c>
    </row>
    <row r="28" spans="1:22" ht="31.5" hidden="1">
      <c r="A28" s="11">
        <v>39</v>
      </c>
      <c r="B28" s="16">
        <v>280</v>
      </c>
      <c r="C28" s="16" t="s">
        <v>4397</v>
      </c>
      <c r="D28" s="11" t="s">
        <v>4398</v>
      </c>
      <c r="E28" s="11">
        <v>11</v>
      </c>
      <c r="F28" s="11" t="s">
        <v>4438</v>
      </c>
      <c r="G28" s="17">
        <v>3</v>
      </c>
      <c r="H28" s="11"/>
      <c r="I28" s="11"/>
      <c r="J28" s="11" t="s">
        <v>4439</v>
      </c>
      <c r="K28" s="11" t="s">
        <v>4440</v>
      </c>
      <c r="L28" s="11">
        <v>4</v>
      </c>
      <c r="M28" s="31">
        <v>45500.424155092594</v>
      </c>
      <c r="N28" s="11"/>
      <c r="O28" s="11"/>
      <c r="P28" s="11" t="s">
        <v>4341</v>
      </c>
      <c r="Q28" s="11"/>
      <c r="R28" s="11"/>
      <c r="S28" s="21" t="str">
        <f>HYPERLINK("https://www.google.com/maps/search/" &amp; Table24[[#This Row],[Tên hẻm]], "Xem trên Google Maps")</f>
        <v>Xem trên Google Maps</v>
      </c>
      <c r="T28" s="14" t="str">
        <f>"Hẻm "&amp;Table24[[#This Row],[Hẻm]]&amp;" "&amp;Table24[[#This Row],[Tuyến đường]]&amp;", Phường "&amp;Table24[[#This Row],[Phường]]&amp;", Quận "&amp;Table24[[#This Row],[Quận]]</f>
        <v xml:space="preserve">Hẻm 280 Huỳnh Văn Bánh , Phường 11, Quận Phú Nhuận </v>
      </c>
      <c r="U28" s="21"/>
      <c r="V28" s="56" t="e">
        <f>HYPERLINK("https://www.google.com/maps/search/?api=1&amp;query=" &amp; _xlfn.ENCODEURL(Table24[[#This Row],[Tên hẻm]]), "Link Google Map")</f>
        <v>#VALUE!</v>
      </c>
    </row>
    <row r="29" spans="1:22" ht="31.5" hidden="1">
      <c r="A29" s="11">
        <v>40</v>
      </c>
      <c r="B29" s="16">
        <v>347</v>
      </c>
      <c r="C29" s="16" t="s">
        <v>4397</v>
      </c>
      <c r="D29" s="11" t="s">
        <v>4398</v>
      </c>
      <c r="E29" s="11">
        <v>11</v>
      </c>
      <c r="F29" s="11" t="s">
        <v>4438</v>
      </c>
      <c r="G29" s="17">
        <v>3</v>
      </c>
      <c r="H29" s="11"/>
      <c r="I29" s="11"/>
      <c r="J29" s="11" t="s">
        <v>4441</v>
      </c>
      <c r="K29" s="11" t="s">
        <v>4442</v>
      </c>
      <c r="L29" s="11">
        <v>6</v>
      </c>
      <c r="M29" s="31">
        <v>45500.426446759258</v>
      </c>
      <c r="N29" s="11"/>
      <c r="O29" s="11"/>
      <c r="P29" s="11" t="s">
        <v>4341</v>
      </c>
      <c r="Q29" s="11"/>
      <c r="R29" s="11"/>
      <c r="S29" s="21" t="str">
        <f>HYPERLINK("https://www.google.com/maps/search/" &amp; Table24[[#This Row],[Tên hẻm]], "Xem trên Google Maps")</f>
        <v>Xem trên Google Maps</v>
      </c>
      <c r="T29" s="14" t="str">
        <f>"Hẻm "&amp;Table24[[#This Row],[Hẻm]]&amp;" "&amp;Table24[[#This Row],[Tuyến đường]]&amp;", Phường "&amp;Table24[[#This Row],[Phường]]&amp;", Quận "&amp;Table24[[#This Row],[Quận]]</f>
        <v xml:space="preserve">Hẻm 347 Huỳnh Văn Bánh , Phường 11, Quận Phú Nhuận </v>
      </c>
      <c r="U29" s="21"/>
      <c r="V29" s="56" t="e">
        <f>HYPERLINK("https://www.google.com/maps/search/?api=1&amp;query=" &amp; _xlfn.ENCODEURL(Table24[[#This Row],[Tên hẻm]]), "Link Google Map")</f>
        <v>#VALUE!</v>
      </c>
    </row>
    <row r="30" spans="1:22" ht="31.5" hidden="1">
      <c r="A30" s="11">
        <v>41</v>
      </c>
      <c r="B30" s="16">
        <v>356</v>
      </c>
      <c r="C30" s="16" t="s">
        <v>4380</v>
      </c>
      <c r="D30" s="11" t="s">
        <v>4398</v>
      </c>
      <c r="E30" s="11">
        <v>11</v>
      </c>
      <c r="F30" s="11" t="s">
        <v>4438</v>
      </c>
      <c r="G30" s="17">
        <v>3</v>
      </c>
      <c r="H30" s="11"/>
      <c r="I30" s="11"/>
      <c r="J30" s="11" t="s">
        <v>4443</v>
      </c>
      <c r="K30" s="11" t="s">
        <v>4444</v>
      </c>
      <c r="L30" s="11">
        <v>3</v>
      </c>
      <c r="M30" s="31">
        <v>45500.428344907406</v>
      </c>
      <c r="N30" s="11"/>
      <c r="O30" s="11"/>
      <c r="P30" s="11" t="s">
        <v>4341</v>
      </c>
      <c r="Q30" s="11"/>
      <c r="R30" s="11"/>
      <c r="S30" s="21" t="str">
        <f>HYPERLINK("https://www.google.com/maps/search/" &amp; Table24[[#This Row],[Tên hẻm]], "Xem trên Google Maps")</f>
        <v>Xem trên Google Maps</v>
      </c>
      <c r="T30" s="14" t="str">
        <f>"Hẻm "&amp;Table24[[#This Row],[Hẻm]]&amp;" "&amp;Table24[[#This Row],[Tuyến đường]]&amp;", Phường "&amp;Table24[[#This Row],[Phường]]&amp;", Quận "&amp;Table24[[#This Row],[Quận]]</f>
        <v xml:space="preserve">Hẻm 356 Lê Văn Sỹ , Phường 11, Quận Phú Nhuận </v>
      </c>
      <c r="U30" s="21"/>
      <c r="V30" s="56" t="e">
        <f>HYPERLINK("https://www.google.com/maps/search/?api=1&amp;query=" &amp; _xlfn.ENCODEURL(Table24[[#This Row],[Tên hẻm]]), "Link Google Map")</f>
        <v>#VALUE!</v>
      </c>
    </row>
    <row r="31" spans="1:22" hidden="1">
      <c r="A31" s="11">
        <v>42</v>
      </c>
      <c r="B31" s="16">
        <v>130</v>
      </c>
      <c r="C31" s="16" t="s">
        <v>4445</v>
      </c>
      <c r="D31" s="11">
        <v>3</v>
      </c>
      <c r="E31" s="11">
        <v>10</v>
      </c>
      <c r="F31" s="11" t="s">
        <v>4446</v>
      </c>
      <c r="G31" s="17">
        <v>3</v>
      </c>
      <c r="H31" s="11"/>
      <c r="I31" s="11"/>
      <c r="J31" s="11" t="s">
        <v>4447</v>
      </c>
      <c r="K31" s="11" t="s">
        <v>4448</v>
      </c>
      <c r="L31" s="11">
        <v>3</v>
      </c>
      <c r="M31" s="31">
        <v>45500.440995370373</v>
      </c>
      <c r="N31" s="11"/>
      <c r="O31" s="11"/>
      <c r="P31" s="11" t="s">
        <v>4341</v>
      </c>
      <c r="Q31" s="1" t="s">
        <v>4449</v>
      </c>
      <c r="R31" s="11"/>
      <c r="S31" s="21" t="str">
        <f>HYPERLINK("https://www.google.com/maps/search/" &amp; Table24[[#This Row],[Tên hẻm]], "Xem trên Google Maps")</f>
        <v>Xem trên Google Maps</v>
      </c>
      <c r="T31" s="14" t="str">
        <f>"Hẻm "&amp;Table24[[#This Row],[Hẻm]]&amp;" "&amp;Table24[[#This Row],[Tuyến đường]]&amp;", Phường "&amp;Table24[[#This Row],[Phường]]&amp;", Quận "&amp;Table24[[#This Row],[Quận]]</f>
        <v>Hẻm 130 CMT8, Phường 10, Quận 3</v>
      </c>
      <c r="U31" s="21"/>
      <c r="V31" s="56" t="e">
        <f>HYPERLINK("https://www.google.com/maps/search/?api=1&amp;query=" &amp; _xlfn.ENCODEURL(Table24[[#This Row],[Tên hẻm]]), "Link Google Map")</f>
        <v>#VALUE!</v>
      </c>
    </row>
    <row r="32" spans="1:22" hidden="1">
      <c r="A32" s="11">
        <v>43</v>
      </c>
      <c r="B32" s="16">
        <v>14</v>
      </c>
      <c r="C32" s="16" t="s">
        <v>4450</v>
      </c>
      <c r="D32" s="11">
        <v>3</v>
      </c>
      <c r="E32" s="11">
        <v>9</v>
      </c>
      <c r="F32" s="11" t="s">
        <v>4451</v>
      </c>
      <c r="G32" s="17" t="s">
        <v>4338</v>
      </c>
      <c r="H32" s="11"/>
      <c r="I32" s="11"/>
      <c r="J32" s="11" t="s">
        <v>4452</v>
      </c>
      <c r="K32" s="11" t="s">
        <v>4453</v>
      </c>
      <c r="L32" s="11">
        <v>11</v>
      </c>
      <c r="M32" s="31">
        <v>45500.443067129629</v>
      </c>
      <c r="N32" s="11"/>
      <c r="O32" s="11"/>
      <c r="P32" s="11" t="s">
        <v>4341</v>
      </c>
      <c r="Q32" s="1" t="s">
        <v>4454</v>
      </c>
      <c r="R32" s="11"/>
      <c r="S32" s="21" t="str">
        <f>HYPERLINK("https://www.google.com/maps/search/" &amp; Table24[[#This Row],[Tên hẻm]], "Xem trên Google Maps")</f>
        <v>Xem trên Google Maps</v>
      </c>
      <c r="T32" s="14" t="str">
        <f>"Hẻm "&amp;Table24[[#This Row],[Hẻm]]&amp;" "&amp;Table24[[#This Row],[Tuyến đường]]&amp;", Phường "&amp;Table24[[#This Row],[Phường]]&amp;", Quận "&amp;Table24[[#This Row],[Quận]]</f>
        <v>Hẻm 14 Kỳ Đồng, Phường 9, Quận 3</v>
      </c>
      <c r="U32" s="21"/>
      <c r="V32" s="56" t="e">
        <f>HYPERLINK("https://www.google.com/maps/search/?api=1&amp;query=" &amp; _xlfn.ENCODEURL(Table24[[#This Row],[Tên hẻm]]), "Link Google Map")</f>
        <v>#VALUE!</v>
      </c>
    </row>
    <row r="33" spans="1:22" hidden="1">
      <c r="A33" s="11">
        <v>44</v>
      </c>
      <c r="B33" s="16">
        <v>358</v>
      </c>
      <c r="C33" s="16" t="s">
        <v>4445</v>
      </c>
      <c r="D33" s="11">
        <v>3</v>
      </c>
      <c r="E33" s="11">
        <v>10</v>
      </c>
      <c r="F33" s="11" t="s">
        <v>4455</v>
      </c>
      <c r="G33" s="17">
        <v>3</v>
      </c>
      <c r="H33" s="11"/>
      <c r="I33" s="11"/>
      <c r="J33" s="11" t="s">
        <v>4456</v>
      </c>
      <c r="K33" s="11" t="s">
        <v>4457</v>
      </c>
      <c r="L33" s="11">
        <v>9</v>
      </c>
      <c r="M33" s="31">
        <v>45500.444907407407</v>
      </c>
      <c r="N33" s="11"/>
      <c r="O33" s="11"/>
      <c r="P33" s="11" t="s">
        <v>4341</v>
      </c>
      <c r="Q33" s="1" t="s">
        <v>4458</v>
      </c>
      <c r="R33" s="11"/>
      <c r="S33" s="21" t="str">
        <f>HYPERLINK("https://www.google.com/maps/search/" &amp; Table24[[#This Row],[Tên hẻm]], "Xem trên Google Maps")</f>
        <v>Xem trên Google Maps</v>
      </c>
      <c r="T33" s="14" t="str">
        <f>"Hẻm "&amp;Table24[[#This Row],[Hẻm]]&amp;" "&amp;Table24[[#This Row],[Tuyến đường]]&amp;", Phường "&amp;Table24[[#This Row],[Phường]]&amp;", Quận "&amp;Table24[[#This Row],[Quận]]</f>
        <v>Hẻm 358 CMT8, Phường 10, Quận 3</v>
      </c>
      <c r="U33" s="21"/>
      <c r="V33" s="56" t="e">
        <f>HYPERLINK("https://www.google.com/maps/search/?api=1&amp;query=" &amp; _xlfn.ENCODEURL(Table24[[#This Row],[Tên hẻm]]), "Link Google Map")</f>
        <v>#VALUE!</v>
      </c>
    </row>
    <row r="34" spans="1:22" hidden="1">
      <c r="A34" s="11">
        <v>45</v>
      </c>
      <c r="B34" s="16" t="s">
        <v>4459</v>
      </c>
      <c r="C34" s="16" t="s">
        <v>4380</v>
      </c>
      <c r="D34" s="11">
        <v>3</v>
      </c>
      <c r="E34" s="11">
        <v>13</v>
      </c>
      <c r="F34" s="11" t="s">
        <v>4460</v>
      </c>
      <c r="G34" s="17">
        <v>4</v>
      </c>
      <c r="H34" s="11"/>
      <c r="I34" s="11"/>
      <c r="J34" s="11" t="s">
        <v>4461</v>
      </c>
      <c r="K34" s="11" t="s">
        <v>4462</v>
      </c>
      <c r="L34" s="11">
        <v>10</v>
      </c>
      <c r="M34" s="31">
        <v>45500.44803240741</v>
      </c>
      <c r="N34" s="11"/>
      <c r="O34" s="11"/>
      <c r="P34" s="11" t="s">
        <v>4341</v>
      </c>
      <c r="Q34" s="1" t="s">
        <v>4463</v>
      </c>
      <c r="R34" s="11"/>
      <c r="S34" s="21" t="str">
        <f>HYPERLINK("https://www.google.com/maps/search/" &amp; Table24[[#This Row],[Tên hẻm]], "Xem trên Google Maps")</f>
        <v>Xem trên Google Maps</v>
      </c>
      <c r="T34" s="14" t="str">
        <f>"Hẻm "&amp;Table24[[#This Row],[Hẻm]]&amp;" "&amp;Table24[[#This Row],[Tuyến đường]]&amp;", Phường "&amp;Table24[[#This Row],[Phường]]&amp;", Quận "&amp;Table24[[#This Row],[Quận]]</f>
        <v>Hẻm 359/1 Lê Văn Sỹ , Phường 13, Quận 3</v>
      </c>
      <c r="U34" s="21"/>
      <c r="V34" s="56" t="e">
        <f>HYPERLINK("https://www.google.com/maps/search/?api=1&amp;query=" &amp; _xlfn.ENCODEURL(Table24[[#This Row],[Tên hẻm]]), "Link Google Map")</f>
        <v>#VALUE!</v>
      </c>
    </row>
    <row r="35" spans="1:22" hidden="1">
      <c r="A35" s="11">
        <v>46</v>
      </c>
      <c r="B35" s="16">
        <v>34</v>
      </c>
      <c r="C35" s="16" t="s">
        <v>4464</v>
      </c>
      <c r="D35" s="11">
        <v>3</v>
      </c>
      <c r="E35" s="11">
        <v>4</v>
      </c>
      <c r="F35" s="11" t="s">
        <v>4465</v>
      </c>
      <c r="G35" s="17" t="s">
        <v>4367</v>
      </c>
      <c r="H35" s="11"/>
      <c r="I35" s="11"/>
      <c r="J35" s="11" t="s">
        <v>4466</v>
      </c>
      <c r="K35" s="11" t="s">
        <v>4467</v>
      </c>
      <c r="L35" s="11">
        <v>2</v>
      </c>
      <c r="M35" s="31">
        <v>45500.449837962966</v>
      </c>
      <c r="N35" s="11"/>
      <c r="O35" s="11"/>
      <c r="P35" s="11" t="s">
        <v>4341</v>
      </c>
      <c r="Q35" s="1" t="s">
        <v>4468</v>
      </c>
      <c r="R35" s="11"/>
      <c r="S35" s="21" t="str">
        <f>HYPERLINK("https://www.google.com/maps/search/" &amp; Table24[[#This Row],[Tên hẻm]], "Xem trên Google Maps")</f>
        <v>Xem trên Google Maps</v>
      </c>
      <c r="T35" s="14" t="str">
        <f>"Hẻm "&amp;Table24[[#This Row],[Hẻm]]&amp;" "&amp;Table24[[#This Row],[Tuyến đường]]&amp;", Phường "&amp;Table24[[#This Row],[Phường]]&amp;", Quận "&amp;Table24[[#This Row],[Quận]]</f>
        <v>Hẻm 34 Vườn Chuối , Phường 4, Quận 3</v>
      </c>
      <c r="U35" s="21"/>
      <c r="V35" s="56" t="e">
        <f>HYPERLINK("https://www.google.com/maps/search/?api=1&amp;query=" &amp; _xlfn.ENCODEURL(Table24[[#This Row],[Tên hẻm]]), "Link Google Map")</f>
        <v>#VALUE!</v>
      </c>
    </row>
    <row r="36" spans="1:22" hidden="1">
      <c r="A36" s="11">
        <v>47</v>
      </c>
      <c r="B36" s="16">
        <v>39</v>
      </c>
      <c r="C36" s="16" t="s">
        <v>4464</v>
      </c>
      <c r="D36" s="11">
        <v>3</v>
      </c>
      <c r="E36" s="11">
        <v>4</v>
      </c>
      <c r="F36" s="11" t="s">
        <v>4465</v>
      </c>
      <c r="G36" s="17" t="s">
        <v>4367</v>
      </c>
      <c r="H36" s="11"/>
      <c r="I36" s="11"/>
      <c r="J36" s="11" t="s">
        <v>4469</v>
      </c>
      <c r="K36" s="11" t="s">
        <v>4470</v>
      </c>
      <c r="L36" s="11">
        <v>6</v>
      </c>
      <c r="M36" s="31">
        <v>45500.451967592591</v>
      </c>
      <c r="N36" s="11"/>
      <c r="O36" s="11"/>
      <c r="P36" s="11" t="s">
        <v>4341</v>
      </c>
      <c r="Q36" s="1" t="s">
        <v>4468</v>
      </c>
      <c r="R36" s="11"/>
      <c r="S36" s="21" t="str">
        <f>HYPERLINK("https://www.google.com/maps/search/" &amp; Table24[[#This Row],[Tên hẻm]], "Xem trên Google Maps")</f>
        <v>Xem trên Google Maps</v>
      </c>
      <c r="T36" s="14" t="str">
        <f>"Hẻm "&amp;Table24[[#This Row],[Hẻm]]&amp;" "&amp;Table24[[#This Row],[Tuyến đường]]&amp;", Phường "&amp;Table24[[#This Row],[Phường]]&amp;", Quận "&amp;Table24[[#This Row],[Quận]]</f>
        <v>Hẻm 39 Vườn Chuối , Phường 4, Quận 3</v>
      </c>
      <c r="U36" s="21"/>
      <c r="V36" s="56" t="e">
        <f>HYPERLINK("https://www.google.com/maps/search/?api=1&amp;query=" &amp; _xlfn.ENCODEURL(Table24[[#This Row],[Tên hẻm]]), "Link Google Map")</f>
        <v>#VALUE!</v>
      </c>
    </row>
    <row r="37" spans="1:22" ht="31.5" hidden="1">
      <c r="A37" s="11">
        <v>48</v>
      </c>
      <c r="B37" s="16">
        <v>18</v>
      </c>
      <c r="C37" s="16" t="s">
        <v>4471</v>
      </c>
      <c r="D37" s="11">
        <v>3</v>
      </c>
      <c r="E37" s="11">
        <v>14</v>
      </c>
      <c r="F37" s="11" t="s">
        <v>4472</v>
      </c>
      <c r="G37" s="17" t="s">
        <v>4338</v>
      </c>
      <c r="H37" s="11"/>
      <c r="I37" s="11"/>
      <c r="J37" s="11" t="s">
        <v>4473</v>
      </c>
      <c r="K37" s="11" t="s">
        <v>4474</v>
      </c>
      <c r="L37" s="11">
        <v>9</v>
      </c>
      <c r="M37" s="31">
        <v>45500.453449074077</v>
      </c>
      <c r="N37" s="11"/>
      <c r="O37" s="11"/>
      <c r="P37" s="11" t="s">
        <v>4341</v>
      </c>
      <c r="Q37" s="1" t="s">
        <v>4475</v>
      </c>
      <c r="R37" s="11"/>
      <c r="S37" s="21" t="str">
        <f>HYPERLINK("https://www.google.com/maps/search/" &amp; Table24[[#This Row],[Tên hẻm]], "Xem trên Google Maps")</f>
        <v>Xem trên Google Maps</v>
      </c>
      <c r="T37" s="14" t="str">
        <f>"Hẻm "&amp;Table24[[#This Row],[Hẻm]]&amp;" "&amp;Table24[[#This Row],[Tuyến đường]]&amp;", Phường "&amp;Table24[[#This Row],[Phường]]&amp;", Quận "&amp;Table24[[#This Row],[Quận]]</f>
        <v>Hẻm 18 Trần Quang Diệu , Phường 14, Quận 3</v>
      </c>
      <c r="U37" s="21"/>
      <c r="V37" s="56" t="e">
        <f>HYPERLINK("https://www.google.com/maps/search/?api=1&amp;query=" &amp; _xlfn.ENCODEURL(Table24[[#This Row],[Tên hẻm]]), "Link Google Map")</f>
        <v>#VALUE!</v>
      </c>
    </row>
    <row r="38" spans="1:22" hidden="1">
      <c r="A38" s="11">
        <v>49</v>
      </c>
      <c r="B38" s="16">
        <v>134</v>
      </c>
      <c r="C38" s="16" t="s">
        <v>4445</v>
      </c>
      <c r="D38" s="11">
        <v>3</v>
      </c>
      <c r="E38" s="11">
        <v>10</v>
      </c>
      <c r="F38" s="11" t="s">
        <v>4476</v>
      </c>
      <c r="G38" s="17">
        <v>4</v>
      </c>
      <c r="H38" s="11"/>
      <c r="I38" s="11"/>
      <c r="J38" s="11" t="s">
        <v>4477</v>
      </c>
      <c r="K38" s="11" t="s">
        <v>4478</v>
      </c>
      <c r="L38" s="11">
        <v>4</v>
      </c>
      <c r="M38" s="31">
        <v>45500.454722222225</v>
      </c>
      <c r="N38" s="11"/>
      <c r="O38" s="11"/>
      <c r="P38" s="11" t="s">
        <v>4341</v>
      </c>
      <c r="Q38" s="1" t="s">
        <v>4479</v>
      </c>
      <c r="R38" s="11"/>
      <c r="S38" s="21" t="str">
        <f>HYPERLINK("https://www.google.com/maps/search/" &amp; Table24[[#This Row],[Tên hẻm]], "Xem trên Google Maps")</f>
        <v>Xem trên Google Maps</v>
      </c>
      <c r="T38" s="14" t="str">
        <f>"Hẻm "&amp;Table24[[#This Row],[Hẻm]]&amp;" "&amp;Table24[[#This Row],[Tuyến đường]]&amp;", Phường "&amp;Table24[[#This Row],[Phường]]&amp;", Quận "&amp;Table24[[#This Row],[Quận]]</f>
        <v>Hẻm 134 CMT8, Phường 10, Quận 3</v>
      </c>
      <c r="U38" s="21"/>
      <c r="V38" s="56" t="e">
        <f>HYPERLINK("https://www.google.com/maps/search/?api=1&amp;query=" &amp; _xlfn.ENCODEURL(Table24[[#This Row],[Tên hẻm]]), "Link Google Map")</f>
        <v>#VALUE!</v>
      </c>
    </row>
    <row r="39" spans="1:22" hidden="1">
      <c r="A39" s="11">
        <v>50</v>
      </c>
      <c r="B39" s="16" t="s">
        <v>4480</v>
      </c>
      <c r="C39" s="16" t="s">
        <v>4481</v>
      </c>
      <c r="D39" s="11">
        <v>3</v>
      </c>
      <c r="E39" s="11">
        <v>10</v>
      </c>
      <c r="F39" s="11" t="s">
        <v>4476</v>
      </c>
      <c r="G39" s="17">
        <v>4</v>
      </c>
      <c r="H39" s="11"/>
      <c r="I39" s="11"/>
      <c r="J39" s="11" t="s">
        <v>4482</v>
      </c>
      <c r="K39" s="11" t="s">
        <v>4483</v>
      </c>
      <c r="L39" s="11">
        <v>7</v>
      </c>
      <c r="M39" s="31">
        <v>45500.455891203703</v>
      </c>
      <c r="N39" s="11"/>
      <c r="O39" s="11"/>
      <c r="P39" s="11" t="s">
        <v>4341</v>
      </c>
      <c r="Q39" s="1" t="s">
        <v>4479</v>
      </c>
      <c r="R39" s="11"/>
      <c r="S39" s="21" t="str">
        <f>HYPERLINK("https://www.google.com/maps/search/" &amp; Table24[[#This Row],[Tên hẻm]], "Xem trên Google Maps")</f>
        <v>Xem trên Google Maps</v>
      </c>
      <c r="T39" s="14" t="str">
        <f>"Hẻm "&amp;Table24[[#This Row],[Hẻm]]&amp;" "&amp;Table24[[#This Row],[Tuyến đường]]&amp;", Phường "&amp;Table24[[#This Row],[Phường]]&amp;", Quận "&amp;Table24[[#This Row],[Quận]]</f>
        <v>Hẻm 134/1 CMT8 , Phường 10, Quận 3</v>
      </c>
      <c r="U39" s="21"/>
      <c r="V39" s="56" t="e">
        <f>HYPERLINK("https://www.google.com/maps/search/?api=1&amp;query=" &amp; _xlfn.ENCODEURL(Table24[[#This Row],[Tên hẻm]]), "Link Google Map")</f>
        <v>#VALUE!</v>
      </c>
    </row>
    <row r="40" spans="1:22" hidden="1">
      <c r="A40" s="11">
        <v>51</v>
      </c>
      <c r="B40" s="16">
        <v>210</v>
      </c>
      <c r="C40" s="16" t="s">
        <v>4445</v>
      </c>
      <c r="D40" s="11">
        <v>3</v>
      </c>
      <c r="E40" s="11">
        <v>10</v>
      </c>
      <c r="F40" s="11" t="s">
        <v>4476</v>
      </c>
      <c r="G40" s="17" t="s">
        <v>4371</v>
      </c>
      <c r="H40" s="11"/>
      <c r="I40" s="11"/>
      <c r="J40" s="11" t="s">
        <v>4484</v>
      </c>
      <c r="K40" s="11" t="s">
        <v>4485</v>
      </c>
      <c r="L40" s="11">
        <v>5</v>
      </c>
      <c r="M40" s="31">
        <v>45500.457766203705</v>
      </c>
      <c r="N40" s="11"/>
      <c r="O40" s="11"/>
      <c r="P40" s="11" t="s">
        <v>4341</v>
      </c>
      <c r="Q40" s="1" t="s">
        <v>4486</v>
      </c>
      <c r="R40" s="11"/>
      <c r="S40" s="21" t="str">
        <f>HYPERLINK("https://www.google.com/maps/search/" &amp; Table24[[#This Row],[Tên hẻm]], "Xem trên Google Maps")</f>
        <v>Xem trên Google Maps</v>
      </c>
      <c r="T40" s="14" t="str">
        <f>"Hẻm "&amp;Table24[[#This Row],[Hẻm]]&amp;" "&amp;Table24[[#This Row],[Tuyến đường]]&amp;", Phường "&amp;Table24[[#This Row],[Phường]]&amp;", Quận "&amp;Table24[[#This Row],[Quận]]</f>
        <v>Hẻm 210 CMT8, Phường 10, Quận 3</v>
      </c>
      <c r="U40" s="21"/>
      <c r="V40" s="56" t="e">
        <f>HYPERLINK("https://www.google.com/maps/search/?api=1&amp;query=" &amp; _xlfn.ENCODEURL(Table24[[#This Row],[Tên hẻm]]), "Link Google Map")</f>
        <v>#VALUE!</v>
      </c>
    </row>
    <row r="41" spans="1:22" hidden="1">
      <c r="A41" s="11">
        <v>52</v>
      </c>
      <c r="B41" s="16" t="s">
        <v>4487</v>
      </c>
      <c r="C41" s="16" t="s">
        <v>4445</v>
      </c>
      <c r="D41" s="11">
        <v>3</v>
      </c>
      <c r="E41" s="11">
        <v>10</v>
      </c>
      <c r="F41" s="11" t="s">
        <v>4476</v>
      </c>
      <c r="G41" s="17">
        <v>3</v>
      </c>
      <c r="H41" s="11"/>
      <c r="I41" s="11"/>
      <c r="J41" s="11" t="s">
        <v>4488</v>
      </c>
      <c r="K41" s="11" t="s">
        <v>4489</v>
      </c>
      <c r="L41" s="11">
        <v>2</v>
      </c>
      <c r="M41" s="31">
        <v>45500.459074074075</v>
      </c>
      <c r="N41" s="11"/>
      <c r="O41" s="11"/>
      <c r="P41" s="11" t="s">
        <v>4341</v>
      </c>
      <c r="Q41" s="1" t="s">
        <v>4486</v>
      </c>
      <c r="R41" s="11"/>
      <c r="S41" s="21" t="str">
        <f>HYPERLINK("https://www.google.com/maps/search/" &amp; Table24[[#This Row],[Tên hẻm]], "Xem trên Google Maps")</f>
        <v>Xem trên Google Maps</v>
      </c>
      <c r="T41" s="14" t="str">
        <f>"Hẻm "&amp;Table24[[#This Row],[Hẻm]]&amp;" "&amp;Table24[[#This Row],[Tuyến đường]]&amp;", Phường "&amp;Table24[[#This Row],[Phường]]&amp;", Quận "&amp;Table24[[#This Row],[Quận]]</f>
        <v>Hẻm 210/18 CMT8, Phường 10, Quận 3</v>
      </c>
      <c r="U41" s="21"/>
      <c r="V41" s="56" t="e">
        <f>HYPERLINK("https://www.google.com/maps/search/?api=1&amp;query=" &amp; _xlfn.ENCODEURL(Table24[[#This Row],[Tên hẻm]]), "Link Google Map")</f>
        <v>#VALUE!</v>
      </c>
    </row>
    <row r="42" spans="1:22" hidden="1">
      <c r="A42" s="11">
        <v>53</v>
      </c>
      <c r="B42" s="16">
        <v>292</v>
      </c>
      <c r="C42" s="16" t="s">
        <v>4445</v>
      </c>
      <c r="D42" s="11">
        <v>3</v>
      </c>
      <c r="E42" s="11">
        <v>10</v>
      </c>
      <c r="F42" s="11" t="s">
        <v>4476</v>
      </c>
      <c r="G42" s="17" t="s">
        <v>4367</v>
      </c>
      <c r="H42" s="11"/>
      <c r="I42" s="11"/>
      <c r="J42" s="11" t="s">
        <v>4490</v>
      </c>
      <c r="K42" s="11" t="s">
        <v>4491</v>
      </c>
      <c r="L42" s="11">
        <v>7</v>
      </c>
      <c r="M42" s="31">
        <v>45500.461192129631</v>
      </c>
      <c r="N42" s="11"/>
      <c r="O42" s="11"/>
      <c r="P42" s="11" t="s">
        <v>4341</v>
      </c>
      <c r="Q42" s="1" t="s">
        <v>4492</v>
      </c>
      <c r="R42" s="11"/>
      <c r="S42" s="21" t="str">
        <f>HYPERLINK("https://www.google.com/maps/search/" &amp; Table24[[#This Row],[Tên hẻm]], "Xem trên Google Maps")</f>
        <v>Xem trên Google Maps</v>
      </c>
      <c r="T42" s="14" t="str">
        <f>"Hẻm "&amp;Table24[[#This Row],[Hẻm]]&amp;" "&amp;Table24[[#This Row],[Tuyến đường]]&amp;", Phường "&amp;Table24[[#This Row],[Phường]]&amp;", Quận "&amp;Table24[[#This Row],[Quận]]</f>
        <v>Hẻm 292 CMT8, Phường 10, Quận 3</v>
      </c>
      <c r="U42" s="21"/>
      <c r="V42" s="56" t="e">
        <f>HYPERLINK("https://www.google.com/maps/search/?api=1&amp;query=" &amp; _xlfn.ENCODEURL(Table24[[#This Row],[Tên hẻm]]), "Link Google Map")</f>
        <v>#VALUE!</v>
      </c>
    </row>
    <row r="43" spans="1:22" hidden="1">
      <c r="A43" s="11">
        <v>54</v>
      </c>
      <c r="B43" s="16">
        <v>262</v>
      </c>
      <c r="C43" s="16" t="s">
        <v>4445</v>
      </c>
      <c r="D43" s="11">
        <v>3</v>
      </c>
      <c r="E43" s="11">
        <v>10</v>
      </c>
      <c r="F43" s="11" t="s">
        <v>4476</v>
      </c>
      <c r="G43" s="17" t="s">
        <v>4343</v>
      </c>
      <c r="H43" s="11"/>
      <c r="I43" s="11"/>
      <c r="J43" s="11" t="s">
        <v>4493</v>
      </c>
      <c r="K43" s="11" t="s">
        <v>4494</v>
      </c>
      <c r="L43" s="11">
        <v>2</v>
      </c>
      <c r="M43" s="31">
        <v>45500.462488425925</v>
      </c>
      <c r="N43" s="11"/>
      <c r="O43" s="11"/>
      <c r="P43" s="11" t="s">
        <v>4341</v>
      </c>
      <c r="Q43" s="1" t="s">
        <v>4495</v>
      </c>
      <c r="R43" s="11"/>
      <c r="S43" s="21" t="str">
        <f>HYPERLINK("https://www.google.com/maps/search/" &amp; Table24[[#This Row],[Tên hẻm]], "Xem trên Google Maps")</f>
        <v>Xem trên Google Maps</v>
      </c>
      <c r="T43" s="14" t="str">
        <f>"Hẻm "&amp;Table24[[#This Row],[Hẻm]]&amp;" "&amp;Table24[[#This Row],[Tuyến đường]]&amp;", Phường "&amp;Table24[[#This Row],[Phường]]&amp;", Quận "&amp;Table24[[#This Row],[Quận]]</f>
        <v>Hẻm 262 CMT8, Phường 10, Quận 3</v>
      </c>
      <c r="U43" s="21"/>
      <c r="V43" s="56" t="e">
        <f>HYPERLINK("https://www.google.com/maps/search/?api=1&amp;query=" &amp; _xlfn.ENCODEURL(Table24[[#This Row],[Tên hẻm]]), "Link Google Map")</f>
        <v>#VALUE!</v>
      </c>
    </row>
    <row r="44" spans="1:22" hidden="1">
      <c r="A44" s="11">
        <v>55</v>
      </c>
      <c r="B44" s="16">
        <v>348</v>
      </c>
      <c r="C44" s="16" t="s">
        <v>4445</v>
      </c>
      <c r="D44" s="11">
        <v>3</v>
      </c>
      <c r="E44" s="11">
        <v>10</v>
      </c>
      <c r="F44" s="11" t="s">
        <v>4496</v>
      </c>
      <c r="G44" s="17">
        <v>3</v>
      </c>
      <c r="H44" s="11"/>
      <c r="I44" s="11"/>
      <c r="J44" s="11" t="s">
        <v>4497</v>
      </c>
      <c r="K44" s="11" t="s">
        <v>4498</v>
      </c>
      <c r="L44" s="11">
        <v>7</v>
      </c>
      <c r="M44" s="31">
        <v>45500.463796296295</v>
      </c>
      <c r="N44" s="11"/>
      <c r="O44" s="11"/>
      <c r="P44" s="11" t="s">
        <v>4341</v>
      </c>
      <c r="Q44" s="1" t="s">
        <v>4499</v>
      </c>
      <c r="R44" s="11"/>
      <c r="S44" s="21" t="str">
        <f>HYPERLINK("https://www.google.com/maps/search/" &amp; Table24[[#This Row],[Tên hẻm]], "Xem trên Google Maps")</f>
        <v>Xem trên Google Maps</v>
      </c>
      <c r="T44" s="14" t="str">
        <f>"Hẻm "&amp;Table24[[#This Row],[Hẻm]]&amp;" "&amp;Table24[[#This Row],[Tuyến đường]]&amp;", Phường "&amp;Table24[[#This Row],[Phường]]&amp;", Quận "&amp;Table24[[#This Row],[Quận]]</f>
        <v>Hẻm 348 CMT8, Phường 10, Quận 3</v>
      </c>
      <c r="U44" s="21"/>
      <c r="V44" s="56" t="e">
        <f>HYPERLINK("https://www.google.com/maps/search/?api=1&amp;query=" &amp; _xlfn.ENCODEURL(Table24[[#This Row],[Tên hẻm]]), "Link Google Map")</f>
        <v>#VALUE!</v>
      </c>
    </row>
    <row r="45" spans="1:22" hidden="1">
      <c r="A45" s="11">
        <v>56</v>
      </c>
      <c r="B45" s="16">
        <v>46</v>
      </c>
      <c r="C45" s="16" t="s">
        <v>4464</v>
      </c>
      <c r="D45" s="11">
        <v>3</v>
      </c>
      <c r="E45" s="11">
        <v>4</v>
      </c>
      <c r="F45" s="11" t="s">
        <v>4362</v>
      </c>
      <c r="G45" s="17" t="s">
        <v>4338</v>
      </c>
      <c r="H45" s="11"/>
      <c r="I45" s="11"/>
      <c r="J45" s="11" t="s">
        <v>4500</v>
      </c>
      <c r="K45" s="11" t="s">
        <v>4501</v>
      </c>
      <c r="L45" s="11">
        <v>4</v>
      </c>
      <c r="M45" s="31">
        <v>45500.464999999997</v>
      </c>
      <c r="N45" s="11"/>
      <c r="O45" s="11"/>
      <c r="P45" s="11" t="s">
        <v>4341</v>
      </c>
      <c r="Q45" s="1" t="s">
        <v>4502</v>
      </c>
      <c r="R45" s="11"/>
      <c r="S45" s="21" t="str">
        <f>HYPERLINK("https://www.google.com/maps/search/" &amp; Table24[[#This Row],[Tên hẻm]], "Xem trên Google Maps")</f>
        <v>Xem trên Google Maps</v>
      </c>
      <c r="T45" s="14" t="str">
        <f>"Hẻm "&amp;Table24[[#This Row],[Hẻm]]&amp;" "&amp;Table24[[#This Row],[Tuyến đường]]&amp;", Phường "&amp;Table24[[#This Row],[Phường]]&amp;", Quận "&amp;Table24[[#This Row],[Quận]]</f>
        <v>Hẻm 46 Vườn Chuối , Phường 4, Quận 3</v>
      </c>
      <c r="U45" s="21"/>
      <c r="V45" s="56" t="e">
        <f>HYPERLINK("https://www.google.com/maps/search/?api=1&amp;query=" &amp; _xlfn.ENCODEURL(Table24[[#This Row],[Tên hẻm]]), "Link Google Map")</f>
        <v>#VALUE!</v>
      </c>
    </row>
    <row r="46" spans="1:22" hidden="1">
      <c r="A46" s="11">
        <v>57</v>
      </c>
      <c r="B46" s="16">
        <v>18</v>
      </c>
      <c r="C46" s="16" t="s">
        <v>4464</v>
      </c>
      <c r="D46" s="11">
        <v>3</v>
      </c>
      <c r="E46" s="11">
        <v>4</v>
      </c>
      <c r="F46" s="11" t="s">
        <v>4465</v>
      </c>
      <c r="G46" s="17" t="s">
        <v>4367</v>
      </c>
      <c r="H46" s="11"/>
      <c r="I46" s="11"/>
      <c r="J46" s="11" t="s">
        <v>4503</v>
      </c>
      <c r="K46" s="11" t="s">
        <v>4504</v>
      </c>
      <c r="L46" s="11">
        <v>3</v>
      </c>
      <c r="M46" s="31">
        <v>45500.466620370367</v>
      </c>
      <c r="N46" s="11"/>
      <c r="O46" s="11"/>
      <c r="P46" s="11" t="s">
        <v>4341</v>
      </c>
      <c r="Q46" s="1" t="s">
        <v>4505</v>
      </c>
      <c r="R46" s="11"/>
      <c r="S46" s="21" t="str">
        <f>HYPERLINK("https://www.google.com/maps/search/" &amp; Table24[[#This Row],[Tên hẻm]], "Xem trên Google Maps")</f>
        <v>Xem trên Google Maps</v>
      </c>
      <c r="T46" s="14" t="str">
        <f>"Hẻm "&amp;Table24[[#This Row],[Hẻm]]&amp;" "&amp;Table24[[#This Row],[Tuyến đường]]&amp;", Phường "&amp;Table24[[#This Row],[Phường]]&amp;", Quận "&amp;Table24[[#This Row],[Quận]]</f>
        <v>Hẻm 18 Vườn Chuối , Phường 4, Quận 3</v>
      </c>
      <c r="U46" s="21"/>
      <c r="V46" s="56" t="e">
        <f>HYPERLINK("https://www.google.com/maps/search/?api=1&amp;query=" &amp; _xlfn.ENCODEURL(Table24[[#This Row],[Tên hẻm]]), "Link Google Map")</f>
        <v>#VALUE!</v>
      </c>
    </row>
    <row r="47" spans="1:22" hidden="1">
      <c r="A47" s="11">
        <v>58</v>
      </c>
      <c r="B47" s="16">
        <v>153</v>
      </c>
      <c r="C47" s="16" t="s">
        <v>4506</v>
      </c>
      <c r="D47" s="11">
        <v>3</v>
      </c>
      <c r="E47" s="11">
        <v>9</v>
      </c>
      <c r="F47" s="11" t="s">
        <v>4507</v>
      </c>
      <c r="G47" s="17" t="s">
        <v>4508</v>
      </c>
      <c r="H47" s="11"/>
      <c r="I47" s="11"/>
      <c r="J47" s="11" t="s">
        <v>4509</v>
      </c>
      <c r="K47" s="11" t="s">
        <v>4510</v>
      </c>
      <c r="L47" s="11">
        <v>5</v>
      </c>
      <c r="M47" s="31">
        <v>45500.468819444446</v>
      </c>
      <c r="N47" s="11"/>
      <c r="O47" s="11"/>
      <c r="P47" s="11" t="s">
        <v>4341</v>
      </c>
      <c r="Q47" s="1" t="s">
        <v>4511</v>
      </c>
      <c r="R47" s="11"/>
      <c r="S47" s="21" t="str">
        <f>HYPERLINK("https://www.google.com/maps/search/" &amp; Table24[[#This Row],[Tên hẻm]], "Xem trên Google Maps")</f>
        <v>Xem trên Google Maps</v>
      </c>
      <c r="T47" s="14" t="str">
        <f>"Hẻm "&amp;Table24[[#This Row],[Hẻm]]&amp;" "&amp;Table24[[#This Row],[Tuyến đường]]&amp;", Phường "&amp;Table24[[#This Row],[Phường]]&amp;", Quận "&amp;Table24[[#This Row],[Quận]]</f>
        <v>Hẻm 153 Nguyễn Thông, Phường 9, Quận 3</v>
      </c>
      <c r="U47" s="21"/>
      <c r="V47" s="56" t="e">
        <f>HYPERLINK("https://www.google.com/maps/search/?api=1&amp;query=" &amp; _xlfn.ENCODEURL(Table24[[#This Row],[Tên hẻm]]), "Link Google Map")</f>
        <v>#VALUE!</v>
      </c>
    </row>
    <row r="48" spans="1:22" ht="31.5" hidden="1">
      <c r="A48" s="11">
        <v>59</v>
      </c>
      <c r="B48" s="16" t="s">
        <v>4512</v>
      </c>
      <c r="C48" s="16" t="s">
        <v>4471</v>
      </c>
      <c r="D48" s="11">
        <v>3</v>
      </c>
      <c r="E48" s="11">
        <v>14</v>
      </c>
      <c r="F48" s="11" t="s">
        <v>4513</v>
      </c>
      <c r="G48" s="17">
        <v>3</v>
      </c>
      <c r="H48" s="11"/>
      <c r="I48" s="11"/>
      <c r="J48" s="11" t="s">
        <v>4514</v>
      </c>
      <c r="K48" s="11" t="s">
        <v>4515</v>
      </c>
      <c r="L48" s="11">
        <v>19</v>
      </c>
      <c r="M48" s="31">
        <v>45500.471805555557</v>
      </c>
      <c r="N48" s="11"/>
      <c r="O48" s="11"/>
      <c r="P48" s="11" t="s">
        <v>4341</v>
      </c>
      <c r="Q48" s="1" t="s">
        <v>4516</v>
      </c>
      <c r="R48" s="11"/>
      <c r="S48" s="21" t="str">
        <f>HYPERLINK("https://www.google.com/maps/search/" &amp; Table24[[#This Row],[Tên hẻm]], "Xem trên Google Maps")</f>
        <v>Xem trên Google Maps</v>
      </c>
      <c r="T48" s="14" t="str">
        <f>"Hẻm "&amp;Table24[[#This Row],[Hẻm]]&amp;" "&amp;Table24[[#This Row],[Tuyến đường]]&amp;", Phường "&amp;Table24[[#This Row],[Phường]]&amp;", Quận "&amp;Table24[[#This Row],[Quận]]</f>
        <v>Hẻm 108+136+80 Trần Quang Diệu , Phường 14, Quận 3</v>
      </c>
      <c r="U48" s="21"/>
      <c r="V48" s="56" t="e">
        <f>HYPERLINK("https://www.google.com/maps/search/?api=1&amp;query=" &amp; _xlfn.ENCODEURL(Table24[[#This Row],[Tên hẻm]]), "Link Google Map")</f>
        <v>#VALUE!</v>
      </c>
    </row>
    <row r="49" spans="1:22" hidden="1">
      <c r="A49" s="11">
        <v>60</v>
      </c>
      <c r="B49" s="16">
        <v>351</v>
      </c>
      <c r="C49" s="16" t="s">
        <v>4380</v>
      </c>
      <c r="D49" s="11">
        <v>3</v>
      </c>
      <c r="E49" s="11">
        <v>13</v>
      </c>
      <c r="F49" s="11" t="s">
        <v>4460</v>
      </c>
      <c r="G49" s="17" t="s">
        <v>4343</v>
      </c>
      <c r="H49" s="11"/>
      <c r="I49" s="11"/>
      <c r="J49" s="11" t="s">
        <v>4517</v>
      </c>
      <c r="K49" s="11" t="s">
        <v>4518</v>
      </c>
      <c r="L49" s="11">
        <v>10</v>
      </c>
      <c r="M49" s="31">
        <v>45500.473379629628</v>
      </c>
      <c r="N49" s="11"/>
      <c r="O49" s="11"/>
      <c r="P49" s="11" t="s">
        <v>4341</v>
      </c>
      <c r="Q49" s="1" t="s">
        <v>4519</v>
      </c>
      <c r="R49" s="11"/>
      <c r="S49" s="21" t="str">
        <f>HYPERLINK("https://www.google.com/maps/search/" &amp; Table24[[#This Row],[Tên hẻm]], "Xem trên Google Maps")</f>
        <v>Xem trên Google Maps</v>
      </c>
      <c r="T49" s="14" t="str">
        <f>"Hẻm "&amp;Table24[[#This Row],[Hẻm]]&amp;" "&amp;Table24[[#This Row],[Tuyến đường]]&amp;", Phường "&amp;Table24[[#This Row],[Phường]]&amp;", Quận "&amp;Table24[[#This Row],[Quận]]</f>
        <v>Hẻm 351 Lê Văn Sỹ , Phường 13, Quận 3</v>
      </c>
      <c r="U49" s="21"/>
      <c r="V49" s="56" t="e">
        <f>HYPERLINK("https://www.google.com/maps/search/?api=1&amp;query=" &amp; _xlfn.ENCODEURL(Table24[[#This Row],[Tên hẻm]]), "Link Google Map")</f>
        <v>#VALUE!</v>
      </c>
    </row>
    <row r="50" spans="1:22" ht="31.5" hidden="1">
      <c r="A50" s="11">
        <v>61</v>
      </c>
      <c r="B50" s="16" t="s">
        <v>4520</v>
      </c>
      <c r="C50" s="16" t="s">
        <v>4380</v>
      </c>
      <c r="D50" s="11">
        <v>3</v>
      </c>
      <c r="E50" s="11">
        <v>14</v>
      </c>
      <c r="F50" s="11" t="s">
        <v>4460</v>
      </c>
      <c r="G50" s="17" t="s">
        <v>4363</v>
      </c>
      <c r="H50" s="11"/>
      <c r="I50" s="11"/>
      <c r="J50" s="11" t="s">
        <v>4521</v>
      </c>
      <c r="K50" s="11" t="s">
        <v>4522</v>
      </c>
      <c r="L50" s="11">
        <v>6</v>
      </c>
      <c r="M50" s="31">
        <v>45500.475081018521</v>
      </c>
      <c r="N50" s="11"/>
      <c r="O50" s="11"/>
      <c r="P50" s="11" t="s">
        <v>4341</v>
      </c>
      <c r="Q50" s="1" t="s">
        <v>4523</v>
      </c>
      <c r="R50" s="11"/>
      <c r="S50" s="21" t="str">
        <f>HYPERLINK("https://www.google.com/maps/search/" &amp; Table24[[#This Row],[Tên hẻm]], "Xem trên Google Maps")</f>
        <v>Xem trên Google Maps</v>
      </c>
      <c r="T50" s="14" t="str">
        <f>"Hẻm "&amp;Table24[[#This Row],[Hẻm]]&amp;" "&amp;Table24[[#This Row],[Tuyến đường]]&amp;", Phường "&amp;Table24[[#This Row],[Phường]]&amp;", Quận "&amp;Table24[[#This Row],[Quận]]</f>
        <v>Hẻm 420 và 448 Lê Văn Sỹ , Phường 14, Quận 3</v>
      </c>
      <c r="U50" s="21"/>
      <c r="V50" s="56" t="e">
        <f>HYPERLINK("https://www.google.com/maps/search/?api=1&amp;query=" &amp; _xlfn.ENCODEURL(Table24[[#This Row],[Tên hẻm]]), "Link Google Map")</f>
        <v>#VALUE!</v>
      </c>
    </row>
    <row r="51" spans="1:22" hidden="1">
      <c r="A51" s="11">
        <v>62</v>
      </c>
      <c r="B51" s="16">
        <v>339</v>
      </c>
      <c r="C51" s="16" t="s">
        <v>4380</v>
      </c>
      <c r="D51" s="11">
        <v>3</v>
      </c>
      <c r="E51" s="11">
        <v>13</v>
      </c>
      <c r="F51" s="11" t="s">
        <v>4460</v>
      </c>
      <c r="G51" s="17" t="s">
        <v>4343</v>
      </c>
      <c r="H51" s="11"/>
      <c r="I51" s="11"/>
      <c r="J51" s="11" t="s">
        <v>4524</v>
      </c>
      <c r="K51" s="11" t="s">
        <v>4525</v>
      </c>
      <c r="L51" s="11">
        <v>11</v>
      </c>
      <c r="M51" s="31">
        <v>45500.477164351854</v>
      </c>
      <c r="N51" s="11"/>
      <c r="O51" s="11"/>
      <c r="P51" s="11" t="s">
        <v>4341</v>
      </c>
      <c r="Q51" s="1" t="s">
        <v>4526</v>
      </c>
      <c r="R51" s="11"/>
      <c r="S51" s="21" t="str">
        <f>HYPERLINK("https://www.google.com/maps/search/" &amp; Table24[[#This Row],[Tên hẻm]], "Xem trên Google Maps")</f>
        <v>Xem trên Google Maps</v>
      </c>
      <c r="T51" s="14" t="str">
        <f>"Hẻm "&amp;Table24[[#This Row],[Hẻm]]&amp;" "&amp;Table24[[#This Row],[Tuyến đường]]&amp;", Phường "&amp;Table24[[#This Row],[Phường]]&amp;", Quận "&amp;Table24[[#This Row],[Quận]]</f>
        <v>Hẻm 339 Lê Văn Sỹ , Phường 13, Quận 3</v>
      </c>
      <c r="U51" s="21"/>
      <c r="V51" s="56" t="e">
        <f>HYPERLINK("https://www.google.com/maps/search/?api=1&amp;query=" &amp; _xlfn.ENCODEURL(Table24[[#This Row],[Tên hẻm]]), "Link Google Map")</f>
        <v>#VALUE!</v>
      </c>
    </row>
    <row r="52" spans="1:22" ht="31.5" hidden="1">
      <c r="A52" s="11">
        <v>63</v>
      </c>
      <c r="B52" s="16" t="s">
        <v>4527</v>
      </c>
      <c r="C52" s="16" t="s">
        <v>4528</v>
      </c>
      <c r="D52" s="11">
        <v>3</v>
      </c>
      <c r="E52" s="11">
        <v>2</v>
      </c>
      <c r="F52" s="11" t="s">
        <v>4529</v>
      </c>
      <c r="G52" s="17" t="s">
        <v>4338</v>
      </c>
      <c r="H52" s="11"/>
      <c r="I52" s="11"/>
      <c r="J52" s="11" t="s">
        <v>4530</v>
      </c>
      <c r="K52" s="11" t="s">
        <v>4531</v>
      </c>
      <c r="L52" s="11">
        <v>4</v>
      </c>
      <c r="M52" s="31">
        <v>45500.479363425926</v>
      </c>
      <c r="N52" s="11"/>
      <c r="O52" s="11"/>
      <c r="P52" s="11" t="s">
        <v>4341</v>
      </c>
      <c r="Q52" s="1" t="s">
        <v>4532</v>
      </c>
      <c r="R52" s="11"/>
      <c r="S52" s="21" t="str">
        <f>HYPERLINK("https://www.google.com/maps/search/" &amp; Table24[[#This Row],[Tên hẻm]], "Xem trên Google Maps")</f>
        <v>Xem trên Google Maps</v>
      </c>
      <c r="T52" s="14" t="str">
        <f>"Hẻm "&amp;Table24[[#This Row],[Hẻm]]&amp;" "&amp;Table24[[#This Row],[Tuyến đường]]&amp;", Phường "&amp;Table24[[#This Row],[Phường]]&amp;", Quận "&amp;Table24[[#This Row],[Quận]]</f>
        <v>Hẻm 16/87 Nguyễn Thiện Thuật , Phường 2, Quận 3</v>
      </c>
      <c r="U52" s="21"/>
      <c r="V52" s="56" t="e">
        <f>HYPERLINK("https://www.google.com/maps/search/?api=1&amp;query=" &amp; _xlfn.ENCODEURL(Table24[[#This Row],[Tên hẻm]]), "Link Google Map")</f>
        <v>#VALUE!</v>
      </c>
    </row>
    <row r="53" spans="1:22" hidden="1">
      <c r="A53" s="11">
        <v>64</v>
      </c>
      <c r="B53" s="16">
        <v>400</v>
      </c>
      <c r="C53" s="16" t="s">
        <v>4380</v>
      </c>
      <c r="D53" s="11">
        <v>3</v>
      </c>
      <c r="E53" s="11">
        <v>14</v>
      </c>
      <c r="F53" s="11" t="s">
        <v>4460</v>
      </c>
      <c r="G53" s="17">
        <v>4</v>
      </c>
      <c r="H53" s="11"/>
      <c r="I53" s="11"/>
      <c r="J53" s="11" t="s">
        <v>4533</v>
      </c>
      <c r="K53" s="11" t="s">
        <v>4534</v>
      </c>
      <c r="L53" s="11">
        <v>3</v>
      </c>
      <c r="M53" s="31">
        <v>45500.480856481481</v>
      </c>
      <c r="N53" s="11"/>
      <c r="O53" s="11"/>
      <c r="P53" s="11" t="s">
        <v>4341</v>
      </c>
      <c r="Q53" s="1" t="s">
        <v>4535</v>
      </c>
      <c r="R53" s="11"/>
      <c r="S53" s="21" t="str">
        <f>HYPERLINK("https://www.google.com/maps/search/" &amp; Table24[[#This Row],[Tên hẻm]], "Xem trên Google Maps")</f>
        <v>Xem trên Google Maps</v>
      </c>
      <c r="T53" s="14" t="str">
        <f>"Hẻm "&amp;Table24[[#This Row],[Hẻm]]&amp;" "&amp;Table24[[#This Row],[Tuyến đường]]&amp;", Phường "&amp;Table24[[#This Row],[Phường]]&amp;", Quận "&amp;Table24[[#This Row],[Quận]]</f>
        <v>Hẻm 400 Lê Văn Sỹ , Phường 14, Quận 3</v>
      </c>
      <c r="U53" s="21"/>
      <c r="V53" s="56" t="e">
        <f>HYPERLINK("https://www.google.com/maps/search/?api=1&amp;query=" &amp; _xlfn.ENCODEURL(Table24[[#This Row],[Tên hẻm]]), "Link Google Map")</f>
        <v>#VALUE!</v>
      </c>
    </row>
    <row r="54" spans="1:22" hidden="1">
      <c r="A54" s="11">
        <v>65</v>
      </c>
      <c r="B54" s="16">
        <v>386</v>
      </c>
      <c r="C54" s="16" t="s">
        <v>4380</v>
      </c>
      <c r="D54" s="11">
        <v>3</v>
      </c>
      <c r="E54" s="11">
        <v>14</v>
      </c>
      <c r="F54" s="11" t="s">
        <v>4460</v>
      </c>
      <c r="G54" s="17" t="s">
        <v>4367</v>
      </c>
      <c r="H54" s="11"/>
      <c r="I54" s="11"/>
      <c r="J54" s="11" t="s">
        <v>4536</v>
      </c>
      <c r="K54" s="11" t="s">
        <v>4537</v>
      </c>
      <c r="L54" s="11">
        <v>17</v>
      </c>
      <c r="M54" s="31">
        <v>45500.482499999998</v>
      </c>
      <c r="N54" s="11"/>
      <c r="O54" s="11"/>
      <c r="P54" s="11" t="s">
        <v>4341</v>
      </c>
      <c r="Q54" s="1" t="s">
        <v>4535</v>
      </c>
      <c r="R54" s="11"/>
      <c r="S54" s="21" t="str">
        <f>HYPERLINK("https://www.google.com/maps/search/" &amp; Table24[[#This Row],[Tên hẻm]], "Xem trên Google Maps")</f>
        <v>Xem trên Google Maps</v>
      </c>
      <c r="T54" s="14" t="str">
        <f>"Hẻm "&amp;Table24[[#This Row],[Hẻm]]&amp;" "&amp;Table24[[#This Row],[Tuyến đường]]&amp;", Phường "&amp;Table24[[#This Row],[Phường]]&amp;", Quận "&amp;Table24[[#This Row],[Quận]]</f>
        <v>Hẻm 386 Lê Văn Sỹ , Phường 14, Quận 3</v>
      </c>
      <c r="U54" s="21"/>
      <c r="V54" s="56" t="e">
        <f>HYPERLINK("https://www.google.com/maps/search/?api=1&amp;query=" &amp; _xlfn.ENCODEURL(Table24[[#This Row],[Tên hẻm]]), "Link Google Map")</f>
        <v>#VALUE!</v>
      </c>
    </row>
    <row r="55" spans="1:22" ht="20.25" hidden="1" customHeight="1">
      <c r="A55" s="11">
        <v>76</v>
      </c>
      <c r="B55" s="16">
        <v>82</v>
      </c>
      <c r="C55" s="16" t="s">
        <v>4353</v>
      </c>
      <c r="D55" s="11">
        <v>3</v>
      </c>
      <c r="E55" s="11">
        <v>8</v>
      </c>
      <c r="F55" s="11" t="s">
        <v>4538</v>
      </c>
      <c r="G55" s="17">
        <v>3</v>
      </c>
      <c r="H55" s="11"/>
      <c r="I55" s="11"/>
      <c r="J55" s="11" t="s">
        <v>4539</v>
      </c>
      <c r="K55" s="11" t="s">
        <v>4540</v>
      </c>
      <c r="L55" s="11">
        <v>1</v>
      </c>
      <c r="M55" s="31">
        <v>45501.106342592589</v>
      </c>
      <c r="N55" s="11"/>
      <c r="O55" s="11"/>
      <c r="P55" s="11" t="s">
        <v>4341</v>
      </c>
      <c r="Q55" s="11"/>
      <c r="R55" s="11"/>
      <c r="S55" s="21" t="str">
        <f>HYPERLINK("https://www.google.com/maps/search/" &amp; Table24[[#This Row],[Tên hẻm]], "Xem trên Google Maps")</f>
        <v>Xem trên Google Maps</v>
      </c>
      <c r="T55" s="14" t="str">
        <f>"Hẻm "&amp;Table24[[#This Row],[Hẻm]]&amp;" "&amp;Table24[[#This Row],[Tuyến đường]]&amp;", Phường "&amp;Table24[[#This Row],[Phường]]&amp;", Quận "&amp;Table24[[#This Row],[Quận]]</f>
        <v>Hẻm 82 Lý Chính Thắng , Phường 8, Quận 3</v>
      </c>
      <c r="U55" s="21"/>
      <c r="V55" s="56" t="e">
        <f>HYPERLINK("https://www.google.com/maps/search/?api=1&amp;query=" &amp; _xlfn.ENCODEURL(Table24[[#This Row],[Tên hẻm]]), "Link Google Map")</f>
        <v>#VALUE!</v>
      </c>
    </row>
    <row r="56" spans="1:22" ht="48.75" hidden="1" customHeight="1">
      <c r="A56" s="11">
        <v>77</v>
      </c>
      <c r="B56" s="16">
        <v>342</v>
      </c>
      <c r="C56" s="16" t="s">
        <v>4541</v>
      </c>
      <c r="D56" s="11">
        <v>8</v>
      </c>
      <c r="E56" s="11">
        <v>15</v>
      </c>
      <c r="F56" s="11" t="s">
        <v>4542</v>
      </c>
      <c r="G56" s="17">
        <v>3</v>
      </c>
      <c r="H56" s="11"/>
      <c r="I56" s="11"/>
      <c r="J56" s="11" t="s">
        <v>4541</v>
      </c>
      <c r="K56" s="11" t="s">
        <v>4543</v>
      </c>
      <c r="L56" s="11">
        <v>5</v>
      </c>
      <c r="M56" s="31">
        <v>45502.028715277775</v>
      </c>
      <c r="N56" s="11"/>
      <c r="O56" s="11"/>
      <c r="P56" s="11" t="s">
        <v>4544</v>
      </c>
      <c r="Q56" s="24" t="s">
        <v>4545</v>
      </c>
      <c r="R56" s="11"/>
      <c r="S56" s="25" t="str">
        <f>HYPERLINK("https://www.google.com/maps/search/" &amp; Table24[[#This Row],[Tên hẻm]], "Xem trên Google Maps")</f>
        <v>Xem trên Google Maps</v>
      </c>
      <c r="T56" s="14" t="str">
        <f>"Hẻm "&amp;Table24[[#This Row],[Hẻm]]&amp;" "&amp;Table24[[#This Row],[Tuyến đường]]&amp;", Phường "&amp;Table24[[#This Row],[Phường]]&amp;", Quận "&amp;Table24[[#This Row],[Quận]]</f>
        <v>Hẻm 342 Lưu Hữu Phước , Phường 15, Quận 8</v>
      </c>
      <c r="U56" s="25"/>
      <c r="V56" s="56" t="e">
        <f>HYPERLINK("https://www.google.com/maps/search/?api=1&amp;query=" &amp; _xlfn.ENCODEURL(Table24[[#This Row],[Tên hẻm]]), "Link Google Map")</f>
        <v>#VALUE!</v>
      </c>
    </row>
    <row r="57" spans="1:22" ht="48.75" hidden="1" customHeight="1">
      <c r="A57" s="11">
        <v>78</v>
      </c>
      <c r="B57" s="16">
        <v>89</v>
      </c>
      <c r="C57" s="16" t="s">
        <v>4546</v>
      </c>
      <c r="D57" s="11">
        <v>8</v>
      </c>
      <c r="E57" s="11">
        <v>12</v>
      </c>
      <c r="F57" s="11" t="s">
        <v>4547</v>
      </c>
      <c r="G57" s="17">
        <v>3</v>
      </c>
      <c r="H57" s="11"/>
      <c r="I57" s="11"/>
      <c r="J57" s="11" t="s">
        <v>4548</v>
      </c>
      <c r="K57" s="11" t="s">
        <v>4549</v>
      </c>
      <c r="L57" s="11">
        <v>6</v>
      </c>
      <c r="M57" s="31">
        <v>45502.057500000003</v>
      </c>
      <c r="N57" s="11"/>
      <c r="O57" s="11"/>
      <c r="P57" s="11" t="s">
        <v>4544</v>
      </c>
      <c r="Q57" s="24" t="s">
        <v>4550</v>
      </c>
      <c r="R57" s="11"/>
      <c r="S57" s="25" t="str">
        <f>HYPERLINK("https://www.google.com/maps/search/" &amp; Table24[[#This Row],[Tên hẻm]], "Xem trên Google Maps")</f>
        <v>Xem trên Google Maps</v>
      </c>
      <c r="T57" s="14" t="str">
        <f>"Hẻm "&amp;Table24[[#This Row],[Hẻm]]&amp;" "&amp;Table24[[#This Row],[Tuyến đường]]&amp;", Phường "&amp;Table24[[#This Row],[Phường]]&amp;", Quận "&amp;Table24[[#This Row],[Quận]]</f>
        <v>Hẻm 89 Nguyễn Chế Nghĩa , Phường 12, Quận 8</v>
      </c>
      <c r="U57" s="25"/>
      <c r="V57" s="56" t="e">
        <f>HYPERLINK("https://www.google.com/maps/search/?api=1&amp;query=" &amp; _xlfn.ENCODEURL(Table24[[#This Row],[Tên hẻm]]), "Link Google Map")</f>
        <v>#VALUE!</v>
      </c>
    </row>
    <row r="58" spans="1:22" ht="48.75" hidden="1" customHeight="1">
      <c r="A58" s="11">
        <v>79</v>
      </c>
      <c r="B58" s="16">
        <v>107</v>
      </c>
      <c r="C58" s="16" t="s">
        <v>4546</v>
      </c>
      <c r="D58" s="11">
        <v>8</v>
      </c>
      <c r="E58" s="11">
        <v>12</v>
      </c>
      <c r="F58" s="11" t="s">
        <v>2307</v>
      </c>
      <c r="G58" s="17">
        <v>4</v>
      </c>
      <c r="H58" s="11"/>
      <c r="I58" s="11"/>
      <c r="J58" s="11" t="s">
        <v>4548</v>
      </c>
      <c r="K58" s="11" t="s">
        <v>4549</v>
      </c>
      <c r="L58" s="11">
        <v>4</v>
      </c>
      <c r="M58" s="31">
        <v>45502.060185185182</v>
      </c>
      <c r="N58" s="11"/>
      <c r="O58" s="11"/>
      <c r="P58" s="11" t="s">
        <v>4544</v>
      </c>
      <c r="Q58" s="24" t="s">
        <v>4550</v>
      </c>
      <c r="R58" s="11"/>
      <c r="S58" s="25" t="str">
        <f>HYPERLINK("https://www.google.com/maps/search/" &amp; Table24[[#This Row],[Tên hẻm]], "Xem trên Google Maps")</f>
        <v>Xem trên Google Maps</v>
      </c>
      <c r="T58" s="14" t="str">
        <f>"Hẻm "&amp;Table24[[#This Row],[Hẻm]]&amp;" "&amp;Table24[[#This Row],[Tuyến đường]]&amp;", Phường "&amp;Table24[[#This Row],[Phường]]&amp;", Quận "&amp;Table24[[#This Row],[Quận]]</f>
        <v>Hẻm 107 Nguyễn Chế Nghĩa , Phường 12, Quận 8</v>
      </c>
      <c r="U58" s="25"/>
      <c r="V58" s="56" t="e">
        <f>HYPERLINK("https://www.google.com/maps/search/?api=1&amp;query=" &amp; _xlfn.ENCODEURL(Table24[[#This Row],[Tên hẻm]]), "Link Google Map")</f>
        <v>#VALUE!</v>
      </c>
    </row>
    <row r="59" spans="1:22" ht="48.75" hidden="1" customHeight="1">
      <c r="A59" s="11">
        <v>80</v>
      </c>
      <c r="B59" s="16">
        <v>290</v>
      </c>
      <c r="C59" s="16" t="s">
        <v>4551</v>
      </c>
      <c r="D59" s="11">
        <v>8</v>
      </c>
      <c r="E59" s="11">
        <v>6</v>
      </c>
      <c r="F59" s="11" t="s">
        <v>4552</v>
      </c>
      <c r="G59" s="17">
        <v>3</v>
      </c>
      <c r="H59" s="11"/>
      <c r="I59" s="11"/>
      <c r="J59" s="11" t="s">
        <v>4551</v>
      </c>
      <c r="K59" s="11" t="s">
        <v>4553</v>
      </c>
      <c r="L59" s="11">
        <v>6</v>
      </c>
      <c r="M59" s="31">
        <v>45502.0624537037</v>
      </c>
      <c r="N59" s="11"/>
      <c r="O59" s="11"/>
      <c r="P59" s="11" t="s">
        <v>4544</v>
      </c>
      <c r="Q59" s="24" t="s">
        <v>4554</v>
      </c>
      <c r="R59" s="11"/>
      <c r="S59" s="25" t="str">
        <f>HYPERLINK("https://www.google.com/maps/search/" &amp; Table24[[#This Row],[Tên hẻm]], "Xem trên Google Maps")</f>
        <v>Xem trên Google Maps</v>
      </c>
      <c r="T59" s="14" t="str">
        <f>"Hẻm "&amp;Table24[[#This Row],[Hẻm]]&amp;" "&amp;Table24[[#This Row],[Tuyến đường]]&amp;", Phường "&amp;Table24[[#This Row],[Phường]]&amp;", Quận "&amp;Table24[[#This Row],[Quận]]</f>
        <v>Hẻm 290 Bùi Minh Trực , Phường 6, Quận 8</v>
      </c>
      <c r="U59" s="25"/>
      <c r="V59" s="56" t="e">
        <f>HYPERLINK("https://www.google.com/maps/search/?api=1&amp;query=" &amp; _xlfn.ENCODEURL(Table24[[#This Row],[Tên hẻm]]), "Link Google Map")</f>
        <v>#VALUE!</v>
      </c>
    </row>
    <row r="60" spans="1:22" ht="48.75" hidden="1" customHeight="1">
      <c r="A60" s="11">
        <v>81</v>
      </c>
      <c r="B60" s="16" t="s">
        <v>4555</v>
      </c>
      <c r="C60" s="16" t="s">
        <v>4556</v>
      </c>
      <c r="D60" s="11">
        <v>8</v>
      </c>
      <c r="E60" s="11">
        <v>15</v>
      </c>
      <c r="F60" s="11" t="s">
        <v>4557</v>
      </c>
      <c r="G60" s="17">
        <v>5</v>
      </c>
      <c r="H60" s="11"/>
      <c r="I60" s="11"/>
      <c r="J60" s="11" t="s">
        <v>4556</v>
      </c>
      <c r="K60" s="11" t="s">
        <v>4558</v>
      </c>
      <c r="L60" s="11">
        <v>5</v>
      </c>
      <c r="M60" s="31">
        <v>45502.06486111111</v>
      </c>
      <c r="N60" s="11"/>
      <c r="O60" s="11"/>
      <c r="P60" s="11" t="s">
        <v>4544</v>
      </c>
      <c r="Q60" s="24" t="s">
        <v>4559</v>
      </c>
      <c r="R60" s="11"/>
      <c r="S60" s="25" t="str">
        <f>HYPERLINK("https://www.google.com/maps/search/" &amp; Table24[[#This Row],[Tên hẻm]], "Xem trên Google Maps")</f>
        <v>Xem trên Google Maps</v>
      </c>
      <c r="T60" s="14" t="str">
        <f>"Hẻm "&amp;Table24[[#This Row],[Hẻm]]&amp;" "&amp;Table24[[#This Row],[Tuyến đường]]&amp;", Phường "&amp;Table24[[#This Row],[Phường]]&amp;", Quận "&amp;Table24[[#This Row],[Quận]]</f>
        <v>Hẻm 361A+363  Bình Đông , Phường 15, Quận 8</v>
      </c>
      <c r="U60" s="25"/>
      <c r="V60" s="56" t="e">
        <f>HYPERLINK("https://www.google.com/maps/search/?api=1&amp;query=" &amp; _xlfn.ENCODEURL(Table24[[#This Row],[Tên hẻm]]), "Link Google Map")</f>
        <v>#VALUE!</v>
      </c>
    </row>
    <row r="61" spans="1:22" ht="48.75" hidden="1" customHeight="1">
      <c r="A61" s="11">
        <v>82</v>
      </c>
      <c r="B61" s="16">
        <v>361</v>
      </c>
      <c r="C61" s="16" t="s">
        <v>4556</v>
      </c>
      <c r="D61" s="11">
        <v>8</v>
      </c>
      <c r="E61" s="11">
        <v>15</v>
      </c>
      <c r="F61" s="11" t="s">
        <v>4560</v>
      </c>
      <c r="G61" s="17">
        <v>4</v>
      </c>
      <c r="H61" s="11"/>
      <c r="I61" s="11"/>
      <c r="J61" s="11" t="s">
        <v>4556</v>
      </c>
      <c r="K61" s="11" t="s">
        <v>4561</v>
      </c>
      <c r="L61" s="11">
        <v>6</v>
      </c>
      <c r="M61" s="31">
        <v>45502.067002314812</v>
      </c>
      <c r="N61" s="11"/>
      <c r="O61" s="11"/>
      <c r="P61" s="11" t="s">
        <v>4544</v>
      </c>
      <c r="Q61" s="24" t="s">
        <v>4562</v>
      </c>
      <c r="R61" s="11"/>
      <c r="S61" s="25" t="str">
        <f>HYPERLINK("https://www.google.com/maps/search/" &amp; Table24[[#This Row],[Tên hẻm]], "Xem trên Google Maps")</f>
        <v>Xem trên Google Maps</v>
      </c>
      <c r="T61" s="14" t="str">
        <f>"Hẻm "&amp;Table24[[#This Row],[Hẻm]]&amp;" "&amp;Table24[[#This Row],[Tuyến đường]]&amp;", Phường "&amp;Table24[[#This Row],[Phường]]&amp;", Quận "&amp;Table24[[#This Row],[Quận]]</f>
        <v>Hẻm 361 Bình Đông , Phường 15, Quận 8</v>
      </c>
      <c r="U61" s="25"/>
      <c r="V61" s="56" t="e">
        <f>HYPERLINK("https://www.google.com/maps/search/?api=1&amp;query=" &amp; _xlfn.ENCODEURL(Table24[[#This Row],[Tên hẻm]]), "Link Google Map")</f>
        <v>#VALUE!</v>
      </c>
    </row>
    <row r="62" spans="1:22" ht="48.75" hidden="1" customHeight="1">
      <c r="A62" s="11">
        <v>83</v>
      </c>
      <c r="B62" s="16">
        <v>364</v>
      </c>
      <c r="C62" s="16" t="s">
        <v>4556</v>
      </c>
      <c r="D62" s="11">
        <v>8</v>
      </c>
      <c r="E62" s="11">
        <v>15</v>
      </c>
      <c r="F62" s="11" t="s">
        <v>4557</v>
      </c>
      <c r="G62" s="17">
        <v>4</v>
      </c>
      <c r="H62" s="11"/>
      <c r="I62" s="11"/>
      <c r="J62" s="11" t="s">
        <v>4556</v>
      </c>
      <c r="K62" s="11" t="s">
        <v>4563</v>
      </c>
      <c r="L62" s="11">
        <v>8</v>
      </c>
      <c r="M62" s="31">
        <v>45502.068402777775</v>
      </c>
      <c r="N62" s="11"/>
      <c r="O62" s="11"/>
      <c r="P62" s="11" t="s">
        <v>4544</v>
      </c>
      <c r="Q62" s="24" t="s">
        <v>4564</v>
      </c>
      <c r="R62" s="11"/>
      <c r="S62" s="25" t="str">
        <f>HYPERLINK("https://www.google.com/maps/search/" &amp; Table24[[#This Row],[Tên hẻm]], "Xem trên Google Maps")</f>
        <v>Xem trên Google Maps</v>
      </c>
      <c r="T62" s="14" t="str">
        <f>"Hẻm "&amp;Table24[[#This Row],[Hẻm]]&amp;" "&amp;Table24[[#This Row],[Tuyến đường]]&amp;", Phường "&amp;Table24[[#This Row],[Phường]]&amp;", Quận "&amp;Table24[[#This Row],[Quận]]</f>
        <v>Hẻm 364 Bình Đông , Phường 15, Quận 8</v>
      </c>
      <c r="U62" s="25"/>
      <c r="V62" s="56" t="e">
        <f>HYPERLINK("https://www.google.com/maps/search/?api=1&amp;query=" &amp; _xlfn.ENCODEURL(Table24[[#This Row],[Tên hẻm]]), "Link Google Map")</f>
        <v>#VALUE!</v>
      </c>
    </row>
    <row r="63" spans="1:22" ht="48.75" hidden="1" customHeight="1">
      <c r="A63" s="11">
        <v>84</v>
      </c>
      <c r="B63" s="16">
        <v>10</v>
      </c>
      <c r="C63" s="16" t="s">
        <v>4565</v>
      </c>
      <c r="D63" s="11">
        <v>8</v>
      </c>
      <c r="E63" s="11">
        <v>15</v>
      </c>
      <c r="F63" s="11" t="s">
        <v>1779</v>
      </c>
      <c r="G63" s="17">
        <v>3</v>
      </c>
      <c r="H63" s="11"/>
      <c r="I63" s="11"/>
      <c r="J63" s="11" t="s">
        <v>4565</v>
      </c>
      <c r="K63" s="11" t="s">
        <v>4566</v>
      </c>
      <c r="L63" s="11">
        <v>3</v>
      </c>
      <c r="M63" s="31">
        <v>45502.072222222225</v>
      </c>
      <c r="N63" s="11"/>
      <c r="O63" s="11"/>
      <c r="P63" s="11" t="s">
        <v>4544</v>
      </c>
      <c r="Q63" s="24" t="s">
        <v>4567</v>
      </c>
      <c r="R63" s="11"/>
      <c r="S63" s="25" t="str">
        <f>HYPERLINK("https://www.google.com/maps/search/" &amp; Table24[[#This Row],[Tên hẻm]], "Xem trên Google Maps")</f>
        <v>Xem trên Google Maps</v>
      </c>
      <c r="T63" s="14" t="str">
        <f>"Hẻm "&amp;Table24[[#This Row],[Hẻm]]&amp;" "&amp;Table24[[#This Row],[Tuyến đường]]&amp;", Phường "&amp;Table24[[#This Row],[Phường]]&amp;", Quận "&amp;Table24[[#This Row],[Quận]]</f>
        <v>Hẻm 10 Bình Đức , Phường 15, Quận 8</v>
      </c>
      <c r="U63" s="25"/>
      <c r="V63" s="56" t="e">
        <f>HYPERLINK("https://www.google.com/maps/search/?api=1&amp;query=" &amp; _xlfn.ENCODEURL(Table24[[#This Row],[Tên hẻm]]), "Link Google Map")</f>
        <v>#VALUE!</v>
      </c>
    </row>
    <row r="64" spans="1:22" ht="48.75" hidden="1" customHeight="1">
      <c r="A64" s="11">
        <v>85</v>
      </c>
      <c r="B64" s="16">
        <v>373</v>
      </c>
      <c r="C64" s="16" t="s">
        <v>4551</v>
      </c>
      <c r="D64" s="11">
        <v>8</v>
      </c>
      <c r="E64" s="11">
        <v>6</v>
      </c>
      <c r="F64" s="11" t="s">
        <v>2597</v>
      </c>
      <c r="G64" s="17">
        <v>3</v>
      </c>
      <c r="H64" s="11"/>
      <c r="I64" s="11"/>
      <c r="J64" s="11" t="s">
        <v>4551</v>
      </c>
      <c r="K64" s="11" t="s">
        <v>4568</v>
      </c>
      <c r="L64" s="11">
        <v>7</v>
      </c>
      <c r="M64" s="31">
        <v>45502.073298611111</v>
      </c>
      <c r="N64" s="11"/>
      <c r="O64" s="11"/>
      <c r="P64" s="11" t="s">
        <v>4544</v>
      </c>
      <c r="Q64" s="24" t="s">
        <v>4569</v>
      </c>
      <c r="R64" s="11"/>
      <c r="S64" s="25" t="str">
        <f>HYPERLINK("https://www.google.com/maps/search/" &amp; Table24[[#This Row],[Tên hẻm]], "Xem trên Google Maps")</f>
        <v>Xem trên Google Maps</v>
      </c>
      <c r="T64" s="14" t="str">
        <f>"Hẻm "&amp;Table24[[#This Row],[Hẻm]]&amp;" "&amp;Table24[[#This Row],[Tuyến đường]]&amp;", Phường "&amp;Table24[[#This Row],[Phường]]&amp;", Quận "&amp;Table24[[#This Row],[Quận]]</f>
        <v>Hẻm 373 Bùi Minh Trực , Phường 6, Quận 8</v>
      </c>
      <c r="U64" s="25"/>
      <c r="V64" s="56" t="e">
        <f>HYPERLINK("https://www.google.com/maps/search/?api=1&amp;query=" &amp; _xlfn.ENCODEURL(Table24[[#This Row],[Tên hẻm]]), "Link Google Map")</f>
        <v>#VALUE!</v>
      </c>
    </row>
    <row r="65" spans="1:22" ht="48.75" hidden="1" customHeight="1">
      <c r="A65" s="11">
        <v>86</v>
      </c>
      <c r="B65" s="16" t="s">
        <v>4570</v>
      </c>
      <c r="C65" s="16" t="s">
        <v>4571</v>
      </c>
      <c r="D65" s="11">
        <v>8</v>
      </c>
      <c r="E65" s="11">
        <v>14</v>
      </c>
      <c r="F65" s="11" t="s">
        <v>2295</v>
      </c>
      <c r="G65" s="17">
        <v>3</v>
      </c>
      <c r="H65" s="11"/>
      <c r="I65" s="11"/>
      <c r="J65" s="11" t="s">
        <v>4571</v>
      </c>
      <c r="K65" s="11" t="s">
        <v>4572</v>
      </c>
      <c r="L65" s="11">
        <v>9</v>
      </c>
      <c r="M65" s="31">
        <v>45502.075185185182</v>
      </c>
      <c r="N65" s="11"/>
      <c r="O65" s="11"/>
      <c r="P65" s="11" t="s">
        <v>4544</v>
      </c>
      <c r="Q65" s="24" t="s">
        <v>4573</v>
      </c>
      <c r="R65" s="11"/>
      <c r="S65" s="25" t="str">
        <f>HYPERLINK("https://www.google.com/maps/search/" &amp; Table24[[#This Row],[Tên hẻm]], "Xem trên Google Maps")</f>
        <v>Xem trên Google Maps</v>
      </c>
      <c r="T65" s="14" t="str">
        <f>"Hẻm "&amp;Table24[[#This Row],[Hẻm]]&amp;" "&amp;Table24[[#This Row],[Tuyến đường]]&amp;", Phường "&amp;Table24[[#This Row],[Phường]]&amp;", Quận "&amp;Table24[[#This Row],[Quận]]</f>
        <v>Hẻm 3L+6L Ngô Sỹ Liên , Phường 14, Quận 8</v>
      </c>
      <c r="U65" s="25"/>
      <c r="V65" s="56" t="e">
        <f>HYPERLINK("https://www.google.com/maps/search/?api=1&amp;query=" &amp; _xlfn.ENCODEURL(Table24[[#This Row],[Tên hẻm]]), "Link Google Map")</f>
        <v>#VALUE!</v>
      </c>
    </row>
    <row r="66" spans="1:22" ht="48.75" hidden="1" customHeight="1">
      <c r="A66" s="11">
        <v>87</v>
      </c>
      <c r="B66" s="16" t="s">
        <v>4574</v>
      </c>
      <c r="C66" s="16" t="s">
        <v>4575</v>
      </c>
      <c r="D66" s="11">
        <v>8</v>
      </c>
      <c r="E66" s="11">
        <v>15</v>
      </c>
      <c r="F66" s="11" t="s">
        <v>4576</v>
      </c>
      <c r="G66" s="17">
        <v>5</v>
      </c>
      <c r="H66" s="11"/>
      <c r="I66" s="11"/>
      <c r="J66" s="11" t="s">
        <v>4575</v>
      </c>
      <c r="K66" s="11" t="s">
        <v>4577</v>
      </c>
      <c r="L66" s="11">
        <v>10</v>
      </c>
      <c r="M66" s="31">
        <v>45502.076469907406</v>
      </c>
      <c r="N66" s="11"/>
      <c r="O66" s="11"/>
      <c r="P66" s="11" t="s">
        <v>4544</v>
      </c>
      <c r="Q66" s="24" t="s">
        <v>4578</v>
      </c>
      <c r="R66" s="11"/>
      <c r="S66" s="25" t="str">
        <f>HYPERLINK("https://www.google.com/maps/search/" &amp; Table24[[#This Row],[Tên hẻm]], "Xem trên Google Maps")</f>
        <v>Xem trên Google Maps</v>
      </c>
      <c r="T66" s="14" t="str">
        <f>"Hẻm "&amp;Table24[[#This Row],[Hẻm]]&amp;" "&amp;Table24[[#This Row],[Tuyến đường]]&amp;", Phường "&amp;Table24[[#This Row],[Phường]]&amp;", Quận "&amp;Table24[[#This Row],[Quận]]</f>
        <v>Hẻm 1B Mễ Cốc , Phường 15, Quận 8</v>
      </c>
      <c r="U66" s="25"/>
      <c r="V66" s="56" t="e">
        <f>HYPERLINK("https://www.google.com/maps/search/?api=1&amp;query=" &amp; _xlfn.ENCODEURL(Table24[[#This Row],[Tên hẻm]]), "Link Google Map")</f>
        <v>#VALUE!</v>
      </c>
    </row>
    <row r="67" spans="1:22" ht="48.75" hidden="1" customHeight="1">
      <c r="A67" s="11">
        <v>88</v>
      </c>
      <c r="B67" s="16">
        <v>127</v>
      </c>
      <c r="C67" s="16" t="s">
        <v>4575</v>
      </c>
      <c r="D67" s="11">
        <v>8</v>
      </c>
      <c r="E67" s="11">
        <v>15</v>
      </c>
      <c r="F67" s="11" t="s">
        <v>4576</v>
      </c>
      <c r="G67" s="17">
        <v>3</v>
      </c>
      <c r="H67" s="11"/>
      <c r="I67" s="11"/>
      <c r="J67" s="11" t="s">
        <v>4575</v>
      </c>
      <c r="K67" s="11" t="s">
        <v>4579</v>
      </c>
      <c r="L67" s="11">
        <v>3</v>
      </c>
      <c r="M67" s="31">
        <v>45502.077835648146</v>
      </c>
      <c r="N67" s="11"/>
      <c r="O67" s="11"/>
      <c r="P67" s="11" t="s">
        <v>4544</v>
      </c>
      <c r="Q67" s="24" t="s">
        <v>4580</v>
      </c>
      <c r="R67" s="11"/>
      <c r="S67" s="25" t="str">
        <f>HYPERLINK("https://www.google.com/maps/search/" &amp; Table24[[#This Row],[Tên hẻm]], "Xem trên Google Maps")</f>
        <v>Xem trên Google Maps</v>
      </c>
      <c r="T67" s="14" t="str">
        <f>"Hẻm "&amp;Table24[[#This Row],[Hẻm]]&amp;" "&amp;Table24[[#This Row],[Tuyến đường]]&amp;", Phường "&amp;Table24[[#This Row],[Phường]]&amp;", Quận "&amp;Table24[[#This Row],[Quận]]</f>
        <v>Hẻm 127 Mễ Cốc , Phường 15, Quận 8</v>
      </c>
      <c r="U67" s="25"/>
      <c r="V67" s="56" t="e">
        <f>HYPERLINK("https://www.google.com/maps/search/?api=1&amp;query=" &amp; _xlfn.ENCODEURL(Table24[[#This Row],[Tên hẻm]]), "Link Google Map")</f>
        <v>#VALUE!</v>
      </c>
    </row>
    <row r="68" spans="1:22" ht="48.75" hidden="1" customHeight="1">
      <c r="A68" s="11">
        <v>89</v>
      </c>
      <c r="B68" s="16">
        <v>10</v>
      </c>
      <c r="C68" s="16" t="s">
        <v>4556</v>
      </c>
      <c r="D68" s="11">
        <v>8</v>
      </c>
      <c r="E68" s="11">
        <v>15</v>
      </c>
      <c r="F68" s="11" t="s">
        <v>4556</v>
      </c>
      <c r="G68" s="17" t="s">
        <v>4367</v>
      </c>
      <c r="H68" s="11"/>
      <c r="I68" s="11"/>
      <c r="J68" s="11" t="s">
        <v>4556</v>
      </c>
      <c r="K68" s="11" t="s">
        <v>4581</v>
      </c>
      <c r="L68" s="11">
        <v>5</v>
      </c>
      <c r="M68" s="31">
        <v>45502.078969907408</v>
      </c>
      <c r="N68" s="11"/>
      <c r="O68" s="11"/>
      <c r="P68" s="11" t="s">
        <v>4544</v>
      </c>
      <c r="Q68" s="24" t="s">
        <v>4582</v>
      </c>
      <c r="R68" s="11"/>
      <c r="S68" s="25" t="str">
        <f>HYPERLINK("https://www.google.com/maps/search/" &amp; Table24[[#This Row],[Tên hẻm]], "Xem trên Google Maps")</f>
        <v>Xem trên Google Maps</v>
      </c>
      <c r="T68" s="14" t="str">
        <f>"Hẻm "&amp;Table24[[#This Row],[Hẻm]]&amp;" "&amp;Table24[[#This Row],[Tuyến đường]]&amp;", Phường "&amp;Table24[[#This Row],[Phường]]&amp;", Quận "&amp;Table24[[#This Row],[Quận]]</f>
        <v>Hẻm 10 Bình Đông , Phường 15, Quận 8</v>
      </c>
      <c r="U68" s="25"/>
      <c r="V68" s="56" t="e">
        <f>HYPERLINK("https://www.google.com/maps/search/?api=1&amp;query=" &amp; _xlfn.ENCODEURL(Table24[[#This Row],[Tên hẻm]]), "Link Google Map")</f>
        <v>#VALUE!</v>
      </c>
    </row>
    <row r="69" spans="1:22" ht="48.75" hidden="1" customHeight="1">
      <c r="A69" s="11">
        <v>90</v>
      </c>
      <c r="B69" s="16" t="s">
        <v>4583</v>
      </c>
      <c r="C69" s="16" t="s">
        <v>4556</v>
      </c>
      <c r="D69" s="11">
        <v>8</v>
      </c>
      <c r="E69" s="11">
        <v>15</v>
      </c>
      <c r="F69" s="11" t="s">
        <v>4556</v>
      </c>
      <c r="G69" s="17">
        <v>5</v>
      </c>
      <c r="H69" s="11"/>
      <c r="I69" s="11"/>
      <c r="J69" s="11" t="s">
        <v>4556</v>
      </c>
      <c r="K69" s="11" t="s">
        <v>4584</v>
      </c>
      <c r="L69" s="11">
        <v>4</v>
      </c>
      <c r="M69" s="31">
        <v>45502.079918981479</v>
      </c>
      <c r="N69" s="11"/>
      <c r="O69" s="11"/>
      <c r="P69" s="11" t="s">
        <v>4544</v>
      </c>
      <c r="Q69" s="24" t="s">
        <v>4582</v>
      </c>
      <c r="R69" s="11"/>
      <c r="S69" s="25" t="str">
        <f>HYPERLINK("https://www.google.com/maps/search/" &amp; Table24[[#This Row],[Tên hẻm]], "Xem trên Google Maps")</f>
        <v>Xem trên Google Maps</v>
      </c>
      <c r="T69" s="14" t="str">
        <f>"Hẻm "&amp;Table24[[#This Row],[Hẻm]]&amp;" "&amp;Table24[[#This Row],[Tuyến đường]]&amp;", Phường "&amp;Table24[[#This Row],[Phường]]&amp;", Quận "&amp;Table24[[#This Row],[Quận]]</f>
        <v>Hẻm Hông chợ Bình Đông  Bình Đông , Phường 15, Quận 8</v>
      </c>
      <c r="U69" s="25"/>
      <c r="V69" s="56" t="e">
        <f>HYPERLINK("https://www.google.com/maps/search/?api=1&amp;query=" &amp; _xlfn.ENCODEURL(Table24[[#This Row],[Tên hẻm]]), "Link Google Map")</f>
        <v>#VALUE!</v>
      </c>
    </row>
    <row r="70" spans="1:22" ht="48.75" hidden="1" customHeight="1">
      <c r="A70" s="11">
        <v>91</v>
      </c>
      <c r="B70" s="16">
        <v>399</v>
      </c>
      <c r="C70" s="16" t="s">
        <v>4585</v>
      </c>
      <c r="D70" s="11">
        <v>8</v>
      </c>
      <c r="E70" s="11">
        <v>5</v>
      </c>
      <c r="F70" s="11" t="s">
        <v>4586</v>
      </c>
      <c r="G70" s="17">
        <v>3</v>
      </c>
      <c r="H70" s="11"/>
      <c r="I70" s="11"/>
      <c r="J70" s="11" t="s">
        <v>4587</v>
      </c>
      <c r="K70" s="11" t="s">
        <v>4588</v>
      </c>
      <c r="L70" s="11">
        <v>9</v>
      </c>
      <c r="M70" s="31">
        <v>45502.081261574072</v>
      </c>
      <c r="N70" s="11"/>
      <c r="O70" s="11"/>
      <c r="P70" s="11" t="s">
        <v>4544</v>
      </c>
      <c r="Q70" s="24" t="s">
        <v>4589</v>
      </c>
      <c r="R70" s="11"/>
      <c r="S70" s="25" t="str">
        <f>HYPERLINK("https://www.google.com/maps/search/" &amp; Table24[[#This Row],[Tên hẻm]], "Xem trên Google Maps")</f>
        <v>Xem trên Google Maps</v>
      </c>
      <c r="T70" s="14" t="str">
        <f>"Hẻm "&amp;Table24[[#This Row],[Hẻm]]&amp;" "&amp;Table24[[#This Row],[Tuyến đường]]&amp;", Phường "&amp;Table24[[#This Row],[Phường]]&amp;", Quận "&amp;Table24[[#This Row],[Quận]]</f>
        <v>Hẻm 399 Quốc Lộ 50(TL5), Phường 5, Quận 8</v>
      </c>
      <c r="U70" s="25"/>
      <c r="V70" s="56" t="e">
        <f>HYPERLINK("https://www.google.com/maps/search/?api=1&amp;query=" &amp; _xlfn.ENCODEURL(Table24[[#This Row],[Tên hẻm]]), "Link Google Map")</f>
        <v>#VALUE!</v>
      </c>
    </row>
    <row r="71" spans="1:22" ht="48.75" hidden="1" customHeight="1">
      <c r="A71" s="11">
        <v>92</v>
      </c>
      <c r="B71" s="16">
        <v>184</v>
      </c>
      <c r="C71" s="16" t="s">
        <v>4541</v>
      </c>
      <c r="D71" s="11">
        <v>8</v>
      </c>
      <c r="E71" s="11">
        <v>15</v>
      </c>
      <c r="F71" s="11" t="s">
        <v>4590</v>
      </c>
      <c r="G71" s="17" t="s">
        <v>4367</v>
      </c>
      <c r="H71" s="11"/>
      <c r="I71" s="11"/>
      <c r="J71" s="11" t="s">
        <v>4541</v>
      </c>
      <c r="K71" s="11" t="s">
        <v>4591</v>
      </c>
      <c r="L71" s="11">
        <v>7</v>
      </c>
      <c r="M71" s="31">
        <v>45502.082476851851</v>
      </c>
      <c r="N71" s="11"/>
      <c r="O71" s="11"/>
      <c r="P71" s="11" t="s">
        <v>4544</v>
      </c>
      <c r="Q71" s="24" t="s">
        <v>4592</v>
      </c>
      <c r="R71" s="11"/>
      <c r="S71" s="25" t="str">
        <f>HYPERLINK("https://www.google.com/maps/search/" &amp; Table24[[#This Row],[Tên hẻm]], "Xem trên Google Maps")</f>
        <v>Xem trên Google Maps</v>
      </c>
      <c r="T71" s="14" t="str">
        <f>"Hẻm "&amp;Table24[[#This Row],[Hẻm]]&amp;" "&amp;Table24[[#This Row],[Tuyến đường]]&amp;", Phường "&amp;Table24[[#This Row],[Phường]]&amp;", Quận "&amp;Table24[[#This Row],[Quận]]</f>
        <v>Hẻm 184 Lưu Hữu Phước , Phường 15, Quận 8</v>
      </c>
      <c r="U71" s="25"/>
      <c r="V71" s="56" t="e">
        <f>HYPERLINK("https://www.google.com/maps/search/?api=1&amp;query=" &amp; _xlfn.ENCODEURL(Table24[[#This Row],[Tên hẻm]]), "Link Google Map")</f>
        <v>#VALUE!</v>
      </c>
    </row>
    <row r="72" spans="1:22" ht="48.75" hidden="1" customHeight="1">
      <c r="A72" s="11">
        <v>93</v>
      </c>
      <c r="B72" s="16">
        <v>20</v>
      </c>
      <c r="C72" s="16" t="s">
        <v>4575</v>
      </c>
      <c r="D72" s="11">
        <v>8</v>
      </c>
      <c r="E72" s="11">
        <v>15</v>
      </c>
      <c r="F72" s="11" t="s">
        <v>1790</v>
      </c>
      <c r="G72" s="17">
        <v>5</v>
      </c>
      <c r="H72" s="11"/>
      <c r="I72" s="11"/>
      <c r="J72" s="11" t="s">
        <v>4593</v>
      </c>
      <c r="K72" s="11" t="s">
        <v>4594</v>
      </c>
      <c r="L72" s="11">
        <v>7</v>
      </c>
      <c r="M72" s="31">
        <v>45502.085393518515</v>
      </c>
      <c r="N72" s="11"/>
      <c r="O72" s="11"/>
      <c r="P72" s="11" t="s">
        <v>4544</v>
      </c>
      <c r="Q72" s="24" t="s">
        <v>4595</v>
      </c>
      <c r="R72" s="11"/>
      <c r="S72" s="25" t="str">
        <f>HYPERLINK("https://www.google.com/maps/search/" &amp; Table24[[#This Row],[Tên hẻm]], "Xem trên Google Maps")</f>
        <v>Xem trên Google Maps</v>
      </c>
      <c r="T72" s="14" t="str">
        <f>"Hẻm "&amp;Table24[[#This Row],[Hẻm]]&amp;" "&amp;Table24[[#This Row],[Tuyến đường]]&amp;", Phường "&amp;Table24[[#This Row],[Phường]]&amp;", Quận "&amp;Table24[[#This Row],[Quận]]</f>
        <v>Hẻm 20 Mễ Cốc , Phường 15, Quận 8</v>
      </c>
      <c r="U72" s="25"/>
      <c r="V72" s="56" t="e">
        <f>HYPERLINK("https://www.google.com/maps/search/?api=1&amp;query=" &amp; _xlfn.ENCODEURL(Table24[[#This Row],[Tên hẻm]]), "Link Google Map")</f>
        <v>#VALUE!</v>
      </c>
    </row>
    <row r="73" spans="1:22" ht="48.75" hidden="1" customHeight="1">
      <c r="A73" s="11">
        <v>94</v>
      </c>
      <c r="B73" s="16">
        <v>277</v>
      </c>
      <c r="C73" s="16" t="s">
        <v>4556</v>
      </c>
      <c r="D73" s="11">
        <v>8</v>
      </c>
      <c r="E73" s="11">
        <v>14</v>
      </c>
      <c r="F73" s="11" t="s">
        <v>1843</v>
      </c>
      <c r="G73" s="17">
        <v>3</v>
      </c>
      <c r="H73" s="11"/>
      <c r="I73" s="11"/>
      <c r="J73" s="11" t="s">
        <v>4556</v>
      </c>
      <c r="K73" s="11" t="s">
        <v>4596</v>
      </c>
      <c r="L73" s="11">
        <v>12</v>
      </c>
      <c r="M73" s="31">
        <v>45502.086863425924</v>
      </c>
      <c r="N73" s="11"/>
      <c r="O73" s="11"/>
      <c r="P73" s="11" t="s">
        <v>4544</v>
      </c>
      <c r="Q73" s="24" t="s">
        <v>2293</v>
      </c>
      <c r="R73" s="11"/>
      <c r="S73" s="25" t="str">
        <f>HYPERLINK("https://www.google.com/maps/search/" &amp; Table24[[#This Row],[Tên hẻm]], "Xem trên Google Maps")</f>
        <v>Xem trên Google Maps</v>
      </c>
      <c r="T73" s="14" t="str">
        <f>"Hẻm "&amp;Table24[[#This Row],[Hẻm]]&amp;" "&amp;Table24[[#This Row],[Tuyến đường]]&amp;", Phường "&amp;Table24[[#This Row],[Phường]]&amp;", Quận "&amp;Table24[[#This Row],[Quận]]</f>
        <v>Hẻm 277 Bình Đông , Phường 14, Quận 8</v>
      </c>
      <c r="U73" s="25"/>
      <c r="V73" s="56" t="e">
        <f>HYPERLINK("https://www.google.com/maps/search/?api=1&amp;query=" &amp; _xlfn.ENCODEURL(Table24[[#This Row],[Tên hẻm]]), "Link Google Map")</f>
        <v>#VALUE!</v>
      </c>
    </row>
    <row r="74" spans="1:22" ht="48.75" hidden="1" customHeight="1">
      <c r="A74" s="11">
        <v>95</v>
      </c>
      <c r="B74" s="16">
        <v>1</v>
      </c>
      <c r="C74" s="16" t="s">
        <v>4597</v>
      </c>
      <c r="D74" s="11">
        <v>8</v>
      </c>
      <c r="E74" s="11">
        <v>15</v>
      </c>
      <c r="F74" s="11" t="s">
        <v>4560</v>
      </c>
      <c r="G74" s="17" t="s">
        <v>4367</v>
      </c>
      <c r="H74" s="11"/>
      <c r="I74" s="11"/>
      <c r="J74" s="11" t="s">
        <v>4597</v>
      </c>
      <c r="K74" s="11" t="s">
        <v>4598</v>
      </c>
      <c r="L74" s="11">
        <v>4</v>
      </c>
      <c r="M74" s="31">
        <v>45502.088148148148</v>
      </c>
      <c r="N74" s="11"/>
      <c r="O74" s="11"/>
      <c r="P74" s="11" t="s">
        <v>4544</v>
      </c>
      <c r="Q74" s="24" t="s">
        <v>4599</v>
      </c>
      <c r="R74" s="11"/>
      <c r="S74" s="25" t="str">
        <f>HYPERLINK("https://www.google.com/maps/search/" &amp; Table24[[#This Row],[Tên hẻm]], "Xem trên Google Maps")</f>
        <v>Xem trên Google Maps</v>
      </c>
      <c r="T74" s="14" t="str">
        <f>"Hẻm "&amp;Table24[[#This Row],[Hẻm]]&amp;" "&amp;Table24[[#This Row],[Tuyến đường]]&amp;", Phường "&amp;Table24[[#This Row],[Phường]]&amp;", Quận "&amp;Table24[[#This Row],[Quận]]</f>
        <v>Hẻm 1 Lương Văn Can , Phường 15, Quận 8</v>
      </c>
      <c r="U74" s="25"/>
      <c r="V74" s="56" t="e">
        <f>HYPERLINK("https://www.google.com/maps/search/?api=1&amp;query=" &amp; _xlfn.ENCODEURL(Table24[[#This Row],[Tên hẻm]]), "Link Google Map")</f>
        <v>#VALUE!</v>
      </c>
    </row>
    <row r="75" spans="1:22" ht="48.75" hidden="1" customHeight="1">
      <c r="A75" s="11">
        <v>96</v>
      </c>
      <c r="B75" s="16">
        <v>23</v>
      </c>
      <c r="C75" s="16" t="s">
        <v>4597</v>
      </c>
      <c r="D75" s="11">
        <v>8</v>
      </c>
      <c r="E75" s="11">
        <v>15</v>
      </c>
      <c r="F75" s="11" t="s">
        <v>4560</v>
      </c>
      <c r="G75" s="17" t="s">
        <v>4367</v>
      </c>
      <c r="H75" s="11"/>
      <c r="I75" s="11"/>
      <c r="J75" s="11" t="s">
        <v>4597</v>
      </c>
      <c r="K75" s="11" t="s">
        <v>4600</v>
      </c>
      <c r="L75" s="11">
        <v>6</v>
      </c>
      <c r="M75" s="31">
        <v>45502.089039351849</v>
      </c>
      <c r="N75" s="11"/>
      <c r="O75" s="11"/>
      <c r="P75" s="11" t="s">
        <v>4544</v>
      </c>
      <c r="Q75" s="24" t="s">
        <v>4599</v>
      </c>
      <c r="R75" s="26"/>
      <c r="S75" s="26" t="str">
        <f>HYPERLINK("https://www.google.com/maps/search/" &amp; Table24[[#This Row],[Tên hẻm]], "Xem trên Google Maps")</f>
        <v>Xem trên Google Maps</v>
      </c>
      <c r="T75" s="14" t="str">
        <f>"Hẻm "&amp;Table24[[#This Row],[Hẻm]]&amp;" "&amp;Table24[[#This Row],[Tuyến đường]]&amp;", Phường "&amp;Table24[[#This Row],[Phường]]&amp;", Quận "&amp;Table24[[#This Row],[Quận]]</f>
        <v>Hẻm 23 Lương Văn Can , Phường 15, Quận 8</v>
      </c>
      <c r="U75" s="25"/>
      <c r="V75" s="56" t="e">
        <f>HYPERLINK("https://www.google.com/maps/search/?api=1&amp;query=" &amp; _xlfn.ENCODEURL(Table24[[#This Row],[Tên hẻm]]), "Link Google Map")</f>
        <v>#VALUE!</v>
      </c>
    </row>
    <row r="76" spans="1:22" ht="48.75" hidden="1" customHeight="1">
      <c r="A76" s="11">
        <v>97</v>
      </c>
      <c r="B76" s="16">
        <v>82</v>
      </c>
      <c r="C76" s="16" t="s">
        <v>4601</v>
      </c>
      <c r="D76" s="11" t="s">
        <v>4412</v>
      </c>
      <c r="E76" s="11">
        <v>26</v>
      </c>
      <c r="F76" s="11" t="s">
        <v>4602</v>
      </c>
      <c r="G76" s="17">
        <v>3</v>
      </c>
      <c r="H76" s="11"/>
      <c r="I76" s="11"/>
      <c r="J76" s="11" t="s">
        <v>4603</v>
      </c>
      <c r="K76" s="11" t="s">
        <v>4604</v>
      </c>
      <c r="L76" s="11">
        <v>8</v>
      </c>
      <c r="M76" s="31">
        <v>45503.27076388889</v>
      </c>
      <c r="N76" s="11"/>
      <c r="O76" s="11"/>
      <c r="P76" s="11" t="s">
        <v>4341</v>
      </c>
      <c r="Q76" s="27"/>
      <c r="R76" s="27"/>
      <c r="S76" s="26" t="str">
        <f>HYPERLINK("https://www.google.com/maps/search/" &amp; Table24[[#This Row],[Tên hẻm]], "Xem trên Google Maps")</f>
        <v>Xem trên Google Maps</v>
      </c>
      <c r="T76" s="14" t="str">
        <f>"Hẻm "&amp;Table24[[#This Row],[Hẻm]]&amp;" "&amp;Table24[[#This Row],[Tuyến đường]]&amp;", Phường "&amp;Table24[[#This Row],[Phường]]&amp;", Quận "&amp;Table24[[#This Row],[Quận]]</f>
        <v xml:space="preserve">Hẻm 82 Nguyễn Xí , Phường 26, Quận Bình Thạnh </v>
      </c>
      <c r="U76" s="25"/>
      <c r="V76" s="56" t="e">
        <f>HYPERLINK("https://www.google.com/maps/search/?api=1&amp;query=" &amp; _xlfn.ENCODEURL(Table24[[#This Row],[Tên hẻm]]), "Link Google Map")</f>
        <v>#VALUE!</v>
      </c>
    </row>
    <row r="77" spans="1:22" ht="48.75" hidden="1" customHeight="1">
      <c r="A77" s="11">
        <v>98</v>
      </c>
      <c r="B77" s="16">
        <v>76</v>
      </c>
      <c r="C77" s="16" t="s">
        <v>4605</v>
      </c>
      <c r="D77" s="11" t="s">
        <v>4412</v>
      </c>
      <c r="E77" s="11">
        <v>26</v>
      </c>
      <c r="F77" s="11" t="s">
        <v>4606</v>
      </c>
      <c r="G77" s="17" t="s">
        <v>4607</v>
      </c>
      <c r="H77" s="11"/>
      <c r="I77" s="11"/>
      <c r="J77" s="11" t="s">
        <v>4608</v>
      </c>
      <c r="K77" s="11" t="s">
        <v>4609</v>
      </c>
      <c r="L77" s="11">
        <v>3</v>
      </c>
      <c r="M77" s="31">
        <v>45503.272268518522</v>
      </c>
      <c r="N77" s="11"/>
      <c r="O77" s="11"/>
      <c r="P77" s="11" t="s">
        <v>4341</v>
      </c>
      <c r="Q77" s="19"/>
      <c r="R77" s="19"/>
      <c r="S77" s="22" t="str">
        <f>HYPERLINK("https://www.google.com/maps/search/" &amp; Table24[[#This Row],[Tên hẻm]], "Xem trên Google Maps")</f>
        <v>Xem trên Google Maps</v>
      </c>
      <c r="T77" s="14" t="str">
        <f>"Hẻm "&amp;Table24[[#This Row],[Hẻm]]&amp;" "&amp;Table24[[#This Row],[Tuyến đường]]&amp;", Phường "&amp;Table24[[#This Row],[Phường]]&amp;", Quận "&amp;Table24[[#This Row],[Quận]]</f>
        <v xml:space="preserve">Hẻm 76 Nguyễn Xí, Phường 26, Quận Bình Thạnh </v>
      </c>
      <c r="U77" s="21"/>
      <c r="V77" s="56" t="e">
        <f>HYPERLINK("https://www.google.com/maps/search/?api=1&amp;query=" &amp; _xlfn.ENCODEURL(Table24[[#This Row],[Tên hẻm]]), "Link Google Map")</f>
        <v>#VALUE!</v>
      </c>
    </row>
    <row r="78" spans="1:22" ht="48.75" hidden="1" customHeight="1">
      <c r="A78" s="11">
        <v>99</v>
      </c>
      <c r="B78" s="16">
        <v>211</v>
      </c>
      <c r="C78" s="16" t="s">
        <v>4605</v>
      </c>
      <c r="D78" s="11" t="s">
        <v>4412</v>
      </c>
      <c r="E78" s="11">
        <v>14</v>
      </c>
      <c r="F78" s="11" t="s">
        <v>4610</v>
      </c>
      <c r="G78" s="17">
        <v>4</v>
      </c>
      <c r="H78" s="11"/>
      <c r="I78" s="11"/>
      <c r="J78" s="11" t="s">
        <v>4611</v>
      </c>
      <c r="K78" s="11" t="s">
        <v>4612</v>
      </c>
      <c r="L78" s="11">
        <v>3</v>
      </c>
      <c r="M78" s="31">
        <v>45503.274155092593</v>
      </c>
      <c r="N78" s="11"/>
      <c r="O78" s="11"/>
      <c r="P78" s="11" t="s">
        <v>4341</v>
      </c>
      <c r="Q78" s="19"/>
      <c r="R78" s="19"/>
      <c r="S78" s="22" t="str">
        <f>HYPERLINK("https://www.google.com/maps/search/" &amp; Table24[[#This Row],[Tên hẻm]], "Xem trên Google Maps")</f>
        <v>Xem trên Google Maps</v>
      </c>
      <c r="T78" s="14" t="str">
        <f>"Hẻm "&amp;Table24[[#This Row],[Hẻm]]&amp;" "&amp;Table24[[#This Row],[Tuyến đường]]&amp;", Phường "&amp;Table24[[#This Row],[Phường]]&amp;", Quận "&amp;Table24[[#This Row],[Quận]]</f>
        <v xml:space="preserve">Hẻm 211 Nguyễn Xí, Phường 14, Quận Bình Thạnh </v>
      </c>
      <c r="U78" s="21"/>
      <c r="V78" s="56" t="e">
        <f>HYPERLINK("https://www.google.com/maps/search/?api=1&amp;query=" &amp; _xlfn.ENCODEURL(Table24[[#This Row],[Tên hẻm]]), "Link Google Map")</f>
        <v>#VALUE!</v>
      </c>
    </row>
    <row r="79" spans="1:22" ht="48.75" hidden="1" customHeight="1">
      <c r="A79" s="11">
        <v>100</v>
      </c>
      <c r="B79" s="16">
        <v>574</v>
      </c>
      <c r="C79" s="16" t="s">
        <v>4613</v>
      </c>
      <c r="D79" s="11" t="s">
        <v>4412</v>
      </c>
      <c r="E79" s="11">
        <v>28</v>
      </c>
      <c r="F79" s="11" t="s">
        <v>4614</v>
      </c>
      <c r="G79" s="17">
        <v>3</v>
      </c>
      <c r="H79" s="11"/>
      <c r="I79" s="11"/>
      <c r="J79" s="11" t="s">
        <v>4615</v>
      </c>
      <c r="K79" s="11" t="s">
        <v>4616</v>
      </c>
      <c r="L79" s="11">
        <v>4</v>
      </c>
      <c r="M79" s="31">
        <v>45503.275775462964</v>
      </c>
      <c r="N79" s="11"/>
      <c r="O79" s="11"/>
      <c r="P79" s="11" t="s">
        <v>4341</v>
      </c>
      <c r="Q79" s="19"/>
      <c r="R79" s="19"/>
      <c r="S79" s="22" t="str">
        <f>HYPERLINK("https://www.google.com/maps/search/" &amp; Table24[[#This Row],[Tên hẻm]], "Xem trên Google Maps")</f>
        <v>Xem trên Google Maps</v>
      </c>
      <c r="T79" s="14" t="str">
        <f>"Hẻm "&amp;Table24[[#This Row],[Hẻm]]&amp;" "&amp;Table24[[#This Row],[Tuyến đường]]&amp;", Phường "&amp;Table24[[#This Row],[Phường]]&amp;", Quận "&amp;Table24[[#This Row],[Quận]]</f>
        <v xml:space="preserve">Hẻm 574 Bình Quới , Phường 28, Quận Bình Thạnh </v>
      </c>
      <c r="U79" s="21"/>
      <c r="V79" s="56" t="e">
        <f>HYPERLINK("https://www.google.com/maps/search/?api=1&amp;query=" &amp; _xlfn.ENCODEURL(Table24[[#This Row],[Tên hẻm]]), "Link Google Map")</f>
        <v>#VALUE!</v>
      </c>
    </row>
    <row r="80" spans="1:22" ht="48.75" hidden="1" customHeight="1">
      <c r="A80" s="11">
        <v>101</v>
      </c>
      <c r="B80" s="16" t="s">
        <v>4617</v>
      </c>
      <c r="C80" s="16" t="s">
        <v>4613</v>
      </c>
      <c r="D80" s="11" t="s">
        <v>4412</v>
      </c>
      <c r="E80" s="11">
        <v>28</v>
      </c>
      <c r="F80" s="11" t="s">
        <v>4618</v>
      </c>
      <c r="G80" s="17">
        <v>3</v>
      </c>
      <c r="H80" s="11"/>
      <c r="I80" s="11"/>
      <c r="J80" s="11" t="s">
        <v>4619</v>
      </c>
      <c r="K80" s="11" t="s">
        <v>4620</v>
      </c>
      <c r="L80" s="11">
        <v>4</v>
      </c>
      <c r="M80" s="31">
        <v>45503.279074074075</v>
      </c>
      <c r="N80" s="11"/>
      <c r="O80" s="11"/>
      <c r="P80" s="11" t="s">
        <v>4341</v>
      </c>
      <c r="Q80" s="19"/>
      <c r="R80" s="19"/>
      <c r="S80" s="22" t="str">
        <f>HYPERLINK("https://www.google.com/maps/search/" &amp; Table24[[#This Row],[Tên hẻm]], "Xem trên Google Maps")</f>
        <v>Xem trên Google Maps</v>
      </c>
      <c r="T80" s="14" t="str">
        <f>"Hẻm "&amp;Table24[[#This Row],[Hẻm]]&amp;" "&amp;Table24[[#This Row],[Tuyến đường]]&amp;", Phường "&amp;Table24[[#This Row],[Phường]]&amp;", Quận "&amp;Table24[[#This Row],[Quận]]</f>
        <v xml:space="preserve">Hẻm 558/15 Bình Quới , Phường 28, Quận Bình Thạnh </v>
      </c>
      <c r="U80" s="21"/>
      <c r="V80" s="56" t="e">
        <f>HYPERLINK("https://www.google.com/maps/search/?api=1&amp;query=" &amp; _xlfn.ENCODEURL(Table24[[#This Row],[Tên hẻm]]), "Link Google Map")</f>
        <v>#VALUE!</v>
      </c>
    </row>
    <row r="81" spans="1:22" ht="48.75" hidden="1" customHeight="1">
      <c r="A81" s="11">
        <v>102</v>
      </c>
      <c r="B81" s="16" t="s">
        <v>4621</v>
      </c>
      <c r="C81" s="16" t="s">
        <v>4613</v>
      </c>
      <c r="D81" s="11" t="s">
        <v>4412</v>
      </c>
      <c r="E81" s="11">
        <v>28</v>
      </c>
      <c r="F81" s="11" t="s">
        <v>4622</v>
      </c>
      <c r="G81" s="17">
        <v>3</v>
      </c>
      <c r="H81" s="11"/>
      <c r="I81" s="11"/>
      <c r="J81" s="11" t="s">
        <v>4623</v>
      </c>
      <c r="K81" s="11" t="s">
        <v>4624</v>
      </c>
      <c r="L81" s="11">
        <v>4</v>
      </c>
      <c r="M81" s="31">
        <v>45503.281585648147</v>
      </c>
      <c r="N81" s="11"/>
      <c r="O81" s="11"/>
      <c r="P81" s="11" t="s">
        <v>4341</v>
      </c>
      <c r="Q81" s="19"/>
      <c r="R81" s="19"/>
      <c r="S81" s="22" t="str">
        <f>HYPERLINK("https://www.google.com/maps/search/" &amp; Table24[[#This Row],[Tên hẻm]], "Xem trên Google Maps")</f>
        <v>Xem trên Google Maps</v>
      </c>
      <c r="T81" s="14" t="str">
        <f>"Hẻm "&amp;Table24[[#This Row],[Hẻm]]&amp;" "&amp;Table24[[#This Row],[Tuyến đường]]&amp;", Phường "&amp;Table24[[#This Row],[Phường]]&amp;", Quận "&amp;Table24[[#This Row],[Quận]]</f>
        <v xml:space="preserve">Hẻm 558/47 và 558/52 Bình Quới , Phường 28, Quận Bình Thạnh </v>
      </c>
      <c r="U81" s="21"/>
      <c r="V81" s="56" t="e">
        <f>HYPERLINK("https://www.google.com/maps/search/?api=1&amp;query=" &amp; _xlfn.ENCODEURL(Table24[[#This Row],[Tên hẻm]]), "Link Google Map")</f>
        <v>#VALUE!</v>
      </c>
    </row>
    <row r="82" spans="1:22" ht="48.75" hidden="1" customHeight="1">
      <c r="A82" s="10">
        <v>103</v>
      </c>
      <c r="B82" s="14" t="s">
        <v>4625</v>
      </c>
      <c r="C82" s="14" t="s">
        <v>4613</v>
      </c>
      <c r="D82" s="10" t="s">
        <v>4412</v>
      </c>
      <c r="E82" s="10">
        <v>28</v>
      </c>
      <c r="F82" s="10" t="s">
        <v>4626</v>
      </c>
      <c r="G82" s="15">
        <v>3</v>
      </c>
      <c r="H82" s="10"/>
      <c r="I82" s="10"/>
      <c r="J82" s="10" t="s">
        <v>4627</v>
      </c>
      <c r="K82" s="10" t="s">
        <v>4628</v>
      </c>
      <c r="L82" s="10">
        <v>16</v>
      </c>
      <c r="M82" s="30">
        <v>45503.283171296294</v>
      </c>
      <c r="N82" s="10"/>
      <c r="O82" s="10"/>
      <c r="P82" s="10" t="s">
        <v>4341</v>
      </c>
      <c r="Q82" s="18"/>
      <c r="R82" s="18"/>
      <c r="S82" s="21" t="str">
        <f>HYPERLINK("https://www.google.com/maps/search/" &amp; Table24[[#This Row],[Tên hẻm]], "Xem trên Google Maps")</f>
        <v>Xem trên Google Maps</v>
      </c>
      <c r="T82" s="14" t="str">
        <f>"Hẻm "&amp;Table24[[#This Row],[Hẻm]]&amp;" "&amp;Table24[[#This Row],[Tuyến đường]]&amp;", Phường "&amp;Table24[[#This Row],[Phường]]&amp;", Quận "&amp;Table24[[#This Row],[Quận]]</f>
        <v xml:space="preserve">Hẻm 558/66 Bình Quới , Phường 28, Quận Bình Thạnh </v>
      </c>
      <c r="U82" s="21"/>
      <c r="V82" s="56" t="e">
        <f>HYPERLINK("https://www.google.com/maps/search/?api=1&amp;query=" &amp; _xlfn.ENCODEURL(Table24[[#This Row],[Tên hẻm]]), "Link Google Map")</f>
        <v>#VALUE!</v>
      </c>
    </row>
    <row r="83" spans="1:22" ht="48.75" hidden="1" customHeight="1">
      <c r="A83" s="11">
        <v>104</v>
      </c>
      <c r="B83" s="16" t="s">
        <v>4625</v>
      </c>
      <c r="C83" s="16" t="s">
        <v>4613</v>
      </c>
      <c r="D83" s="11" t="s">
        <v>4412</v>
      </c>
      <c r="E83" s="11">
        <v>28</v>
      </c>
      <c r="F83" s="11" t="s">
        <v>4626</v>
      </c>
      <c r="G83" s="17">
        <v>3</v>
      </c>
      <c r="H83" s="11"/>
      <c r="I83" s="11"/>
      <c r="J83" s="11" t="s">
        <v>4627</v>
      </c>
      <c r="K83" s="11" t="s">
        <v>4628</v>
      </c>
      <c r="L83" s="11">
        <v>16</v>
      </c>
      <c r="M83" s="31">
        <v>45503.283182870371</v>
      </c>
      <c r="N83" s="11"/>
      <c r="O83" s="11"/>
      <c r="P83" s="11" t="s">
        <v>4341</v>
      </c>
      <c r="Q83" s="19"/>
      <c r="R83" s="19"/>
      <c r="S83" s="22" t="str">
        <f>HYPERLINK("https://www.google.com/maps/search/" &amp; Table24[[#This Row],[Tên hẻm]], "Xem trên Google Maps")</f>
        <v>Xem trên Google Maps</v>
      </c>
      <c r="T83" s="14" t="str">
        <f>"Hẻm "&amp;Table24[[#This Row],[Hẻm]]&amp;" "&amp;Table24[[#This Row],[Tuyến đường]]&amp;", Phường "&amp;Table24[[#This Row],[Phường]]&amp;", Quận "&amp;Table24[[#This Row],[Quận]]</f>
        <v xml:space="preserve">Hẻm 558/66 Bình Quới , Phường 28, Quận Bình Thạnh </v>
      </c>
      <c r="U83" s="21"/>
      <c r="V83" s="56" t="e">
        <f>HYPERLINK("https://www.google.com/maps/search/?api=1&amp;query=" &amp; _xlfn.ENCODEURL(Table24[[#This Row],[Tên hẻm]]), "Link Google Map")</f>
        <v>#VALUE!</v>
      </c>
    </row>
    <row r="84" spans="1:22" ht="48.75" hidden="1" customHeight="1">
      <c r="A84" s="11">
        <v>105</v>
      </c>
      <c r="B84" s="16">
        <v>566</v>
      </c>
      <c r="C84" s="16" t="s">
        <v>4613</v>
      </c>
      <c r="D84" s="11" t="s">
        <v>4412</v>
      </c>
      <c r="E84" s="11">
        <v>28</v>
      </c>
      <c r="F84" s="11" t="s">
        <v>4618</v>
      </c>
      <c r="G84" s="17" t="s">
        <v>4367</v>
      </c>
      <c r="H84" s="11"/>
      <c r="I84" s="11"/>
      <c r="J84" s="11" t="s">
        <v>4629</v>
      </c>
      <c r="K84" s="11" t="s">
        <v>4630</v>
      </c>
      <c r="L84" s="11">
        <v>4</v>
      </c>
      <c r="M84" s="31">
        <v>45503.284930555557</v>
      </c>
      <c r="N84" s="11"/>
      <c r="O84" s="11"/>
      <c r="P84" s="11" t="s">
        <v>4341</v>
      </c>
      <c r="Q84" s="19"/>
      <c r="R84" s="19"/>
      <c r="S84" s="22" t="str">
        <f>HYPERLINK("https://www.google.com/maps/search/" &amp; Table24[[#This Row],[Tên hẻm]], "Xem trên Google Maps")</f>
        <v>Xem trên Google Maps</v>
      </c>
      <c r="T84" s="14" t="str">
        <f>"Hẻm "&amp;Table24[[#This Row],[Hẻm]]&amp;" "&amp;Table24[[#This Row],[Tuyến đường]]&amp;", Phường "&amp;Table24[[#This Row],[Phường]]&amp;", Quận "&amp;Table24[[#This Row],[Quận]]</f>
        <v xml:space="preserve">Hẻm 566 Bình Quới , Phường 28, Quận Bình Thạnh </v>
      </c>
      <c r="U84" s="21"/>
      <c r="V84" s="56" t="e">
        <f>HYPERLINK("https://www.google.com/maps/search/?api=1&amp;query=" &amp; _xlfn.ENCODEURL(Table24[[#This Row],[Tên hẻm]]), "Link Google Map")</f>
        <v>#VALUE!</v>
      </c>
    </row>
    <row r="85" spans="1:22" ht="48.75" hidden="1" customHeight="1">
      <c r="A85" s="11">
        <v>106</v>
      </c>
      <c r="B85" s="16">
        <v>558</v>
      </c>
      <c r="C85" s="16" t="s">
        <v>4613</v>
      </c>
      <c r="D85" s="11" t="s">
        <v>4412</v>
      </c>
      <c r="E85" s="11">
        <v>28</v>
      </c>
      <c r="F85" s="11" t="s">
        <v>4622</v>
      </c>
      <c r="G85" s="17">
        <v>3</v>
      </c>
      <c r="H85" s="11"/>
      <c r="I85" s="11"/>
      <c r="J85" s="11" t="s">
        <v>4631</v>
      </c>
      <c r="K85" s="11" t="s">
        <v>4632</v>
      </c>
      <c r="L85" s="11">
        <v>4</v>
      </c>
      <c r="M85" s="31">
        <v>45503.287523148145</v>
      </c>
      <c r="N85" s="11"/>
      <c r="O85" s="11"/>
      <c r="P85" s="11" t="s">
        <v>4341</v>
      </c>
      <c r="Q85" s="19"/>
      <c r="R85" s="19"/>
      <c r="S85" s="22" t="str">
        <f>HYPERLINK("https://www.google.com/maps/search/" &amp; Table24[[#This Row],[Tên hẻm]], "Xem trên Google Maps")</f>
        <v>Xem trên Google Maps</v>
      </c>
      <c r="T85" s="14" t="str">
        <f>"Hẻm "&amp;Table24[[#This Row],[Hẻm]]&amp;" "&amp;Table24[[#This Row],[Tuyến đường]]&amp;", Phường "&amp;Table24[[#This Row],[Phường]]&amp;", Quận "&amp;Table24[[#This Row],[Quận]]</f>
        <v xml:space="preserve">Hẻm 558 Bình Quới , Phường 28, Quận Bình Thạnh </v>
      </c>
      <c r="U85" s="21"/>
      <c r="V85" s="56" t="e">
        <f>HYPERLINK("https://www.google.com/maps/search/?api=1&amp;query=" &amp; _xlfn.ENCODEURL(Table24[[#This Row],[Tên hẻm]]), "Link Google Map")</f>
        <v>#VALUE!</v>
      </c>
    </row>
    <row r="86" spans="1:22" ht="48.75" hidden="1" customHeight="1">
      <c r="A86" s="11">
        <v>107</v>
      </c>
      <c r="B86" s="16" t="s">
        <v>4633</v>
      </c>
      <c r="C86" s="16" t="s">
        <v>4613</v>
      </c>
      <c r="D86" s="11" t="s">
        <v>4412</v>
      </c>
      <c r="E86" s="11">
        <v>28</v>
      </c>
      <c r="F86" s="11" t="s">
        <v>4622</v>
      </c>
      <c r="G86" s="17">
        <v>3</v>
      </c>
      <c r="H86" s="11"/>
      <c r="I86" s="11"/>
      <c r="J86" s="11" t="s">
        <v>4634</v>
      </c>
      <c r="K86" s="11" t="s">
        <v>4635</v>
      </c>
      <c r="L86" s="11">
        <v>10</v>
      </c>
      <c r="M86" s="31">
        <v>45503.289756944447</v>
      </c>
      <c r="N86" s="11"/>
      <c r="O86" s="11"/>
      <c r="P86" s="11" t="s">
        <v>4341</v>
      </c>
      <c r="Q86" s="19"/>
      <c r="R86" s="19"/>
      <c r="S86" s="22" t="str">
        <f>HYPERLINK("https://www.google.com/maps/search/" &amp; Table24[[#This Row],[Tên hẻm]], "Xem trên Google Maps")</f>
        <v>Xem trên Google Maps</v>
      </c>
      <c r="T86" s="14" t="str">
        <f>"Hẻm "&amp;Table24[[#This Row],[Hẻm]]&amp;" "&amp;Table24[[#This Row],[Tuyến đường]]&amp;", Phường "&amp;Table24[[#This Row],[Phường]]&amp;", Quận "&amp;Table24[[#This Row],[Quận]]</f>
        <v xml:space="preserve">Hẻm 558/51 và 558/54 Bình Quới , Phường 28, Quận Bình Thạnh </v>
      </c>
      <c r="U86" s="21"/>
      <c r="V86" s="56" t="e">
        <f>HYPERLINK("https://www.google.com/maps/search/?api=1&amp;query=" &amp; _xlfn.ENCODEURL(Table24[[#This Row],[Tên hẻm]]), "Link Google Map")</f>
        <v>#VALUE!</v>
      </c>
    </row>
    <row r="87" spans="1:22" ht="48.75" hidden="1" customHeight="1">
      <c r="A87" s="10">
        <v>108</v>
      </c>
      <c r="B87" s="14">
        <v>346</v>
      </c>
      <c r="C87" s="14" t="s">
        <v>4636</v>
      </c>
      <c r="D87" s="10" t="s">
        <v>4412</v>
      </c>
      <c r="E87" s="10">
        <v>12</v>
      </c>
      <c r="F87" s="10" t="s">
        <v>4637</v>
      </c>
      <c r="G87" s="15">
        <v>3</v>
      </c>
      <c r="H87" s="10"/>
      <c r="I87" s="10"/>
      <c r="J87" s="10" t="s">
        <v>4638</v>
      </c>
      <c r="K87" s="10" t="s">
        <v>4639</v>
      </c>
      <c r="L87" s="10">
        <v>3</v>
      </c>
      <c r="M87" s="30">
        <v>45503.291377314818</v>
      </c>
      <c r="N87" s="10"/>
      <c r="O87" s="10"/>
      <c r="P87" s="10" t="s">
        <v>4341</v>
      </c>
      <c r="Q87" s="18"/>
      <c r="R87" s="18"/>
      <c r="S87" s="21" t="str">
        <f>HYPERLINK("https://www.google.com/maps/search/" &amp; Table24[[#This Row],[Tên hẻm]], "Xem trên Google Maps")</f>
        <v>Xem trên Google Maps</v>
      </c>
      <c r="T87" s="14" t="str">
        <f>"Hẻm "&amp;Table24[[#This Row],[Hẻm]]&amp;" "&amp;Table24[[#This Row],[Tuyến đường]]&amp;", Phường "&amp;Table24[[#This Row],[Phường]]&amp;", Quận "&amp;Table24[[#This Row],[Quận]]</f>
        <v xml:space="preserve">Hẻm 346 Chu Văn An, Phường 12, Quận Bình Thạnh </v>
      </c>
      <c r="U87" s="21"/>
      <c r="V87" s="56" t="e">
        <f>HYPERLINK("https://www.google.com/maps/search/?api=1&amp;query=" &amp; _xlfn.ENCODEURL(Table24[[#This Row],[Tên hẻm]]), "Link Google Map")</f>
        <v>#VALUE!</v>
      </c>
    </row>
    <row r="88" spans="1:22" ht="48.75" hidden="1" customHeight="1">
      <c r="A88" s="11">
        <v>109</v>
      </c>
      <c r="B88" s="16">
        <v>346</v>
      </c>
      <c r="C88" s="16" t="s">
        <v>4636</v>
      </c>
      <c r="D88" s="11" t="s">
        <v>4412</v>
      </c>
      <c r="E88" s="11">
        <v>12</v>
      </c>
      <c r="F88" s="11" t="s">
        <v>4637</v>
      </c>
      <c r="G88" s="17">
        <v>3</v>
      </c>
      <c r="H88" s="11"/>
      <c r="I88" s="11"/>
      <c r="J88" s="11" t="s">
        <v>4638</v>
      </c>
      <c r="K88" s="11" t="s">
        <v>4639</v>
      </c>
      <c r="L88" s="11">
        <v>3</v>
      </c>
      <c r="M88" s="31">
        <v>45503.291377314818</v>
      </c>
      <c r="N88" s="11"/>
      <c r="O88" s="11"/>
      <c r="P88" s="11" t="s">
        <v>4341</v>
      </c>
      <c r="Q88" s="19"/>
      <c r="R88" s="19"/>
      <c r="S88" s="22" t="str">
        <f>HYPERLINK("https://www.google.com/maps/search/" &amp; Table24[[#This Row],[Tên hẻm]], "Xem trên Google Maps")</f>
        <v>Xem trên Google Maps</v>
      </c>
      <c r="T88" s="16" t="str">
        <f>"Hẻm "&amp;Table24[[#This Row],[Hẻm]]&amp;" "&amp;Table24[[#This Row],[Tuyến đường]]&amp;", Phường "&amp;Table24[[#This Row],[Phường]]&amp;", Quận "&amp;Table24[[#This Row],[Quận]]</f>
        <v xml:space="preserve">Hẻm 346 Chu Văn An, Phường 12, Quận Bình Thạnh </v>
      </c>
      <c r="U88" s="22"/>
      <c r="V88" s="56" t="e">
        <f>HYPERLINK("https://www.google.com/maps/search/?api=1&amp;query=" &amp; _xlfn.ENCODEURL(Table24[[#This Row],[Tên hẻm]]), "Link Google Map")</f>
        <v>#VALUE!</v>
      </c>
    </row>
    <row r="89" spans="1:22" ht="48.75" hidden="1" customHeight="1">
      <c r="A89" s="11">
        <v>110</v>
      </c>
      <c r="B89" s="16">
        <v>106</v>
      </c>
      <c r="C89" s="16" t="s">
        <v>4640</v>
      </c>
      <c r="D89" s="11">
        <v>8</v>
      </c>
      <c r="E89" s="11">
        <v>14</v>
      </c>
      <c r="F89" s="11" t="s">
        <v>4641</v>
      </c>
      <c r="G89" s="33">
        <v>4</v>
      </c>
      <c r="H89" s="32"/>
      <c r="I89" s="32"/>
      <c r="J89" s="32" t="s">
        <v>4640</v>
      </c>
      <c r="K89" s="32" t="s">
        <v>4642</v>
      </c>
      <c r="L89" s="11">
        <v>11</v>
      </c>
      <c r="M89" s="31">
        <v>45504.362569444442</v>
      </c>
      <c r="N89" s="32"/>
      <c r="O89" s="32"/>
      <c r="P89" s="11" t="s">
        <v>4643</v>
      </c>
      <c r="Q89" s="34"/>
      <c r="R89" s="34"/>
      <c r="S89" s="53" t="str">
        <f>HYPERLINK("https://www.google.com/maps/search/" &amp; Table24[[#This Row],[Tên hẻm]], "Xem trên Google Maps")</f>
        <v>Xem trên Google Maps</v>
      </c>
      <c r="T89" s="16" t="str">
        <f>"Hẻm "&amp;Table24[[#This Row],[Hẻm]]&amp;" "&amp;Table24[[#This Row],[Tuyến đường]]&amp;", Phường "&amp;Table24[[#This Row],[Phường]]&amp;", Quận "&amp;Table24[[#This Row],[Quận]]</f>
        <v>Hẻm 106 Hoài Thanh, Phường 14, Quận 8</v>
      </c>
      <c r="U89" s="35"/>
      <c r="V89" s="56" t="e">
        <f>HYPERLINK("https://www.google.com/maps/search/?api=1&amp;query=" &amp; _xlfn.ENCODEURL(Table24[[#This Row],[Tên hẻm]]), "Link Google Map")</f>
        <v>#VALUE!</v>
      </c>
    </row>
    <row r="90" spans="1:22" ht="48.75" hidden="1" customHeight="1">
      <c r="A90" s="11">
        <v>111</v>
      </c>
      <c r="B90" s="16">
        <v>117</v>
      </c>
      <c r="C90" s="16" t="s">
        <v>4640</v>
      </c>
      <c r="D90" s="11">
        <v>8</v>
      </c>
      <c r="E90" s="11">
        <v>14</v>
      </c>
      <c r="F90" s="11" t="s">
        <v>4641</v>
      </c>
      <c r="G90" s="33">
        <v>4</v>
      </c>
      <c r="H90" s="32"/>
      <c r="I90" s="32"/>
      <c r="J90" s="32" t="s">
        <v>4640</v>
      </c>
      <c r="K90" s="32" t="s">
        <v>4644</v>
      </c>
      <c r="L90" s="11">
        <v>9</v>
      </c>
      <c r="M90" s="31">
        <v>45504.3671412037</v>
      </c>
      <c r="N90" s="32"/>
      <c r="O90" s="32"/>
      <c r="P90" s="11" t="s">
        <v>4643</v>
      </c>
      <c r="Q90" s="34"/>
      <c r="R90" s="34"/>
      <c r="S90" s="53" t="str">
        <f>HYPERLINK("https://www.google.com/maps/search/" &amp; Table24[[#This Row],[Tên hẻm]], "Xem trên Google Maps")</f>
        <v>Xem trên Google Maps</v>
      </c>
      <c r="T90" s="16" t="str">
        <f>"Hẻm "&amp;Table24[[#This Row],[Hẻm]]&amp;" "&amp;Table24[[#This Row],[Tuyến đường]]&amp;", Phường "&amp;Table24[[#This Row],[Phường]]&amp;", Quận "&amp;Table24[[#This Row],[Quận]]</f>
        <v>Hẻm 117 Hoài Thanh, Phường 14, Quận 8</v>
      </c>
      <c r="U90" s="35"/>
      <c r="V90" s="56" t="e">
        <f>HYPERLINK("https://www.google.com/maps/search/?api=1&amp;query=" &amp; _xlfn.ENCODEURL(Table24[[#This Row],[Tên hẻm]]), "Link Google Map")</f>
        <v>#VALUE!</v>
      </c>
    </row>
    <row r="91" spans="1:22" ht="48.75" hidden="1" customHeight="1">
      <c r="A91" s="11">
        <v>112</v>
      </c>
      <c r="B91" s="16" t="s">
        <v>4645</v>
      </c>
      <c r="C91" s="16" t="s">
        <v>4646</v>
      </c>
      <c r="D91" s="11">
        <v>8</v>
      </c>
      <c r="E91" s="11">
        <v>14</v>
      </c>
      <c r="F91" s="11" t="s">
        <v>1861</v>
      </c>
      <c r="G91" s="33">
        <v>3</v>
      </c>
      <c r="H91" s="32"/>
      <c r="I91" s="32"/>
      <c r="J91" s="32" t="s">
        <v>4646</v>
      </c>
      <c r="K91" s="32" t="s">
        <v>4647</v>
      </c>
      <c r="L91" s="11">
        <v>7</v>
      </c>
      <c r="M91" s="31">
        <v>45504.371203703704</v>
      </c>
      <c r="N91" s="32"/>
      <c r="O91" s="32"/>
      <c r="P91" s="11" t="s">
        <v>4643</v>
      </c>
      <c r="Q91" s="34"/>
      <c r="R91" s="34"/>
      <c r="S91" s="53" t="str">
        <f>HYPERLINK("https://www.google.com/maps/search/" &amp; Table24[[#This Row],[Tên hẻm]], "Xem trên Google Maps")</f>
        <v>Xem trên Google Maps</v>
      </c>
      <c r="T91" s="16" t="str">
        <f>"Hẻm "&amp;Table24[[#This Row],[Hẻm]]&amp;" "&amp;Table24[[#This Row],[Tuyến đường]]&amp;", Phường "&amp;Table24[[#This Row],[Phường]]&amp;", Quận "&amp;Table24[[#This Row],[Quận]]</f>
        <v>Hẻm 132H Cây Sung, Phường 14, Quận 8</v>
      </c>
      <c r="U91" s="35"/>
      <c r="V91" s="56" t="e">
        <f>HYPERLINK("https://www.google.com/maps/search/?api=1&amp;query=" &amp; _xlfn.ENCODEURL(Table24[[#This Row],[Tên hẻm]]), "Link Google Map")</f>
        <v>#VALUE!</v>
      </c>
    </row>
    <row r="92" spans="1:22" ht="48.75" hidden="1" customHeight="1">
      <c r="A92" s="11">
        <v>113</v>
      </c>
      <c r="B92" s="16" t="s">
        <v>4648</v>
      </c>
      <c r="C92" s="16" t="s">
        <v>4646</v>
      </c>
      <c r="D92" s="11">
        <v>8</v>
      </c>
      <c r="E92" s="11">
        <v>14</v>
      </c>
      <c r="F92" s="11" t="s">
        <v>4649</v>
      </c>
      <c r="G92" s="33">
        <v>4</v>
      </c>
      <c r="H92" s="32"/>
      <c r="I92" s="32"/>
      <c r="J92" s="32" t="s">
        <v>4646</v>
      </c>
      <c r="K92" s="32" t="s">
        <v>4650</v>
      </c>
      <c r="L92" s="11">
        <v>10</v>
      </c>
      <c r="M92" s="31" t="s">
        <v>4651</v>
      </c>
      <c r="N92" s="32"/>
      <c r="O92" s="32"/>
      <c r="P92" s="11" t="s">
        <v>4643</v>
      </c>
      <c r="Q92" s="34"/>
      <c r="R92" s="34"/>
      <c r="S92" s="53" t="str">
        <f>HYPERLINK("https://www.google.com/maps/search/" &amp; Table24[[#This Row],[Tên hẻm]], "Xem trên Google Maps")</f>
        <v>Xem trên Google Maps</v>
      </c>
      <c r="T92" s="16" t="str">
        <f>"Hẻm "&amp;Table24[[#This Row],[Hẻm]]&amp;" "&amp;Table24[[#This Row],[Tuyến đường]]&amp;", Phường "&amp;Table24[[#This Row],[Phường]]&amp;", Quận "&amp;Table24[[#This Row],[Quận]]</f>
        <v>Hẻm 192E + 132 Cây Sung, Phường 14, Quận 8</v>
      </c>
      <c r="U92" s="35"/>
      <c r="V92" s="56" t="e">
        <f>HYPERLINK("https://www.google.com/maps/search/?api=1&amp;query=" &amp; _xlfn.ENCODEURL(Table24[[#This Row],[Tên hẻm]]), "Link Google Map")</f>
        <v>#VALUE!</v>
      </c>
    </row>
    <row r="93" spans="1:22" ht="48.75" hidden="1" customHeight="1">
      <c r="A93" s="11">
        <v>114</v>
      </c>
      <c r="B93" s="16">
        <v>360</v>
      </c>
      <c r="C93" s="16" t="s">
        <v>373</v>
      </c>
      <c r="D93" s="11">
        <v>8</v>
      </c>
      <c r="E93" s="11">
        <v>15</v>
      </c>
      <c r="F93" s="11" t="s">
        <v>373</v>
      </c>
      <c r="G93" s="17">
        <v>6</v>
      </c>
      <c r="H93" s="11"/>
      <c r="I93" s="11"/>
      <c r="J93" s="11" t="s">
        <v>373</v>
      </c>
      <c r="K93" s="11" t="s">
        <v>4652</v>
      </c>
      <c r="L93" s="11">
        <v>5</v>
      </c>
      <c r="M93" s="31" t="s">
        <v>4653</v>
      </c>
      <c r="N93" s="32"/>
      <c r="O93" s="32"/>
      <c r="P93" s="11" t="s">
        <v>4643</v>
      </c>
      <c r="Q93" s="34"/>
      <c r="R93" s="34"/>
      <c r="S93" s="53" t="str">
        <f>HYPERLINK("https://www.google.com/maps/search/" &amp; Table24[[#This Row],[Tên hẻm]], "Xem trên Google Maps")</f>
        <v>Xem trên Google Maps</v>
      </c>
      <c r="T93" s="16" t="str">
        <f>"Hẻm "&amp;Table24[[#This Row],[Hẻm]]&amp;" "&amp;Table24[[#This Row],[Tuyến đường]]&amp;", Phường "&amp;Table24[[#This Row],[Phường]]&amp;", Quận "&amp;Table24[[#This Row],[Quận]]</f>
        <v>Hẻm 360 Bình Đông, Phường 15, Quận 8</v>
      </c>
      <c r="U93" s="35"/>
      <c r="V93" s="56" t="e">
        <f>HYPERLINK("https://www.google.com/maps/search/?api=1&amp;query=" &amp; _xlfn.ENCODEURL(Table24[[#This Row],[Tên hẻm]]), "Link Google Map")</f>
        <v>#VALUE!</v>
      </c>
    </row>
    <row r="94" spans="1:22" ht="48.75" hidden="1" customHeight="1">
      <c r="A94" s="11">
        <v>115</v>
      </c>
      <c r="B94" s="16">
        <v>28</v>
      </c>
      <c r="C94" s="16" t="s">
        <v>1808</v>
      </c>
      <c r="D94" s="11">
        <v>8</v>
      </c>
      <c r="E94" s="11">
        <v>15</v>
      </c>
      <c r="F94" s="11" t="s">
        <v>1808</v>
      </c>
      <c r="G94" s="17">
        <v>4</v>
      </c>
      <c r="H94" s="11"/>
      <c r="I94" s="11"/>
      <c r="J94" s="11" t="s">
        <v>1808</v>
      </c>
      <c r="K94" s="11" t="s">
        <v>4654</v>
      </c>
      <c r="L94" s="11">
        <v>8</v>
      </c>
      <c r="M94" s="31" t="s">
        <v>4655</v>
      </c>
      <c r="N94" s="32"/>
      <c r="O94" s="32"/>
      <c r="P94" s="11" t="s">
        <v>1922</v>
      </c>
      <c r="Q94" s="34"/>
      <c r="R94" s="34"/>
      <c r="S94" s="53" t="str">
        <f>HYPERLINK("https://www.google.com/maps/search/" &amp; Table24[[#This Row],[Tên hẻm]], "Xem trên Google Maps")</f>
        <v>Xem trên Google Maps</v>
      </c>
      <c r="T94" s="16" t="str">
        <f>"Hẻm "&amp;Table24[[#This Row],[Hẻm]]&amp;" "&amp;Table24[[#This Row],[Tuyến đường]]&amp;", Phường "&amp;Table24[[#This Row],[Phường]]&amp;", Quận "&amp;Table24[[#This Row],[Quận]]</f>
        <v>Hẻm 28 Lương Văn Can, Phường 15, Quận 8</v>
      </c>
      <c r="U94" s="35"/>
      <c r="V94" s="56" t="e">
        <f>HYPERLINK("https://www.google.com/maps/search/?api=1&amp;query=" &amp; _xlfn.ENCODEURL(Table24[[#This Row],[Tên hẻm]]), "Link Google Map")</f>
        <v>#VALUE!</v>
      </c>
    </row>
    <row r="95" spans="1:22" ht="48.75" hidden="1" customHeight="1">
      <c r="A95" s="11">
        <v>116</v>
      </c>
      <c r="B95" s="16">
        <v>23</v>
      </c>
      <c r="C95" s="16" t="s">
        <v>1777</v>
      </c>
      <c r="D95" s="11">
        <v>8</v>
      </c>
      <c r="E95" s="11">
        <v>15</v>
      </c>
      <c r="F95" s="11" t="s">
        <v>4576</v>
      </c>
      <c r="G95" s="17">
        <v>4</v>
      </c>
      <c r="H95" s="11"/>
      <c r="I95" s="11"/>
      <c r="J95" s="11" t="s">
        <v>4656</v>
      </c>
      <c r="K95" s="11" t="s">
        <v>4657</v>
      </c>
      <c r="L95" s="11">
        <v>8</v>
      </c>
      <c r="M95" s="31" t="s">
        <v>4658</v>
      </c>
      <c r="N95" s="32"/>
      <c r="O95" s="32"/>
      <c r="P95" s="11" t="s">
        <v>1922</v>
      </c>
      <c r="Q95" s="34"/>
      <c r="R95" s="34"/>
      <c r="S95" s="53" t="str">
        <f>HYPERLINK("https://www.google.com/maps/search/" &amp; Table24[[#This Row],[Tên hẻm]], "Xem trên Google Maps")</f>
        <v>Xem trên Google Maps</v>
      </c>
      <c r="T95" s="16" t="str">
        <f>"Hẻm "&amp;Table24[[#This Row],[Hẻm]]&amp;" "&amp;Table24[[#This Row],[Tuyến đường]]&amp;", Phường "&amp;Table24[[#This Row],[Phường]]&amp;", Quận "&amp;Table24[[#This Row],[Quận]]</f>
        <v>Hẻm 23 Mai Hắc Đế, Phường 15, Quận 8</v>
      </c>
      <c r="U95" s="35"/>
      <c r="V95" s="56" t="e">
        <f>HYPERLINK("https://www.google.com/maps/search/?api=1&amp;query=" &amp; _xlfn.ENCODEURL(Table24[[#This Row],[Tên hẻm]]), "Link Google Map")</f>
        <v>#VALUE!</v>
      </c>
    </row>
    <row r="96" spans="1:22" ht="48.75" hidden="1" customHeight="1">
      <c r="A96" s="11">
        <v>117</v>
      </c>
      <c r="B96" s="16">
        <v>227</v>
      </c>
      <c r="C96" s="16" t="s">
        <v>4659</v>
      </c>
      <c r="D96" s="11">
        <v>8</v>
      </c>
      <c r="E96" s="11">
        <v>5</v>
      </c>
      <c r="F96" s="11" t="s">
        <v>2838</v>
      </c>
      <c r="G96" s="17">
        <v>3</v>
      </c>
      <c r="H96" s="11"/>
      <c r="I96" s="11"/>
      <c r="J96" s="11" t="s">
        <v>4660</v>
      </c>
      <c r="K96" s="11" t="s">
        <v>4661</v>
      </c>
      <c r="L96" s="11">
        <v>8</v>
      </c>
      <c r="M96" s="31" t="s">
        <v>4662</v>
      </c>
      <c r="N96" s="11"/>
      <c r="O96" s="11"/>
      <c r="P96" s="11" t="s">
        <v>4544</v>
      </c>
      <c r="Q96" s="19"/>
      <c r="R96" s="19"/>
      <c r="S96" s="53" t="str">
        <f>HYPERLINK("https://www.google.com/maps/search/" &amp; Table24[[#This Row],[Tên hẻm]], "Xem trên Google Maps")</f>
        <v>Xem trên Google Maps</v>
      </c>
      <c r="T96" s="16" t="str">
        <f>"Hẻm "&amp;Table24[[#This Row],[Hẻm]]&amp;" "&amp;Table24[[#This Row],[Tuyến đường]]&amp;", Phường "&amp;Table24[[#This Row],[Phường]]&amp;", Quận "&amp;Table24[[#This Row],[Quận]]</f>
        <v>Hẻm 227 Quốc Lộ 50( LT 5), Phường 5, Quận 8</v>
      </c>
      <c r="U96" s="36"/>
      <c r="V96" s="56" t="e">
        <f>HYPERLINK("https://www.google.com/maps/search/?api=1&amp;query=" &amp; _xlfn.ENCODEURL(Table24[[#This Row],[Tên hẻm]]), "Link Google Map")</f>
        <v>#VALUE!</v>
      </c>
    </row>
    <row r="97" spans="1:22" ht="48.75" hidden="1" customHeight="1">
      <c r="A97" s="11">
        <v>118</v>
      </c>
      <c r="B97" s="16">
        <v>263</v>
      </c>
      <c r="C97" s="16" t="s">
        <v>4659</v>
      </c>
      <c r="D97" s="11">
        <v>8</v>
      </c>
      <c r="E97" s="11">
        <v>5</v>
      </c>
      <c r="F97" s="11" t="s">
        <v>2499</v>
      </c>
      <c r="G97" s="17">
        <v>3</v>
      </c>
      <c r="H97" s="11"/>
      <c r="I97" s="11"/>
      <c r="J97" s="11" t="s">
        <v>4663</v>
      </c>
      <c r="K97" s="11" t="s">
        <v>4664</v>
      </c>
      <c r="L97" s="11">
        <v>7</v>
      </c>
      <c r="M97" s="31" t="s">
        <v>4665</v>
      </c>
      <c r="N97" s="11"/>
      <c r="O97" s="11"/>
      <c r="P97" s="11" t="s">
        <v>4544</v>
      </c>
      <c r="Q97" s="19"/>
      <c r="R97" s="19"/>
      <c r="S97" s="53" t="str">
        <f>HYPERLINK("https://www.google.com/maps/search/" &amp; Table24[[#This Row],[Tên hẻm]], "Xem trên Google Maps")</f>
        <v>Xem trên Google Maps</v>
      </c>
      <c r="T97" s="16" t="str">
        <f>"Hẻm "&amp;Table24[[#This Row],[Hẻm]]&amp;" "&amp;Table24[[#This Row],[Tuyến đường]]&amp;", Phường "&amp;Table24[[#This Row],[Phường]]&amp;", Quận "&amp;Table24[[#This Row],[Quận]]</f>
        <v>Hẻm 263 Quốc Lộ 50( LT 5), Phường 5, Quận 8</v>
      </c>
      <c r="U97" s="36"/>
      <c r="V97" s="56" t="e">
        <f>HYPERLINK("https://www.google.com/maps/search/?api=1&amp;query=" &amp; _xlfn.ENCODEURL(Table24[[#This Row],[Tên hẻm]]), "Link Google Map")</f>
        <v>#VALUE!</v>
      </c>
    </row>
    <row r="98" spans="1:22" ht="48.75" hidden="1" customHeight="1">
      <c r="A98" s="11">
        <v>119</v>
      </c>
      <c r="B98" s="16">
        <v>8</v>
      </c>
      <c r="C98" s="16" t="s">
        <v>4666</v>
      </c>
      <c r="D98" s="11">
        <v>8</v>
      </c>
      <c r="E98" s="11">
        <v>4</v>
      </c>
      <c r="F98" s="11" t="s">
        <v>2091</v>
      </c>
      <c r="G98" s="17">
        <v>5</v>
      </c>
      <c r="H98" s="11"/>
      <c r="I98" s="11"/>
      <c r="J98" s="11" t="s">
        <v>4667</v>
      </c>
      <c r="K98" s="11" t="s">
        <v>4668</v>
      </c>
      <c r="L98" s="11">
        <v>6</v>
      </c>
      <c r="M98" s="31" t="s">
        <v>4669</v>
      </c>
      <c r="N98" s="11"/>
      <c r="O98" s="11"/>
      <c r="P98" s="11" t="s">
        <v>4544</v>
      </c>
      <c r="Q98" s="19"/>
      <c r="R98" s="19"/>
      <c r="S98" s="53" t="str">
        <f>HYPERLINK("https://www.google.com/maps/search/" &amp; Table24[[#This Row],[Tên hẻm]], "Xem trên Google Maps")</f>
        <v>Xem trên Google Maps</v>
      </c>
      <c r="T98" s="16" t="str">
        <f>"Hẻm "&amp;Table24[[#This Row],[Hẻm]]&amp;" "&amp;Table24[[#This Row],[Tuyến đường]]&amp;", Phường "&amp;Table24[[#This Row],[Phường]]&amp;", Quận "&amp;Table24[[#This Row],[Quận]]</f>
        <v>Hẻm 8 Phạm Hùng , Phường 4, Quận 8</v>
      </c>
      <c r="U98" s="36"/>
      <c r="V98" s="56" t="e">
        <f>HYPERLINK("https://www.google.com/maps/search/?api=1&amp;query=" &amp; _xlfn.ENCODEURL(Table24[[#This Row],[Tên hẻm]]), "Link Google Map")</f>
        <v>#VALUE!</v>
      </c>
    </row>
    <row r="99" spans="1:22" ht="48.75" hidden="1" customHeight="1">
      <c r="A99" s="11">
        <v>120</v>
      </c>
      <c r="B99" s="16">
        <v>138</v>
      </c>
      <c r="C99" s="16" t="s">
        <v>4670</v>
      </c>
      <c r="D99" s="11">
        <v>8</v>
      </c>
      <c r="E99" s="11">
        <v>7</v>
      </c>
      <c r="F99" s="11" t="s">
        <v>2717</v>
      </c>
      <c r="G99" s="17">
        <v>5</v>
      </c>
      <c r="H99" s="11"/>
      <c r="I99" s="11"/>
      <c r="J99" s="11" t="s">
        <v>4671</v>
      </c>
      <c r="K99" s="11" t="s">
        <v>4672</v>
      </c>
      <c r="L99" s="11">
        <v>10</v>
      </c>
      <c r="M99" s="31" t="s">
        <v>4673</v>
      </c>
      <c r="N99" s="11"/>
      <c r="O99" s="11"/>
      <c r="P99" s="11" t="s">
        <v>4544</v>
      </c>
      <c r="Q99" s="19"/>
      <c r="R99" s="19"/>
      <c r="S99" s="53" t="str">
        <f>HYPERLINK("https://www.google.com/maps/search/" &amp; Table24[[#This Row],[Tên hẻm]], "Xem trên Google Maps")</f>
        <v>Xem trên Google Maps</v>
      </c>
      <c r="T99" s="16" t="str">
        <f>"Hẻm "&amp;Table24[[#This Row],[Hẻm]]&amp;" "&amp;Table24[[#This Row],[Tuyến đường]]&amp;", Phường "&amp;Table24[[#This Row],[Phường]]&amp;", Quận "&amp;Table24[[#This Row],[Quận]]</f>
        <v>Hẻm 138 Hoàng Đạo , Phường 7, Quận 8</v>
      </c>
      <c r="U99" s="36"/>
      <c r="V99" s="56" t="e">
        <f>HYPERLINK("https://www.google.com/maps/search/?api=1&amp;query=" &amp; _xlfn.ENCODEURL(Table24[[#This Row],[Tên hẻm]]), "Link Google Map")</f>
        <v>#VALUE!</v>
      </c>
    </row>
    <row r="100" spans="1:22" ht="48.75" hidden="1" customHeight="1">
      <c r="A100" s="11">
        <v>121</v>
      </c>
      <c r="B100" s="16" t="s">
        <v>4674</v>
      </c>
      <c r="C100" s="16" t="s">
        <v>4675</v>
      </c>
      <c r="D100" s="11">
        <v>8</v>
      </c>
      <c r="E100" s="11">
        <v>7</v>
      </c>
      <c r="F100" s="11" t="s">
        <v>4676</v>
      </c>
      <c r="G100" s="17">
        <v>3</v>
      </c>
      <c r="H100" s="11"/>
      <c r="I100" s="11"/>
      <c r="J100" s="11" t="s">
        <v>4677</v>
      </c>
      <c r="K100" s="11" t="s">
        <v>4678</v>
      </c>
      <c r="L100" s="11">
        <v>30</v>
      </c>
      <c r="M100" s="31" t="s">
        <v>4679</v>
      </c>
      <c r="N100" s="11"/>
      <c r="O100" s="11"/>
      <c r="P100" s="11" t="s">
        <v>4544</v>
      </c>
      <c r="Q100" s="19"/>
      <c r="R100" s="19"/>
      <c r="S100" s="53" t="str">
        <f>HYPERLINK("https://www.google.com/maps/search/" &amp; Table24[[#This Row],[Tên hẻm]], "Xem trên Google Maps")</f>
        <v>Xem trên Google Maps</v>
      </c>
      <c r="T100" s="16" t="str">
        <f>"Hẻm "&amp;Table24[[#This Row],[Hẻm]]&amp;" "&amp;Table24[[#This Row],[Tuyến đường]]&amp;", Phường "&amp;Table24[[#This Row],[Phường]]&amp;", Quận "&amp;Table24[[#This Row],[Quận]]</f>
        <v>Hẻm Rạch lồng Đèn  đường H khu Bình Điền , Phường 7, Quận 8</v>
      </c>
      <c r="U100" s="36"/>
      <c r="V100" s="56" t="e">
        <f>HYPERLINK("https://www.google.com/maps/search/?api=1&amp;query=" &amp; _xlfn.ENCODEURL(Table24[[#This Row],[Tên hẻm]]), "Link Google Map")</f>
        <v>#VALUE!</v>
      </c>
    </row>
    <row r="101" spans="1:22" ht="48.75" hidden="1" customHeight="1">
      <c r="A101" s="11">
        <v>122</v>
      </c>
      <c r="B101" s="16">
        <v>45</v>
      </c>
      <c r="C101" s="16" t="s">
        <v>4680</v>
      </c>
      <c r="D101" s="11">
        <v>8</v>
      </c>
      <c r="E101" s="11">
        <v>4</v>
      </c>
      <c r="F101" s="11" t="s">
        <v>2040</v>
      </c>
      <c r="G101" s="17">
        <v>4</v>
      </c>
      <c r="H101" s="11"/>
      <c r="I101" s="11"/>
      <c r="J101" s="11" t="s">
        <v>4681</v>
      </c>
      <c r="K101" s="11" t="s">
        <v>4680</v>
      </c>
      <c r="L101" s="11">
        <v>27</v>
      </c>
      <c r="M101" s="31" t="s">
        <v>4682</v>
      </c>
      <c r="N101" s="11"/>
      <c r="O101" s="11"/>
      <c r="P101" s="11" t="s">
        <v>4544</v>
      </c>
      <c r="Q101" s="19"/>
      <c r="R101" s="19"/>
      <c r="S101" s="53" t="str">
        <f>HYPERLINK("https://www.google.com/maps/search/" &amp; Table24[[#This Row],[Tên hẻm]], "Xem trên Google Maps")</f>
        <v>Xem trên Google Maps</v>
      </c>
      <c r="T101" s="16" t="str">
        <f>"Hẻm "&amp;Table24[[#This Row],[Hẻm]]&amp;" "&amp;Table24[[#This Row],[Tuyến đường]]&amp;", Phường "&amp;Table24[[#This Row],[Phường]]&amp;", Quận "&amp;Table24[[#This Row],[Quận]]</f>
        <v>Hẻm 45 Cao Lỗ , Phường 4, Quận 8</v>
      </c>
      <c r="U101" s="36"/>
      <c r="V101" s="56" t="e">
        <f>HYPERLINK("https://www.google.com/maps/search/?api=1&amp;query=" &amp; _xlfn.ENCODEURL(Table24[[#This Row],[Tên hẻm]]), "Link Google Map")</f>
        <v>#VALUE!</v>
      </c>
    </row>
    <row r="102" spans="1:22" ht="48.75" hidden="1" customHeight="1">
      <c r="A102" s="11">
        <v>123</v>
      </c>
      <c r="B102" s="16">
        <v>78</v>
      </c>
      <c r="C102" s="16" t="s">
        <v>4680</v>
      </c>
      <c r="D102" s="11">
        <v>8</v>
      </c>
      <c r="E102" s="11">
        <v>4</v>
      </c>
      <c r="F102" s="11" t="s">
        <v>4683</v>
      </c>
      <c r="G102" s="17">
        <v>4</v>
      </c>
      <c r="H102" s="11"/>
      <c r="I102" s="11"/>
      <c r="J102" s="11" t="s">
        <v>4680</v>
      </c>
      <c r="K102" s="11" t="s">
        <v>4684</v>
      </c>
      <c r="L102" s="11">
        <v>7</v>
      </c>
      <c r="M102" s="31" t="s">
        <v>4685</v>
      </c>
      <c r="N102" s="11"/>
      <c r="O102" s="11"/>
      <c r="P102" s="11" t="s">
        <v>4544</v>
      </c>
      <c r="Q102" s="19"/>
      <c r="R102" s="19"/>
      <c r="S102" s="53" t="str">
        <f>HYPERLINK("https://www.google.com/maps/search/" &amp; Table24[[#This Row],[Tên hẻm]], "Xem trên Google Maps")</f>
        <v>Xem trên Google Maps</v>
      </c>
      <c r="T102" s="16" t="str">
        <f>"Hẻm "&amp;Table24[[#This Row],[Hẻm]]&amp;" "&amp;Table24[[#This Row],[Tuyến đường]]&amp;", Phường "&amp;Table24[[#This Row],[Phường]]&amp;", Quận "&amp;Table24[[#This Row],[Quận]]</f>
        <v>Hẻm 78 Cao Lỗ , Phường 4, Quận 8</v>
      </c>
      <c r="U102" s="36"/>
      <c r="V102" s="56" t="e">
        <f>HYPERLINK("https://www.google.com/maps/search/?api=1&amp;query=" &amp; _xlfn.ENCODEURL(Table24[[#This Row],[Tên hẻm]]), "Link Google Map")</f>
        <v>#VALUE!</v>
      </c>
    </row>
    <row r="103" spans="1:22" ht="48.75" hidden="1" customHeight="1">
      <c r="A103" s="11">
        <v>124</v>
      </c>
      <c r="B103" s="16">
        <v>481</v>
      </c>
      <c r="C103" s="16" t="s">
        <v>4686</v>
      </c>
      <c r="D103" s="11">
        <v>8</v>
      </c>
      <c r="E103" s="11">
        <v>9</v>
      </c>
      <c r="F103" s="11" t="s">
        <v>4687</v>
      </c>
      <c r="G103" s="17">
        <v>5</v>
      </c>
      <c r="H103" s="11"/>
      <c r="I103" s="11"/>
      <c r="J103" s="11" t="s">
        <v>4688</v>
      </c>
      <c r="K103" s="11" t="s">
        <v>4689</v>
      </c>
      <c r="L103" s="11">
        <v>5</v>
      </c>
      <c r="M103" s="31" t="s">
        <v>4690</v>
      </c>
      <c r="N103" s="11"/>
      <c r="O103" s="11"/>
      <c r="P103" s="11" t="s">
        <v>4544</v>
      </c>
      <c r="Q103" s="19"/>
      <c r="R103" s="19"/>
      <c r="S103" s="53" t="str">
        <f>HYPERLINK("https://www.google.com/maps/search/" &amp; Table24[[#This Row],[Tên hẻm]], "Xem trên Google Maps")</f>
        <v>Xem trên Google Maps</v>
      </c>
      <c r="T103" s="16" t="str">
        <f>"Hẻm "&amp;Table24[[#This Row],[Hẻm]]&amp;" "&amp;Table24[[#This Row],[Tuyến đường]]&amp;", Phường "&amp;Table24[[#This Row],[Phường]]&amp;", Quận "&amp;Table24[[#This Row],[Quận]]</f>
        <v>Hẻm 481 Ba Đình , Phường 9, Quận 8</v>
      </c>
      <c r="U103" s="36"/>
      <c r="V103" s="56" t="e">
        <f>HYPERLINK("https://www.google.com/maps/search/?api=1&amp;query=" &amp; _xlfn.ENCODEURL(Table24[[#This Row],[Tên hẻm]]), "Link Google Map")</f>
        <v>#VALUE!</v>
      </c>
    </row>
    <row r="104" spans="1:22" ht="48.75" hidden="1" customHeight="1">
      <c r="A104" s="11">
        <v>125</v>
      </c>
      <c r="B104" s="16">
        <v>5</v>
      </c>
      <c r="C104" s="16" t="s">
        <v>1896</v>
      </c>
      <c r="D104" s="11">
        <v>8</v>
      </c>
      <c r="E104" s="11">
        <v>15</v>
      </c>
      <c r="F104" s="11" t="s">
        <v>4691</v>
      </c>
      <c r="G104" s="17">
        <v>4</v>
      </c>
      <c r="H104" s="11"/>
      <c r="I104" s="11"/>
      <c r="J104" s="11" t="s">
        <v>1896</v>
      </c>
      <c r="K104" s="11" t="s">
        <v>4692</v>
      </c>
      <c r="L104" s="11">
        <v>6</v>
      </c>
      <c r="M104" s="31" t="s">
        <v>4693</v>
      </c>
      <c r="N104" s="11"/>
      <c r="O104" s="11"/>
      <c r="P104" s="11" t="s">
        <v>4643</v>
      </c>
      <c r="Q104" s="19"/>
      <c r="R104" s="19"/>
      <c r="S104" s="53" t="str">
        <f>HYPERLINK("https://www.google.com/maps/search/" &amp; Table24[[#This Row],[Tên hẻm]], "Xem trên Google Maps")</f>
        <v>Xem trên Google Maps</v>
      </c>
      <c r="T104" s="16" t="str">
        <f>"Hẻm "&amp;Table24[[#This Row],[Hẻm]]&amp;" "&amp;Table24[[#This Row],[Tuyến đường]]&amp;", Phường "&amp;Table24[[#This Row],[Phường]]&amp;", Quận "&amp;Table24[[#This Row],[Quận]]</f>
        <v>Hẻm 5 Mễ Cốc, Phường 15, Quận 8</v>
      </c>
      <c r="U104" s="36"/>
      <c r="V104" s="56" t="e">
        <f>HYPERLINK("https://www.google.com/maps/search/?api=1&amp;query=" &amp; _xlfn.ENCODEURL(Table24[[#This Row],[Tên hẻm]]), "Link Google Map")</f>
        <v>#VALUE!</v>
      </c>
    </row>
    <row r="105" spans="1:22" ht="48.75" hidden="1" customHeight="1">
      <c r="A105" s="11">
        <v>126</v>
      </c>
      <c r="B105" s="16" t="s">
        <v>4694</v>
      </c>
      <c r="C105" s="16" t="s">
        <v>4695</v>
      </c>
      <c r="D105" s="11">
        <v>8</v>
      </c>
      <c r="E105" s="11">
        <v>15</v>
      </c>
      <c r="F105" s="11" t="s">
        <v>4696</v>
      </c>
      <c r="G105" s="17">
        <v>3.5</v>
      </c>
      <c r="H105" s="11"/>
      <c r="I105" s="11"/>
      <c r="J105" s="11" t="s">
        <v>4697</v>
      </c>
      <c r="K105" s="11" t="s">
        <v>4698</v>
      </c>
      <c r="L105" s="11">
        <v>16</v>
      </c>
      <c r="M105" s="31" t="s">
        <v>4699</v>
      </c>
      <c r="N105" s="11"/>
      <c r="O105" s="11"/>
      <c r="P105" s="11" t="s">
        <v>4643</v>
      </c>
      <c r="Q105" s="19"/>
      <c r="R105" s="19"/>
      <c r="S105" s="53" t="str">
        <f>HYPERLINK("https://www.google.com/maps/search/" &amp; Table24[[#This Row],[Tên hẻm]], "Xem trên Google Maps")</f>
        <v>Xem trên Google Maps</v>
      </c>
      <c r="T105" s="16" t="str">
        <f>"Hẻm "&amp;Table24[[#This Row],[Hẻm]]&amp;" "&amp;Table24[[#This Row],[Tuyến đường]]&amp;", Phường "&amp;Table24[[#This Row],[Phường]]&amp;", Quận "&amp;Table24[[#This Row],[Quận]]</f>
        <v>Hẻm 141 +20+24 Lưu Hữu Phước + Nguyễn Nhược Thị, Phường 15, Quận 8</v>
      </c>
      <c r="U105" s="36"/>
      <c r="V105" s="56" t="e">
        <f>HYPERLINK("https://www.google.com/maps/search/?api=1&amp;query=" &amp; _xlfn.ENCODEURL(Table24[[#This Row],[Tên hẻm]]), "Link Google Map")</f>
        <v>#VALUE!</v>
      </c>
    </row>
    <row r="106" spans="1:22" ht="48.75" hidden="1" customHeight="1">
      <c r="A106" s="11">
        <v>127</v>
      </c>
      <c r="B106" s="16" t="s">
        <v>4700</v>
      </c>
      <c r="C106" s="16" t="s">
        <v>4701</v>
      </c>
      <c r="D106" s="11">
        <v>8</v>
      </c>
      <c r="E106" s="11">
        <v>12</v>
      </c>
      <c r="F106" s="11" t="s">
        <v>4547</v>
      </c>
      <c r="G106" s="17">
        <v>4.5</v>
      </c>
      <c r="H106" s="11"/>
      <c r="I106" s="11"/>
      <c r="J106" s="11" t="s">
        <v>4702</v>
      </c>
      <c r="K106" s="11" t="s">
        <v>4703</v>
      </c>
      <c r="L106" s="11">
        <v>12</v>
      </c>
      <c r="M106" s="31" t="s">
        <v>4704</v>
      </c>
      <c r="N106" s="11"/>
      <c r="O106" s="11"/>
      <c r="P106" s="11" t="s">
        <v>4643</v>
      </c>
      <c r="Q106" s="19"/>
      <c r="R106" s="19"/>
      <c r="S106" s="53" t="str">
        <f>HYPERLINK("https://www.google.com/maps/search/" &amp; Table24[[#This Row],[Tên hẻm]], "Xem trên Google Maps")</f>
        <v>Xem trên Google Maps</v>
      </c>
      <c r="T106" s="16" t="str">
        <f>"Hẻm "&amp;Table24[[#This Row],[Hẻm]]&amp;" "&amp;Table24[[#This Row],[Tuyến đường]]&amp;", Phường "&amp;Table24[[#This Row],[Phường]]&amp;", Quận "&amp;Table24[[#This Row],[Quận]]</f>
        <v>Hẻm 904, 118, 175, 129 Nguyễn Duy, Mạc Vân. Nguyễn Chế Nghĩa, Phường 12, Quận 8</v>
      </c>
      <c r="U106" s="36"/>
      <c r="V106" s="56" t="e">
        <f>HYPERLINK("https://www.google.com/maps/search/?api=1&amp;query=" &amp; _xlfn.ENCODEURL(Table24[[#This Row],[Tên hẻm]]), "Link Google Map")</f>
        <v>#VALUE!</v>
      </c>
    </row>
    <row r="107" spans="1:22" ht="48.75" hidden="1" customHeight="1">
      <c r="A107" s="11">
        <v>128</v>
      </c>
      <c r="B107" s="16">
        <v>832</v>
      </c>
      <c r="C107" s="16" t="s">
        <v>4702</v>
      </c>
      <c r="D107" s="11">
        <v>8</v>
      </c>
      <c r="E107" s="11">
        <v>12</v>
      </c>
      <c r="F107" s="11" t="s">
        <v>2353</v>
      </c>
      <c r="G107" s="17">
        <v>4</v>
      </c>
      <c r="H107" s="11"/>
      <c r="I107" s="11"/>
      <c r="J107" s="11" t="s">
        <v>4702</v>
      </c>
      <c r="K107" s="11" t="s">
        <v>4703</v>
      </c>
      <c r="L107" s="11">
        <v>12</v>
      </c>
      <c r="M107" s="31" t="s">
        <v>4705</v>
      </c>
      <c r="N107" s="11"/>
      <c r="O107" s="11"/>
      <c r="P107" s="11" t="s">
        <v>4643</v>
      </c>
      <c r="Q107" s="19"/>
      <c r="R107" s="19"/>
      <c r="S107" s="53" t="str">
        <f>HYPERLINK("https://www.google.com/maps/search/" &amp; Table24[[#This Row],[Tên hẻm]], "Xem trên Google Maps")</f>
        <v>Xem trên Google Maps</v>
      </c>
      <c r="T107" s="16" t="str">
        <f>"Hẻm "&amp;Table24[[#This Row],[Hẻm]]&amp;" "&amp;Table24[[#This Row],[Tuyến đường]]&amp;", Phường "&amp;Table24[[#This Row],[Phường]]&amp;", Quận "&amp;Table24[[#This Row],[Quận]]</f>
        <v>Hẻm 832 Nguyễn Duy, Phường 12, Quận 8</v>
      </c>
      <c r="U107" s="36"/>
      <c r="V107" s="56" t="e">
        <f>HYPERLINK("https://www.google.com/maps/search/?api=1&amp;query=" &amp; _xlfn.ENCODEURL(Table24[[#This Row],[Tên hẻm]]), "Link Google Map")</f>
        <v>#VALUE!</v>
      </c>
    </row>
    <row r="108" spans="1:22" ht="48.75" hidden="1" customHeight="1">
      <c r="A108" s="11">
        <v>129</v>
      </c>
      <c r="B108" s="16">
        <v>690</v>
      </c>
      <c r="C108" s="16" t="s">
        <v>4702</v>
      </c>
      <c r="D108" s="11">
        <v>8</v>
      </c>
      <c r="E108" s="11">
        <v>12</v>
      </c>
      <c r="F108" s="11" t="s">
        <v>2357</v>
      </c>
      <c r="G108" s="17">
        <v>4</v>
      </c>
      <c r="H108" s="11"/>
      <c r="I108" s="11"/>
      <c r="J108" s="11" t="s">
        <v>4702</v>
      </c>
      <c r="K108" s="11" t="s">
        <v>4703</v>
      </c>
      <c r="L108" s="11">
        <v>12</v>
      </c>
      <c r="M108" s="31" t="s">
        <v>4706</v>
      </c>
      <c r="N108" s="11"/>
      <c r="O108" s="11"/>
      <c r="P108" s="11" t="s">
        <v>4643</v>
      </c>
      <c r="Q108" s="19"/>
      <c r="R108" s="19"/>
      <c r="S108" s="53" t="str">
        <f>HYPERLINK("https://www.google.com/maps/search/" &amp; Table24[[#This Row],[Tên hẻm]], "Xem trên Google Maps")</f>
        <v>Xem trên Google Maps</v>
      </c>
      <c r="T108" s="16" t="str">
        <f>"Hẻm "&amp;Table24[[#This Row],[Hẻm]]&amp;" "&amp;Table24[[#This Row],[Tuyến đường]]&amp;", Phường "&amp;Table24[[#This Row],[Phường]]&amp;", Quận "&amp;Table24[[#This Row],[Quận]]</f>
        <v>Hẻm 690 Nguyễn Duy, Phường 12, Quận 8</v>
      </c>
      <c r="U108" s="36"/>
      <c r="V108" s="56" t="e">
        <f>HYPERLINK("https://www.google.com/maps/search/?api=1&amp;query=" &amp; _xlfn.ENCODEURL(Table24[[#This Row],[Tên hẻm]]), "Link Google Map")</f>
        <v>#VALUE!</v>
      </c>
    </row>
    <row r="109" spans="1:22" ht="48.75" hidden="1" customHeight="1">
      <c r="A109" s="11">
        <v>130</v>
      </c>
      <c r="B109" s="16" t="s">
        <v>4707</v>
      </c>
      <c r="C109" s="16" t="s">
        <v>4708</v>
      </c>
      <c r="D109" s="11">
        <v>8</v>
      </c>
      <c r="E109" s="11">
        <v>12</v>
      </c>
      <c r="F109" s="11" t="s">
        <v>2322</v>
      </c>
      <c r="G109" s="17">
        <v>3.5</v>
      </c>
      <c r="H109" s="11"/>
      <c r="I109" s="11"/>
      <c r="J109" s="11" t="s">
        <v>2323</v>
      </c>
      <c r="K109" s="11" t="s">
        <v>4703</v>
      </c>
      <c r="L109" s="11">
        <v>14</v>
      </c>
      <c r="M109" s="31" t="s">
        <v>4709</v>
      </c>
      <c r="N109" s="11"/>
      <c r="O109" s="11"/>
      <c r="P109" s="11" t="s">
        <v>4643</v>
      </c>
      <c r="Q109" s="19"/>
      <c r="R109" s="19"/>
      <c r="S109" s="53" t="str">
        <f>HYPERLINK("https://www.google.com/maps/search/" &amp; Table24[[#This Row],[Tên hẻm]], "Xem trên Google Maps")</f>
        <v>Xem trên Google Maps</v>
      </c>
      <c r="T109" s="16" t="str">
        <f>"Hẻm "&amp;Table24[[#This Row],[Hẻm]]&amp;" "&amp;Table24[[#This Row],[Tuyến đường]]&amp;", Phường "&amp;Table24[[#This Row],[Phường]]&amp;", Quận "&amp;Table24[[#This Row],[Quận]]</f>
        <v>Hẻm 12, 46,156 Nguyễn Chế Nghĩa, Tuy Lý Vương, Phường 12, Quận 8</v>
      </c>
      <c r="U109" s="36"/>
      <c r="V109" s="56" t="e">
        <f>HYPERLINK("https://www.google.com/maps/search/?api=1&amp;query=" &amp; _xlfn.ENCODEURL(Table24[[#This Row],[Tên hẻm]]), "Link Google Map")</f>
        <v>#VALUE!</v>
      </c>
    </row>
    <row r="110" spans="1:22" ht="47.25" hidden="1">
      <c r="A110" s="11">
        <v>131</v>
      </c>
      <c r="B110" s="16">
        <v>386</v>
      </c>
      <c r="C110" s="16" t="s">
        <v>4380</v>
      </c>
      <c r="D110" s="11">
        <v>3</v>
      </c>
      <c r="E110" s="11">
        <v>14</v>
      </c>
      <c r="F110" s="11" t="s">
        <v>4460</v>
      </c>
      <c r="G110" s="17" t="s">
        <v>4367</v>
      </c>
      <c r="H110" s="11"/>
      <c r="I110" s="11"/>
      <c r="J110" s="11" t="s">
        <v>4536</v>
      </c>
      <c r="K110" s="11" t="s">
        <v>4537</v>
      </c>
      <c r="L110" s="11">
        <v>17</v>
      </c>
      <c r="M110" s="31" t="s">
        <v>4710</v>
      </c>
      <c r="N110" s="11"/>
      <c r="O110" s="11"/>
      <c r="P110" s="11" t="s">
        <v>4341</v>
      </c>
      <c r="Q110" s="19"/>
      <c r="R110" s="19"/>
      <c r="S110" s="23" t="str">
        <f>HYPERLINK("https://www.google.com/maps/search/" &amp; Table24[[#This Row],[Tên hẻm]], "Xem trên Google Maps")</f>
        <v>Xem trên Google Maps</v>
      </c>
      <c r="T110" s="16" t="str">
        <f>"Hẻm "&amp;Table24[[#This Row],[Hẻm]]&amp;" "&amp;Table24[[#This Row],[Tuyến đường]]&amp;", Phường "&amp;Table24[[#This Row],[Phường]]&amp;", Quận "&amp;Table24[[#This Row],[Quận]]</f>
        <v>Hẻm 386 Lê Văn Sỹ , Phường 14, Quận 3</v>
      </c>
      <c r="U110" s="36"/>
      <c r="V110" s="56" t="e">
        <f>HYPERLINK("https://www.google.com/maps/search/?api=1&amp;query=" &amp; _xlfn.ENCODEURL(Table24[[#This Row],[Tên hẻm]]), "Link Google Map")</f>
        <v>#VALUE!</v>
      </c>
    </row>
    <row r="111" spans="1:22" ht="47.25" hidden="1">
      <c r="A111" s="11">
        <v>132</v>
      </c>
      <c r="B111" s="16">
        <v>400</v>
      </c>
      <c r="C111" s="16" t="s">
        <v>4380</v>
      </c>
      <c r="D111" s="11">
        <v>3</v>
      </c>
      <c r="E111" s="11">
        <v>14</v>
      </c>
      <c r="F111" s="11" t="s">
        <v>4460</v>
      </c>
      <c r="G111" s="17">
        <v>4</v>
      </c>
      <c r="H111" s="11"/>
      <c r="I111" s="11"/>
      <c r="J111" s="11" t="s">
        <v>4533</v>
      </c>
      <c r="K111" s="11" t="s">
        <v>4534</v>
      </c>
      <c r="L111" s="11">
        <v>3</v>
      </c>
      <c r="M111" s="31" t="s">
        <v>4711</v>
      </c>
      <c r="N111" s="11"/>
      <c r="O111" s="11"/>
      <c r="P111" s="11" t="s">
        <v>4341</v>
      </c>
      <c r="Q111" s="19"/>
      <c r="R111" s="19"/>
      <c r="S111" s="23" t="str">
        <f>HYPERLINK("https://www.google.com/maps/search/" &amp; Table24[[#This Row],[Tên hẻm]], "Xem trên Google Maps")</f>
        <v>Xem trên Google Maps</v>
      </c>
      <c r="T111" s="16" t="str">
        <f>"Hẻm "&amp;Table24[[#This Row],[Hẻm]]&amp;" "&amp;Table24[[#This Row],[Tuyến đường]]&amp;", Phường "&amp;Table24[[#This Row],[Phường]]&amp;", Quận "&amp;Table24[[#This Row],[Quận]]</f>
        <v>Hẻm 400 Lê Văn Sỹ , Phường 14, Quận 3</v>
      </c>
      <c r="U111" s="36"/>
      <c r="V111" s="56" t="e">
        <f>HYPERLINK("https://www.google.com/maps/search/?api=1&amp;query=" &amp; _xlfn.ENCODEURL(Table24[[#This Row],[Tên hẻm]]), "Link Google Map")</f>
        <v>#VALUE!</v>
      </c>
    </row>
    <row r="112" spans="1:22" ht="47.25" hidden="1">
      <c r="A112" s="11">
        <v>133</v>
      </c>
      <c r="B112" s="16">
        <v>339</v>
      </c>
      <c r="C112" s="16" t="s">
        <v>4380</v>
      </c>
      <c r="D112" s="11">
        <v>3</v>
      </c>
      <c r="E112" s="11">
        <v>13</v>
      </c>
      <c r="F112" s="11" t="s">
        <v>4460</v>
      </c>
      <c r="G112" s="17" t="s">
        <v>4343</v>
      </c>
      <c r="H112" s="11"/>
      <c r="I112" s="11"/>
      <c r="J112" s="11" t="s">
        <v>4712</v>
      </c>
      <c r="K112" s="11" t="s">
        <v>4525</v>
      </c>
      <c r="L112" s="11">
        <v>11</v>
      </c>
      <c r="M112" s="31" t="s">
        <v>4713</v>
      </c>
      <c r="N112" s="11"/>
      <c r="O112" s="11"/>
      <c r="P112" s="11" t="s">
        <v>4341</v>
      </c>
      <c r="Q112" s="19"/>
      <c r="R112" s="19"/>
      <c r="S112" s="23" t="str">
        <f>HYPERLINK("https://www.google.com/maps/search/" &amp; Table24[[#This Row],[Tên hẻm]], "Xem trên Google Maps")</f>
        <v>Xem trên Google Maps</v>
      </c>
      <c r="T112" s="16" t="str">
        <f>"Hẻm "&amp;Table24[[#This Row],[Hẻm]]&amp;" "&amp;Table24[[#This Row],[Tuyến đường]]&amp;", Phường "&amp;Table24[[#This Row],[Phường]]&amp;", Quận "&amp;Table24[[#This Row],[Quận]]</f>
        <v>Hẻm 339 Lê Văn Sỹ , Phường 13, Quận 3</v>
      </c>
      <c r="U112" s="36"/>
      <c r="V112" s="56" t="e">
        <f>HYPERLINK("https://www.google.com/maps/search/?api=1&amp;query=" &amp; _xlfn.ENCODEURL(Table24[[#This Row],[Tên hẻm]]), "Link Google Map")</f>
        <v>#VALUE!</v>
      </c>
    </row>
    <row r="113" spans="1:22" ht="47.25" hidden="1">
      <c r="A113" s="11">
        <v>134</v>
      </c>
      <c r="B113" s="16">
        <v>351</v>
      </c>
      <c r="C113" s="16" t="s">
        <v>4380</v>
      </c>
      <c r="D113" s="11">
        <v>3</v>
      </c>
      <c r="E113" s="11">
        <v>13</v>
      </c>
      <c r="F113" s="11" t="s">
        <v>4460</v>
      </c>
      <c r="G113" s="17" t="s">
        <v>4343</v>
      </c>
      <c r="H113" s="11"/>
      <c r="I113" s="11"/>
      <c r="J113" s="11" t="s">
        <v>4517</v>
      </c>
      <c r="K113" s="11" t="s">
        <v>4518</v>
      </c>
      <c r="L113" s="11">
        <v>10</v>
      </c>
      <c r="M113" s="31" t="s">
        <v>4714</v>
      </c>
      <c r="N113" s="11"/>
      <c r="O113" s="11"/>
      <c r="P113" s="11" t="s">
        <v>4341</v>
      </c>
      <c r="Q113" s="19"/>
      <c r="R113" s="19"/>
      <c r="S113" s="23" t="str">
        <f>HYPERLINK("https://www.google.com/maps/search/" &amp; Table24[[#This Row],[Tên hẻm]], "Xem trên Google Maps")</f>
        <v>Xem trên Google Maps</v>
      </c>
      <c r="T113" s="16" t="str">
        <f>"Hẻm "&amp;Table24[[#This Row],[Hẻm]]&amp;" "&amp;Table24[[#This Row],[Tuyến đường]]&amp;", Phường "&amp;Table24[[#This Row],[Phường]]&amp;", Quận "&amp;Table24[[#This Row],[Quận]]</f>
        <v>Hẻm 351 Lê Văn Sỹ , Phường 13, Quận 3</v>
      </c>
      <c r="U113" s="36"/>
      <c r="V113" s="56" t="e">
        <f>HYPERLINK("https://www.google.com/maps/search/?api=1&amp;query=" &amp; _xlfn.ENCODEURL(Table24[[#This Row],[Tên hẻm]]), "Link Google Map")</f>
        <v>#VALUE!</v>
      </c>
    </row>
    <row r="114" spans="1:22" ht="47.25" hidden="1">
      <c r="A114" s="11">
        <v>135</v>
      </c>
      <c r="B114" s="16">
        <v>429</v>
      </c>
      <c r="C114" s="16" t="s">
        <v>4380</v>
      </c>
      <c r="D114" s="11">
        <v>3</v>
      </c>
      <c r="E114" s="11">
        <v>14</v>
      </c>
      <c r="F114" s="11" t="s">
        <v>4460</v>
      </c>
      <c r="G114" s="17" t="s">
        <v>4363</v>
      </c>
      <c r="H114" s="11"/>
      <c r="I114" s="11"/>
      <c r="J114" s="11" t="s">
        <v>4715</v>
      </c>
      <c r="K114" s="11" t="s">
        <v>4716</v>
      </c>
      <c r="L114" s="11">
        <v>6</v>
      </c>
      <c r="M114" s="31" t="s">
        <v>4717</v>
      </c>
      <c r="N114" s="11"/>
      <c r="O114" s="11"/>
      <c r="P114" s="11" t="s">
        <v>4341</v>
      </c>
      <c r="Q114" s="19"/>
      <c r="R114" s="19"/>
      <c r="S114" s="23" t="str">
        <f>HYPERLINK("https://www.google.com/maps/search/" &amp; Table24[[#This Row],[Tên hẻm]], "Xem trên Google Maps")</f>
        <v>Xem trên Google Maps</v>
      </c>
      <c r="T114" s="16" t="str">
        <f>"Hẻm "&amp;Table24[[#This Row],[Hẻm]]&amp;" "&amp;Table24[[#This Row],[Tuyến đường]]&amp;", Phường "&amp;Table24[[#This Row],[Phường]]&amp;", Quận "&amp;Table24[[#This Row],[Quận]]</f>
        <v>Hẻm 429 Lê Văn Sỹ , Phường 14, Quận 3</v>
      </c>
      <c r="U114" s="36"/>
      <c r="V114" s="56" t="e">
        <f>HYPERLINK("https://www.google.com/maps/search/?api=1&amp;query=" &amp; _xlfn.ENCODEURL(Table24[[#This Row],[Tên hẻm]]), "Link Google Map")</f>
        <v>#VALUE!</v>
      </c>
    </row>
    <row r="115" spans="1:22" ht="47.25" hidden="1">
      <c r="A115" s="11">
        <v>136</v>
      </c>
      <c r="B115" s="16">
        <v>575</v>
      </c>
      <c r="C115" s="16" t="s">
        <v>4445</v>
      </c>
      <c r="D115" s="11">
        <v>10</v>
      </c>
      <c r="E115" s="11">
        <v>15</v>
      </c>
      <c r="F115" s="11" t="s">
        <v>4718</v>
      </c>
      <c r="G115" s="17">
        <v>4</v>
      </c>
      <c r="H115" s="11"/>
      <c r="I115" s="11"/>
      <c r="J115" s="11" t="s">
        <v>4445</v>
      </c>
      <c r="K115" s="11" t="s">
        <v>4719</v>
      </c>
      <c r="L115" s="11">
        <v>31</v>
      </c>
      <c r="M115" s="31" t="s">
        <v>4720</v>
      </c>
      <c r="N115" s="11"/>
      <c r="O115" s="11"/>
      <c r="P115" s="11" t="s">
        <v>4544</v>
      </c>
      <c r="Q115" s="19"/>
      <c r="R115" s="19"/>
      <c r="S115" s="23" t="str">
        <f>HYPERLINK("https://www.google.com/maps/search/" &amp; Table24[[#This Row],[Tên hẻm]], "Xem trên Google Maps")</f>
        <v>Xem trên Google Maps</v>
      </c>
      <c r="T115" s="16" t="str">
        <f>"Hẻm "&amp;Table24[[#This Row],[Hẻm]]&amp;" "&amp;Table24[[#This Row],[Tuyến đường]]&amp;", Phường "&amp;Table24[[#This Row],[Phường]]&amp;", Quận "&amp;Table24[[#This Row],[Quận]]</f>
        <v>Hẻm 575 CMT8, Phường 15, Quận 10</v>
      </c>
      <c r="U115" s="36"/>
      <c r="V115" s="56" t="e">
        <f>HYPERLINK("https://www.google.com/maps/search/?api=1&amp;query=" &amp; _xlfn.ENCODEURL(Table24[[#This Row],[Tên hẻm]]), "Link Google Map")</f>
        <v>#VALUE!</v>
      </c>
    </row>
    <row r="116" spans="1:22" s="55" customFormat="1" ht="47.25" hidden="1">
      <c r="A116" s="11">
        <v>137</v>
      </c>
      <c r="B116" s="16">
        <v>154</v>
      </c>
      <c r="C116" s="16" t="s">
        <v>4721</v>
      </c>
      <c r="D116" s="57">
        <v>10</v>
      </c>
      <c r="E116" s="57">
        <v>9</v>
      </c>
      <c r="F116" s="57" t="s">
        <v>3217</v>
      </c>
      <c r="G116" s="17">
        <v>4</v>
      </c>
      <c r="H116" s="11"/>
      <c r="I116" s="11"/>
      <c r="J116" s="11" t="s">
        <v>4721</v>
      </c>
      <c r="K116" s="11" t="s">
        <v>4722</v>
      </c>
      <c r="L116" s="57">
        <v>17</v>
      </c>
      <c r="M116" s="58" t="s">
        <v>4723</v>
      </c>
      <c r="N116" s="11"/>
      <c r="O116" s="11"/>
      <c r="P116" s="57" t="s">
        <v>4544</v>
      </c>
      <c r="Q116" s="19"/>
      <c r="R116" s="19"/>
      <c r="S116" s="23" t="str">
        <f>HYPERLINK("https://www.google.com/maps/search/" &amp; Table24[[#This Row],[Tên hẻm]], "Xem trên Google Maps")</f>
        <v>Xem trên Google Maps</v>
      </c>
      <c r="T116" s="59" t="str">
        <f>"Hẻm "&amp;Table24[[#This Row],[Hẻm]]&amp;" "&amp;Table24[[#This Row],[Tuyến đường]]&amp;", Phường "&amp;Table24[[#This Row],[Phường]]&amp;", Quận "&amp;Table24[[#This Row],[Quận]]</f>
        <v>Hẻm 154 Bà Hạt , Phường 9, Quận 10</v>
      </c>
      <c r="U116" s="36"/>
      <c r="V116" s="56" t="e">
        <f>HYPERLINK("https://www.google.com/maps/search/?api=1&amp;query=" &amp; _xlfn.ENCODEURL(Table24[[#This Row],[Tên hẻm]]), "Link Google Map")</f>
        <v>#VALUE!</v>
      </c>
    </row>
    <row r="117" spans="1:22" ht="47.25" hidden="1">
      <c r="A117" s="11">
        <v>138</v>
      </c>
      <c r="B117" s="16">
        <v>216</v>
      </c>
      <c r="C117" s="16" t="s">
        <v>4724</v>
      </c>
      <c r="D117" s="11">
        <v>11</v>
      </c>
      <c r="E117" s="11">
        <v>3</v>
      </c>
      <c r="F117" s="11" t="s">
        <v>4019</v>
      </c>
      <c r="G117" s="17">
        <v>4</v>
      </c>
      <c r="H117" s="11"/>
      <c r="I117" s="11"/>
      <c r="J117" s="11" t="s">
        <v>4725</v>
      </c>
      <c r="K117" s="11" t="s">
        <v>4672</v>
      </c>
      <c r="L117" s="11">
        <v>2</v>
      </c>
      <c r="M117" s="31" t="s">
        <v>4726</v>
      </c>
      <c r="N117" s="11"/>
      <c r="O117" s="11"/>
      <c r="P117" s="11" t="s">
        <v>4544</v>
      </c>
      <c r="Q117" s="19"/>
      <c r="R117" s="19"/>
      <c r="S117" s="23" t="str">
        <f>HYPERLINK("https://www.google.com/maps/search/" &amp; Table24[[#This Row],[Tên hẻm]], "Xem trên Google Maps")</f>
        <v>Xem trên Google Maps</v>
      </c>
      <c r="T117" s="16" t="str">
        <f>"Hẻm "&amp;Table24[[#This Row],[Hẻm]]&amp;" "&amp;Table24[[#This Row],[Tuyến đường]]&amp;", Phường "&amp;Table24[[#This Row],[Phường]]&amp;", Quận "&amp;Table24[[#This Row],[Quận]]</f>
        <v>Hẻm 216 Lạc Long Quân , Phường 3, Quận 11</v>
      </c>
      <c r="U117" s="36"/>
      <c r="V117" s="56" t="e">
        <f>HYPERLINK("https://www.google.com/maps/search/?api=1&amp;query=" &amp; _xlfn.ENCODEURL(Table24[[#This Row],[Tên hẻm]]), "Link Google Map")</f>
        <v>#VALUE!</v>
      </c>
    </row>
    <row r="118" spans="1:22" ht="47.25" hidden="1">
      <c r="A118" s="11">
        <v>139</v>
      </c>
      <c r="B118" s="16">
        <v>194</v>
      </c>
      <c r="C118" s="16" t="s">
        <v>4724</v>
      </c>
      <c r="D118" s="11">
        <v>11</v>
      </c>
      <c r="E118" s="11">
        <v>3</v>
      </c>
      <c r="F118" s="11" t="s">
        <v>4019</v>
      </c>
      <c r="G118" s="17">
        <v>4</v>
      </c>
      <c r="H118" s="11"/>
      <c r="I118" s="11"/>
      <c r="J118" s="11" t="s">
        <v>4725</v>
      </c>
      <c r="K118" s="11" t="s">
        <v>4672</v>
      </c>
      <c r="L118" s="11">
        <v>5</v>
      </c>
      <c r="M118" s="31" t="s">
        <v>4727</v>
      </c>
      <c r="N118" s="11"/>
      <c r="O118" s="11"/>
      <c r="P118" s="11" t="s">
        <v>4544</v>
      </c>
      <c r="Q118" s="19"/>
      <c r="R118" s="19"/>
      <c r="S118" s="23" t="str">
        <f>HYPERLINK("https://www.google.com/maps/search/" &amp; Table24[[#This Row],[Tên hẻm]], "Xem trên Google Maps")</f>
        <v>Xem trên Google Maps</v>
      </c>
      <c r="T118" s="16" t="str">
        <f>"Hẻm "&amp;Table24[[#This Row],[Hẻm]]&amp;" "&amp;Table24[[#This Row],[Tuyến đường]]&amp;", Phường "&amp;Table24[[#This Row],[Phường]]&amp;", Quận "&amp;Table24[[#This Row],[Quận]]</f>
        <v>Hẻm 194 Lạc Long Quân , Phường 3, Quận 11</v>
      </c>
      <c r="U118" s="36"/>
      <c r="V118" s="56" t="e">
        <f>HYPERLINK("https://www.google.com/maps/search/?api=1&amp;query=" &amp; _xlfn.ENCODEURL(Table24[[#This Row],[Tên hẻm]]), "Link Google Map")</f>
        <v>#VALUE!</v>
      </c>
    </row>
    <row r="119" spans="1:22" ht="47.25" hidden="1">
      <c r="A119" s="11">
        <v>140</v>
      </c>
      <c r="B119" s="16">
        <v>277</v>
      </c>
      <c r="C119" s="16" t="s">
        <v>4728</v>
      </c>
      <c r="D119" s="11">
        <v>11</v>
      </c>
      <c r="E119" s="11">
        <v>2</v>
      </c>
      <c r="F119" s="11" t="s">
        <v>4729</v>
      </c>
      <c r="G119" s="17">
        <v>6</v>
      </c>
      <c r="H119" s="11"/>
      <c r="I119" s="11"/>
      <c r="J119" s="11" t="s">
        <v>4728</v>
      </c>
      <c r="K119" s="11" t="s">
        <v>4672</v>
      </c>
      <c r="L119" s="11">
        <v>4</v>
      </c>
      <c r="M119" s="31" t="s">
        <v>4730</v>
      </c>
      <c r="N119" s="11"/>
      <c r="O119" s="11"/>
      <c r="P119" s="11" t="s">
        <v>4544</v>
      </c>
      <c r="Q119" s="19"/>
      <c r="R119" s="19"/>
      <c r="S119" s="23" t="str">
        <f>HYPERLINK("https://www.google.com/maps/search/" &amp; Table24[[#This Row],[Tên hẻm]], "Xem trên Google Maps")</f>
        <v>Xem trên Google Maps</v>
      </c>
      <c r="T119" s="16" t="str">
        <f>"Hẻm "&amp;Table24[[#This Row],[Hẻm]]&amp;" "&amp;Table24[[#This Row],[Tuyến đường]]&amp;", Phường "&amp;Table24[[#This Row],[Phường]]&amp;", Quận "&amp;Table24[[#This Row],[Quận]]</f>
        <v>Hẻm 277 Minh Phụng , Phường 2, Quận 11</v>
      </c>
      <c r="U119" s="36"/>
      <c r="V119" s="56" t="e">
        <f>HYPERLINK("https://www.google.com/maps/search/?api=1&amp;query=" &amp; _xlfn.ENCODEURL(Table24[[#This Row],[Tên hẻm]]), "Link Google Map")</f>
        <v>#VALUE!</v>
      </c>
    </row>
    <row r="120" spans="1:22" ht="47.25" hidden="1">
      <c r="A120" s="11">
        <v>141</v>
      </c>
      <c r="B120" s="16">
        <v>300</v>
      </c>
      <c r="C120" s="16" t="s">
        <v>4731</v>
      </c>
      <c r="D120" s="11">
        <v>11</v>
      </c>
      <c r="E120" s="11">
        <v>8</v>
      </c>
      <c r="F120" s="11" t="s">
        <v>3955</v>
      </c>
      <c r="G120" s="17">
        <v>4</v>
      </c>
      <c r="H120" s="11"/>
      <c r="I120" s="11"/>
      <c r="J120" s="11" t="s">
        <v>4731</v>
      </c>
      <c r="K120" s="11" t="s">
        <v>4732</v>
      </c>
      <c r="L120" s="11">
        <v>8</v>
      </c>
      <c r="M120" s="31" t="s">
        <v>4733</v>
      </c>
      <c r="N120" s="11"/>
      <c r="O120" s="11"/>
      <c r="P120" s="11" t="s">
        <v>4544</v>
      </c>
      <c r="Q120" s="19"/>
      <c r="R120" s="19"/>
      <c r="S120" s="23" t="str">
        <f>HYPERLINK("https://www.google.com/maps/search/" &amp; Table24[[#This Row],[Tên hẻm]], "Xem trên Google Maps")</f>
        <v>Xem trên Google Maps</v>
      </c>
      <c r="T120" s="16" t="str">
        <f>"Hẻm "&amp;Table24[[#This Row],[Hẻm]]&amp;" "&amp;Table24[[#This Row],[Tuyến đường]]&amp;", Phường "&amp;Table24[[#This Row],[Phường]]&amp;", Quận "&amp;Table24[[#This Row],[Quận]]</f>
        <v>Hẻm 300 Thái Phiên , Phường 8, Quận 11</v>
      </c>
      <c r="U120" s="36"/>
      <c r="V120" s="56" t="e">
        <f>HYPERLINK("https://www.google.com/maps/search/?api=1&amp;query=" &amp; _xlfn.ENCODEURL(Table24[[#This Row],[Tên hẻm]]), "Link Google Map")</f>
        <v>#VALUE!</v>
      </c>
    </row>
    <row r="121" spans="1:22" ht="47.25" hidden="1">
      <c r="A121" s="11">
        <v>142</v>
      </c>
      <c r="B121" s="16">
        <v>170</v>
      </c>
      <c r="C121" s="16" t="s">
        <v>4734</v>
      </c>
      <c r="D121" s="11">
        <v>11</v>
      </c>
      <c r="E121" s="11">
        <v>12</v>
      </c>
      <c r="F121" s="11" t="s">
        <v>4102</v>
      </c>
      <c r="G121" s="17">
        <v>4</v>
      </c>
      <c r="H121" s="11"/>
      <c r="I121" s="11"/>
      <c r="J121" s="11" t="s">
        <v>4734</v>
      </c>
      <c r="K121" s="11" t="s">
        <v>4735</v>
      </c>
      <c r="L121" s="11">
        <v>3</v>
      </c>
      <c r="M121" s="31" t="s">
        <v>4736</v>
      </c>
      <c r="N121" s="11"/>
      <c r="O121" s="11"/>
      <c r="P121" s="11" t="s">
        <v>4544</v>
      </c>
      <c r="Q121" s="19"/>
      <c r="R121" s="19"/>
      <c r="S121" s="23" t="str">
        <f>HYPERLINK("https://www.google.com/maps/search/" &amp; Table24[[#This Row],[Tên hẻm]], "Xem trên Google Maps")</f>
        <v>Xem trên Google Maps</v>
      </c>
      <c r="T121" s="16" t="str">
        <f>"Hẻm "&amp;Table24[[#This Row],[Hẻm]]&amp;" "&amp;Table24[[#This Row],[Tuyến đường]]&amp;", Phường "&amp;Table24[[#This Row],[Phường]]&amp;", Quận "&amp;Table24[[#This Row],[Quận]]</f>
        <v>Hẻm 170 Tuệ Tĩnh , Phường 12, Quận 11</v>
      </c>
      <c r="U121" s="36"/>
      <c r="V121" s="56" t="e">
        <f>HYPERLINK("https://www.google.com/maps/search/?api=1&amp;query=" &amp; _xlfn.ENCODEURL(Table24[[#This Row],[Tên hẻm]]), "Link Google Map")</f>
        <v>#VALUE!</v>
      </c>
    </row>
    <row r="122" spans="1:22" ht="47.25" hidden="1">
      <c r="A122" s="11">
        <v>143</v>
      </c>
      <c r="B122" s="16">
        <v>194</v>
      </c>
      <c r="C122" s="16" t="s">
        <v>4734</v>
      </c>
      <c r="D122" s="11">
        <v>11</v>
      </c>
      <c r="E122" s="11">
        <v>12</v>
      </c>
      <c r="F122" s="11" t="s">
        <v>4102</v>
      </c>
      <c r="G122" s="17">
        <v>3</v>
      </c>
      <c r="H122" s="11"/>
      <c r="I122" s="11"/>
      <c r="J122" s="11" t="s">
        <v>4734</v>
      </c>
      <c r="K122" s="11" t="s">
        <v>4735</v>
      </c>
      <c r="L122" s="11">
        <v>3</v>
      </c>
      <c r="M122" s="31" t="s">
        <v>4737</v>
      </c>
      <c r="N122" s="11"/>
      <c r="O122" s="11"/>
      <c r="P122" s="11" t="s">
        <v>4544</v>
      </c>
      <c r="Q122" s="19"/>
      <c r="R122" s="19"/>
      <c r="S122" s="23" t="str">
        <f>HYPERLINK("https://www.google.com/maps/search/" &amp; Table24[[#This Row],[Tên hẻm]], "Xem trên Google Maps")</f>
        <v>Xem trên Google Maps</v>
      </c>
      <c r="T122" s="16" t="str">
        <f>"Hẻm "&amp;Table24[[#This Row],[Hẻm]]&amp;" "&amp;Table24[[#This Row],[Tuyến đường]]&amp;", Phường "&amp;Table24[[#This Row],[Phường]]&amp;", Quận "&amp;Table24[[#This Row],[Quận]]</f>
        <v>Hẻm 194 Tuệ Tĩnh , Phường 12, Quận 11</v>
      </c>
      <c r="U122" s="36"/>
      <c r="V122" s="56" t="e">
        <f>HYPERLINK("https://www.google.com/maps/search/?api=1&amp;query=" &amp; _xlfn.ENCODEURL(Table24[[#This Row],[Tên hẻm]]), "Link Google Map")</f>
        <v>#VALUE!</v>
      </c>
    </row>
    <row r="123" spans="1:22" ht="47.25" hidden="1">
      <c r="A123" s="11">
        <v>144</v>
      </c>
      <c r="B123" s="16">
        <v>126</v>
      </c>
      <c r="C123" s="16" t="s">
        <v>4738</v>
      </c>
      <c r="D123" s="11">
        <v>11</v>
      </c>
      <c r="E123" s="11">
        <v>14</v>
      </c>
      <c r="F123" s="11" t="s">
        <v>3498</v>
      </c>
      <c r="G123" s="17">
        <v>3</v>
      </c>
      <c r="H123" s="11"/>
      <c r="I123" s="11"/>
      <c r="J123" s="11" t="s">
        <v>4739</v>
      </c>
      <c r="K123" s="11" t="s">
        <v>4672</v>
      </c>
      <c r="L123" s="11">
        <v>4</v>
      </c>
      <c r="M123" s="31" t="s">
        <v>4740</v>
      </c>
      <c r="N123" s="11"/>
      <c r="O123" s="11"/>
      <c r="P123" s="11" t="s">
        <v>4544</v>
      </c>
      <c r="Q123" s="19"/>
      <c r="R123" s="19"/>
      <c r="S123" s="23" t="str">
        <f>HYPERLINK("https://www.google.com/maps/search/" &amp; Table24[[#This Row],[Tên hẻm]], "Xem trên Google Maps")</f>
        <v>Xem trên Google Maps</v>
      </c>
      <c r="T123" s="16" t="str">
        <f>"Hẻm "&amp;Table24[[#This Row],[Hẻm]]&amp;" "&amp;Table24[[#This Row],[Tuyến đường]]&amp;", Phường "&amp;Table24[[#This Row],[Phường]]&amp;", Quận "&amp;Table24[[#This Row],[Quận]]</f>
        <v>Hẻm 126 Hẻm 100 Bình Thới , Phường 14, Quận 11</v>
      </c>
      <c r="U123" s="36"/>
      <c r="V123" s="56" t="e">
        <f>HYPERLINK("https://www.google.com/maps/search/?api=1&amp;query=" &amp; _xlfn.ENCODEURL(Table24[[#This Row],[Tên hẻm]]), "Link Google Map")</f>
        <v>#VALUE!</v>
      </c>
    </row>
    <row r="124" spans="1:22" ht="47.25" hidden="1">
      <c r="A124" s="11">
        <v>145</v>
      </c>
      <c r="B124" s="16">
        <v>201</v>
      </c>
      <c r="C124" s="16" t="s">
        <v>4741</v>
      </c>
      <c r="D124" s="11">
        <v>11</v>
      </c>
      <c r="E124" s="11">
        <v>8</v>
      </c>
      <c r="F124" s="11" t="s">
        <v>4742</v>
      </c>
      <c r="G124" s="17">
        <v>4</v>
      </c>
      <c r="H124" s="11"/>
      <c r="I124" s="11"/>
      <c r="J124" s="11" t="s">
        <v>4743</v>
      </c>
      <c r="K124" s="11" t="s">
        <v>4731</v>
      </c>
      <c r="L124" s="11">
        <v>5</v>
      </c>
      <c r="M124" s="31" t="s">
        <v>4744</v>
      </c>
      <c r="N124" s="11"/>
      <c r="O124" s="11"/>
      <c r="P124" s="11" t="s">
        <v>4544</v>
      </c>
      <c r="Q124" s="19"/>
      <c r="R124" s="19"/>
      <c r="S124" s="23" t="str">
        <f>HYPERLINK("https://www.google.com/maps/search/" &amp; Table24[[#This Row],[Tên hẻm]], "Xem trên Google Maps")</f>
        <v>Xem trên Google Maps</v>
      </c>
      <c r="T124" s="16" t="str">
        <f>"Hẻm "&amp;Table24[[#This Row],[Hẻm]]&amp;" "&amp;Table24[[#This Row],[Tuyến đường]]&amp;", Phường "&amp;Table24[[#This Row],[Phường]]&amp;", Quận "&amp;Table24[[#This Row],[Quận]]</f>
        <v>Hẻm 201 Đội Cumg , Phường 8, Quận 11</v>
      </c>
      <c r="U124" s="36"/>
      <c r="V124" s="56" t="e">
        <f>HYPERLINK("https://www.google.com/maps/search/?api=1&amp;query=" &amp; _xlfn.ENCODEURL(Table24[[#This Row],[Tên hẻm]]), "Link Google Map")</f>
        <v>#VALUE!</v>
      </c>
    </row>
    <row r="125" spans="1:22" ht="47.25" hidden="1">
      <c r="A125" s="11">
        <v>146</v>
      </c>
      <c r="B125" s="16" t="s">
        <v>4745</v>
      </c>
      <c r="C125" s="16" t="s">
        <v>4724</v>
      </c>
      <c r="D125" s="11">
        <v>11</v>
      </c>
      <c r="E125" s="11">
        <v>3</v>
      </c>
      <c r="F125" s="11" t="s">
        <v>4746</v>
      </c>
      <c r="G125" s="17">
        <v>5</v>
      </c>
      <c r="H125" s="11"/>
      <c r="I125" s="11"/>
      <c r="J125" s="11" t="s">
        <v>4746</v>
      </c>
      <c r="K125" s="11" t="s">
        <v>4672</v>
      </c>
      <c r="L125" s="11">
        <v>7</v>
      </c>
      <c r="M125" s="31" t="s">
        <v>4747</v>
      </c>
      <c r="N125" s="11"/>
      <c r="O125" s="11"/>
      <c r="P125" s="11" t="s">
        <v>4544</v>
      </c>
      <c r="Q125" s="19"/>
      <c r="R125" s="19"/>
      <c r="S125" s="23" t="str">
        <f>HYPERLINK("https://www.google.com/maps/search/" &amp; Table24[[#This Row],[Tên hẻm]], "Xem trên Google Maps")</f>
        <v>Xem trên Google Maps</v>
      </c>
      <c r="T125" s="16" t="str">
        <f>"Hẻm "&amp;Table24[[#This Row],[Hẻm]]&amp;" "&amp;Table24[[#This Row],[Tuyến đường]]&amp;", Phường "&amp;Table24[[#This Row],[Phường]]&amp;", Quận "&amp;Table24[[#This Row],[Quận]]</f>
        <v>Hẻm 106H Lạc Long Quân , Phường 3, Quận 11</v>
      </c>
      <c r="U125" s="36"/>
      <c r="V125" s="56" t="e">
        <f>HYPERLINK("https://www.google.com/maps/search/?api=1&amp;query=" &amp; _xlfn.ENCODEURL(Table24[[#This Row],[Tên hẻm]]), "Link Google Map")</f>
        <v>#VALUE!</v>
      </c>
    </row>
    <row r="126" spans="1:22" ht="47.25" hidden="1">
      <c r="A126" s="11">
        <v>147</v>
      </c>
      <c r="B126" s="16">
        <v>15</v>
      </c>
      <c r="C126" s="16" t="s">
        <v>4748</v>
      </c>
      <c r="D126" s="11">
        <v>11</v>
      </c>
      <c r="E126" s="11">
        <v>3</v>
      </c>
      <c r="F126" s="11" t="s">
        <v>4749</v>
      </c>
      <c r="G126" s="17">
        <v>4</v>
      </c>
      <c r="H126" s="11"/>
      <c r="I126" s="11"/>
      <c r="J126" s="11" t="s">
        <v>4750</v>
      </c>
      <c r="K126" s="11" t="s">
        <v>4672</v>
      </c>
      <c r="L126" s="11">
        <v>36</v>
      </c>
      <c r="M126" s="31" t="s">
        <v>4751</v>
      </c>
      <c r="N126" s="11"/>
      <c r="O126" s="11"/>
      <c r="P126" s="11" t="s">
        <v>4544</v>
      </c>
      <c r="Q126" s="19"/>
      <c r="R126" s="19"/>
      <c r="S126" s="23" t="str">
        <f>HYPERLINK("https://www.google.com/maps/search/" &amp; Table24[[#This Row],[Tên hẻm]], "Xem trên Google Maps")</f>
        <v>Xem trên Google Maps</v>
      </c>
      <c r="T126" s="16" t="str">
        <f>"Hẻm "&amp;Table24[[#This Row],[Hẻm]]&amp;" "&amp;Table24[[#This Row],[Tuyến đường]]&amp;", Phường "&amp;Table24[[#This Row],[Phường]]&amp;", Quận "&amp;Table24[[#This Row],[Quận]]</f>
        <v>Hẻm 15 Hòa Bình , Phường 3, Quận 11</v>
      </c>
      <c r="U126" s="36"/>
      <c r="V126" s="56" t="e">
        <f>HYPERLINK("https://www.google.com/maps/search/?api=1&amp;query=" &amp; _xlfn.ENCODEURL(Table24[[#This Row],[Tên hẻm]]), "Link Google Map")</f>
        <v>#VALUE!</v>
      </c>
    </row>
    <row r="127" spans="1:22" ht="47.25" hidden="1">
      <c r="A127" s="11">
        <v>148</v>
      </c>
      <c r="B127" s="16" t="s">
        <v>4752</v>
      </c>
      <c r="C127" s="16" t="s">
        <v>4753</v>
      </c>
      <c r="D127" s="11">
        <v>11</v>
      </c>
      <c r="E127" s="11">
        <v>16</v>
      </c>
      <c r="F127" s="11" t="s">
        <v>3780</v>
      </c>
      <c r="G127" s="17" t="s">
        <v>4754</v>
      </c>
      <c r="H127" s="11"/>
      <c r="I127" s="11"/>
      <c r="J127" s="11" t="s">
        <v>4755</v>
      </c>
      <c r="K127" s="11" t="s">
        <v>4756</v>
      </c>
      <c r="L127" s="11">
        <v>4</v>
      </c>
      <c r="M127" s="31" t="s">
        <v>4757</v>
      </c>
      <c r="N127" s="11"/>
      <c r="O127" s="11"/>
      <c r="P127" s="11" t="s">
        <v>4758</v>
      </c>
      <c r="Q127" s="19"/>
      <c r="R127" s="19"/>
      <c r="S127" s="23" t="str">
        <f>HYPERLINK("https://www.google.com/maps/search/" &amp; Table24[[#This Row],[Tên hẻm]], "Xem trên Google Maps")</f>
        <v>Xem trên Google Maps</v>
      </c>
      <c r="T127" s="16" t="str">
        <f>"Hẻm "&amp;Table24[[#This Row],[Hẻm]]&amp;" "&amp;Table24[[#This Row],[Tuyến đường]]&amp;", Phường "&amp;Table24[[#This Row],[Phường]]&amp;", Quận "&amp;Table24[[#This Row],[Quận]]</f>
        <v>Hẻm 137 Nguyễn Chí Thanh ND Nguyễn Chí Thanh ND, Phường 16, Quận 11</v>
      </c>
      <c r="U127" s="36"/>
      <c r="V127" s="56" t="e">
        <f>HYPERLINK("https://www.google.com/maps/search/?api=1&amp;query=" &amp; _xlfn.ENCODEURL(Table24[[#This Row],[Tên hẻm]]), "Link Google Map")</f>
        <v>#VALUE!</v>
      </c>
    </row>
    <row r="128" spans="1:22" ht="47.25" hidden="1">
      <c r="A128" s="11">
        <v>149</v>
      </c>
      <c r="B128" s="16" t="s">
        <v>4759</v>
      </c>
      <c r="C128" s="16" t="s">
        <v>4760</v>
      </c>
      <c r="D128" s="11">
        <v>11</v>
      </c>
      <c r="E128" s="11">
        <v>1</v>
      </c>
      <c r="F128" s="11" t="s">
        <v>3836</v>
      </c>
      <c r="G128" s="17" t="s">
        <v>4761</v>
      </c>
      <c r="H128" s="11"/>
      <c r="I128" s="11"/>
      <c r="J128" s="11" t="s">
        <v>4762</v>
      </c>
      <c r="K128" s="11" t="s">
        <v>4763</v>
      </c>
      <c r="L128" s="11">
        <v>5</v>
      </c>
      <c r="M128" s="31" t="s">
        <v>4764</v>
      </c>
      <c r="N128" s="11"/>
      <c r="O128" s="11"/>
      <c r="P128" s="11" t="s">
        <v>4758</v>
      </c>
      <c r="Q128" s="19"/>
      <c r="R128" s="19"/>
      <c r="S128" s="23" t="str">
        <f>HYPERLINK("https://www.google.com/maps/search/" &amp; Table24[[#This Row],[Tên hẻm]], "Xem trên Google Maps")</f>
        <v>Xem trên Google Maps</v>
      </c>
      <c r="T128" s="16" t="str">
        <f>"Hẻm "&amp;Table24[[#This Row],[Hẻm]]&amp;" "&amp;Table24[[#This Row],[Tuyến đường]]&amp;", Phường "&amp;Table24[[#This Row],[Phường]]&amp;", Quận "&amp;Table24[[#This Row],[Quận]]</f>
        <v>Hẻm H-47 Phú Thọ  Phú Thọ , Phường 1, Quận 11</v>
      </c>
      <c r="U128" s="36"/>
      <c r="V128" s="56" t="e">
        <f>HYPERLINK("https://www.google.com/maps/search/?api=1&amp;query=" &amp; _xlfn.ENCODEURL(Table24[[#This Row],[Tên hẻm]]), "Link Google Map")</f>
        <v>#VALUE!</v>
      </c>
    </row>
    <row r="129" spans="1:22" ht="47.25" hidden="1">
      <c r="A129" s="11">
        <v>150</v>
      </c>
      <c r="B129" s="16" t="s">
        <v>4765</v>
      </c>
      <c r="C129" s="16" t="s">
        <v>4760</v>
      </c>
      <c r="D129" s="11">
        <v>11</v>
      </c>
      <c r="E129" s="11">
        <v>1</v>
      </c>
      <c r="F129" s="11" t="s">
        <v>3836</v>
      </c>
      <c r="G129" s="17" t="s">
        <v>4761</v>
      </c>
      <c r="H129" s="11"/>
      <c r="I129" s="11"/>
      <c r="J129" s="11" t="s">
        <v>4766</v>
      </c>
      <c r="K129" s="11" t="s">
        <v>4767</v>
      </c>
      <c r="L129" s="11">
        <v>9</v>
      </c>
      <c r="M129" s="31" t="s">
        <v>4768</v>
      </c>
      <c r="N129" s="11"/>
      <c r="O129" s="11"/>
      <c r="P129" s="11" t="s">
        <v>4758</v>
      </c>
      <c r="Q129" s="19"/>
      <c r="R129" s="19"/>
      <c r="S129" s="23" t="str">
        <f>HYPERLINK("https://www.google.com/maps/search/" &amp; Table24[[#This Row],[Tên hẻm]], "Xem trên Google Maps")</f>
        <v>Xem trên Google Maps</v>
      </c>
      <c r="T129" s="16" t="str">
        <f>"Hẻm "&amp;Table24[[#This Row],[Hẻm]]&amp;" "&amp;Table24[[#This Row],[Tuyến đường]]&amp;", Phường "&amp;Table24[[#This Row],[Phường]]&amp;", Quận "&amp;Table24[[#This Row],[Quận]]</f>
        <v>Hẻm H- 39 B Phú Thọ  Phú Thọ , Phường 1, Quận 11</v>
      </c>
      <c r="U129" s="36"/>
      <c r="V129" s="56" t="e">
        <f>HYPERLINK("https://www.google.com/maps/search/?api=1&amp;query=" &amp; _xlfn.ENCODEURL(Table24[[#This Row],[Tên hẻm]]), "Link Google Map")</f>
        <v>#VALUE!</v>
      </c>
    </row>
    <row r="130" spans="1:22" ht="47.25" hidden="1">
      <c r="A130" s="11">
        <v>151</v>
      </c>
      <c r="B130" s="16" t="s">
        <v>4769</v>
      </c>
      <c r="C130" s="16" t="s">
        <v>4770</v>
      </c>
      <c r="D130" s="11">
        <v>11</v>
      </c>
      <c r="E130" s="11">
        <v>1</v>
      </c>
      <c r="F130" s="11" t="s">
        <v>4771</v>
      </c>
      <c r="G130" s="17" t="s">
        <v>4772</v>
      </c>
      <c r="H130" s="11"/>
      <c r="I130" s="11"/>
      <c r="J130" s="11" t="s">
        <v>4773</v>
      </c>
      <c r="K130" s="11" t="s">
        <v>4774</v>
      </c>
      <c r="L130" s="11">
        <v>2</v>
      </c>
      <c r="M130" s="31" t="s">
        <v>4775</v>
      </c>
      <c r="N130" s="11"/>
      <c r="O130" s="11"/>
      <c r="P130" s="11" t="s">
        <v>4758</v>
      </c>
      <c r="Q130" s="19"/>
      <c r="R130" s="19"/>
      <c r="S130" s="23" t="str">
        <f>HYPERLINK("https://www.google.com/maps/search/" &amp; Table24[[#This Row],[Tên hẻm]], "Xem trên Google Maps")</f>
        <v>Xem trên Google Maps</v>
      </c>
      <c r="T130" s="16" t="str">
        <f>"Hẻm "&amp;Table24[[#This Row],[Hẻm]]&amp;" "&amp;Table24[[#This Row],[Tuyến đường]]&amp;", Phường "&amp;Table24[[#This Row],[Phường]]&amp;", Quận "&amp;Table24[[#This Row],[Quận]]</f>
        <v>Hẻm H- 64 Hồng Bàng ( 702) H 702 Hồng Bàng , Phường 1, Quận 11</v>
      </c>
      <c r="U130" s="36"/>
      <c r="V130" s="56" t="e">
        <f>HYPERLINK("https://www.google.com/maps/search/?api=1&amp;query=" &amp; _xlfn.ENCODEURL(Table24[[#This Row],[Tên hẻm]]), "Link Google Map")</f>
        <v>#VALUE!</v>
      </c>
    </row>
    <row r="131" spans="1:22" ht="47.25" hidden="1">
      <c r="A131" s="11">
        <v>152</v>
      </c>
      <c r="B131" s="16" t="s">
        <v>4776</v>
      </c>
      <c r="C131" s="16" t="s">
        <v>4777</v>
      </c>
      <c r="D131" s="11">
        <v>11</v>
      </c>
      <c r="E131" s="11">
        <v>1</v>
      </c>
      <c r="F131" s="11" t="s">
        <v>4771</v>
      </c>
      <c r="G131" s="17" t="s">
        <v>4772</v>
      </c>
      <c r="H131" s="11"/>
      <c r="I131" s="11"/>
      <c r="J131" s="11" t="s">
        <v>4774</v>
      </c>
      <c r="K131" s="11" t="s">
        <v>4778</v>
      </c>
      <c r="L131" s="11">
        <v>8</v>
      </c>
      <c r="M131" s="31" t="s">
        <v>4779</v>
      </c>
      <c r="N131" s="11"/>
      <c r="O131" s="11"/>
      <c r="P131" s="11" t="s">
        <v>4758</v>
      </c>
      <c r="Q131" s="19"/>
      <c r="R131" s="19"/>
      <c r="S131" s="23" t="str">
        <f>HYPERLINK("https://www.google.com/maps/search/" &amp; Table24[[#This Row],[Tên hẻm]], "Xem trên Google Maps")</f>
        <v>Xem trên Google Maps</v>
      </c>
      <c r="T131" s="16" t="str">
        <f>"Hẻm "&amp;Table24[[#This Row],[Hẻm]]&amp;" "&amp;Table24[[#This Row],[Tuyến đường]]&amp;", Phường "&amp;Table24[[#This Row],[Phường]]&amp;", Quận "&amp;Table24[[#This Row],[Quận]]</f>
        <v>Hẻm 39/7/58 H 64 Hồng Bàng ( 702), Phường 1, Quận 11</v>
      </c>
      <c r="U131" s="36"/>
      <c r="V131" s="56" t="e">
        <f>HYPERLINK("https://www.google.com/maps/search/?api=1&amp;query=" &amp; _xlfn.ENCODEURL(Table24[[#This Row],[Tên hẻm]]), "Link Google Map")</f>
        <v>#VALUE!</v>
      </c>
    </row>
    <row r="132" spans="1:22" ht="47.25" hidden="1">
      <c r="A132" s="11">
        <v>153</v>
      </c>
      <c r="B132" s="16" t="s">
        <v>4780</v>
      </c>
      <c r="C132" s="16" t="s">
        <v>4781</v>
      </c>
      <c r="D132" s="11">
        <v>11</v>
      </c>
      <c r="E132" s="11">
        <v>1</v>
      </c>
      <c r="F132" s="11" t="s">
        <v>4771</v>
      </c>
      <c r="G132" s="17" t="s">
        <v>4772</v>
      </c>
      <c r="H132" s="11"/>
      <c r="I132" s="11"/>
      <c r="J132" s="11" t="s">
        <v>4782</v>
      </c>
      <c r="K132" s="11" t="s">
        <v>4783</v>
      </c>
      <c r="L132" s="11">
        <v>2</v>
      </c>
      <c r="M132" s="31" t="s">
        <v>4784</v>
      </c>
      <c r="N132" s="11"/>
      <c r="O132" s="11"/>
      <c r="P132" s="11" t="s">
        <v>4758</v>
      </c>
      <c r="Q132" s="19"/>
      <c r="R132" s="19"/>
      <c r="S132" s="23" t="str">
        <f>HYPERLINK("https://www.google.com/maps/search/" &amp; Table24[[#This Row],[Tên hẻm]], "Xem trên Google Maps")</f>
        <v>Xem trên Google Maps</v>
      </c>
      <c r="T132" s="16" t="str">
        <f>"Hẻm "&amp;Table24[[#This Row],[Hẻm]]&amp;" "&amp;Table24[[#This Row],[Tuyến đường]]&amp;", Phường "&amp;Table24[[#This Row],[Phường]]&amp;", Quận "&amp;Table24[[#This Row],[Quận]]</f>
        <v>Hẻm 39/25/46 H-64 Hồng Bàng (702), Phường 1, Quận 11</v>
      </c>
      <c r="U132" s="36"/>
      <c r="V132" s="56" t="e">
        <f>HYPERLINK("https://www.google.com/maps/search/?api=1&amp;query=" &amp; _xlfn.ENCODEURL(Table24[[#This Row],[Tên hẻm]]), "Link Google Map")</f>
        <v>#VALUE!</v>
      </c>
    </row>
    <row r="133" spans="1:22" ht="47.25" hidden="1">
      <c r="A133" s="11">
        <v>154</v>
      </c>
      <c r="B133" s="16" t="s">
        <v>4785</v>
      </c>
      <c r="C133" s="16" t="s">
        <v>4786</v>
      </c>
      <c r="D133" s="11">
        <v>10</v>
      </c>
      <c r="E133" s="11">
        <v>14</v>
      </c>
      <c r="F133" s="11" t="s">
        <v>4787</v>
      </c>
      <c r="G133" s="17" t="s">
        <v>4788</v>
      </c>
      <c r="H133" s="11"/>
      <c r="I133" s="11"/>
      <c r="J133" s="11" t="s">
        <v>4785</v>
      </c>
      <c r="K133" s="11" t="s">
        <v>4789</v>
      </c>
      <c r="L133" s="11">
        <v>7</v>
      </c>
      <c r="M133" s="31" t="s">
        <v>4790</v>
      </c>
      <c r="N133" s="11"/>
      <c r="O133" s="11"/>
      <c r="P133" s="11" t="s">
        <v>4758</v>
      </c>
      <c r="Q133" s="19"/>
      <c r="R133" s="19"/>
      <c r="S133" s="23" t="str">
        <f>HYPERLINK("https://www.google.com/maps/search/" &amp; Table24[[#This Row],[Tên hẻm]], "Xem trên Google Maps")</f>
        <v>Xem trên Google Maps</v>
      </c>
      <c r="T133" s="16" t="str">
        <f>"Hẻm "&amp;Table24[[#This Row],[Hẻm]]&amp;" "&amp;Table24[[#This Row],[Tuyến đường]]&amp;", Phường "&amp;Table24[[#This Row],[Phường]]&amp;", Quận "&amp;Table24[[#This Row],[Quận]]</f>
        <v>Hẻm 163 Thành Thái  Thành Thái , Phường 14, Quận 10</v>
      </c>
      <c r="U133" s="36"/>
      <c r="V133" s="56" t="e">
        <f>HYPERLINK("https://www.google.com/maps/search/?api=1&amp;query=" &amp; _xlfn.ENCODEURL(Table24[[#This Row],[Tên hẻm]]), "Link Google Map")</f>
        <v>#VALUE!</v>
      </c>
    </row>
    <row r="134" spans="1:22" ht="47.25" hidden="1">
      <c r="A134" s="11">
        <v>155</v>
      </c>
      <c r="B134" s="16" t="s">
        <v>4791</v>
      </c>
      <c r="C134" s="16" t="s">
        <v>4792</v>
      </c>
      <c r="D134" s="11">
        <v>8</v>
      </c>
      <c r="E134" s="11">
        <v>2</v>
      </c>
      <c r="F134" s="11" t="s">
        <v>4793</v>
      </c>
      <c r="G134" s="17" t="s">
        <v>4367</v>
      </c>
      <c r="H134" s="11"/>
      <c r="I134" s="11"/>
      <c r="J134" s="11" t="s">
        <v>4794</v>
      </c>
      <c r="K134" s="11" t="s">
        <v>4672</v>
      </c>
      <c r="L134" s="11">
        <v>13</v>
      </c>
      <c r="M134" s="31" t="s">
        <v>4795</v>
      </c>
      <c r="N134" s="11"/>
      <c r="O134" s="11"/>
      <c r="P134" s="11" t="s">
        <v>4544</v>
      </c>
      <c r="Q134" s="19"/>
      <c r="R134" s="19"/>
      <c r="S134" s="23" t="str">
        <f>HYPERLINK("https://www.google.com/maps/search/" &amp; Table24[[#This Row],[Tên hẻm]], "Xem trên Google Maps")</f>
        <v>Xem trên Google Maps</v>
      </c>
      <c r="T134" s="16" t="str">
        <f>"Hẻm "&amp;Table24[[#This Row],[Hẻm]]&amp;" "&amp;Table24[[#This Row],[Tuyến đường]]&amp;", Phường "&amp;Table24[[#This Row],[Phường]]&amp;", Quận "&amp;Table24[[#This Row],[Quận]]</f>
        <v>Hẻm 28A+28B+28C Dương Bá Trạc , Phường 2, Quận 8</v>
      </c>
      <c r="U134" s="36"/>
      <c r="V134" s="56" t="e">
        <f>HYPERLINK("https://www.google.com/maps/search/?api=1&amp;query=" &amp; _xlfn.ENCODEURL(Table24[[#This Row],[Tên hẻm]]), "Link Google Map")</f>
        <v>#VALUE!</v>
      </c>
    </row>
    <row r="135" spans="1:22" ht="47.25" hidden="1">
      <c r="A135" s="11">
        <v>156</v>
      </c>
      <c r="B135" s="16">
        <v>1220</v>
      </c>
      <c r="C135" s="16" t="s">
        <v>4796</v>
      </c>
      <c r="D135" s="11">
        <v>8</v>
      </c>
      <c r="E135" s="11">
        <v>5</v>
      </c>
      <c r="F135" s="11" t="s">
        <v>2229</v>
      </c>
      <c r="G135" s="17">
        <v>3</v>
      </c>
      <c r="H135" s="11"/>
      <c r="I135" s="11"/>
      <c r="J135" s="11" t="s">
        <v>4796</v>
      </c>
      <c r="K135" s="11" t="s">
        <v>4797</v>
      </c>
      <c r="L135" s="11">
        <v>34</v>
      </c>
      <c r="M135" s="31" t="s">
        <v>4798</v>
      </c>
      <c r="N135" s="11"/>
      <c r="O135" s="11"/>
      <c r="P135" s="11" t="s">
        <v>4544</v>
      </c>
      <c r="Q135" s="19"/>
      <c r="R135" s="19"/>
      <c r="S135" s="23" t="str">
        <f>HYPERLINK("https://www.google.com/maps/search/" &amp; Table24[[#This Row],[Tên hẻm]], "Xem trên Google Maps")</f>
        <v>Xem trên Google Maps</v>
      </c>
      <c r="T135" s="16" t="str">
        <f>"Hẻm "&amp;Table24[[#This Row],[Hẻm]]&amp;" "&amp;Table24[[#This Row],[Tuyến đường]]&amp;", Phường "&amp;Table24[[#This Row],[Phường]]&amp;", Quận "&amp;Table24[[#This Row],[Quận]]</f>
        <v>Hẻm 1220 Phạm Thế Hiển , Phường 5, Quận 8</v>
      </c>
      <c r="U135" s="36"/>
      <c r="V135" s="56" t="e">
        <f>HYPERLINK("https://www.google.com/maps/search/?api=1&amp;query=" &amp; _xlfn.ENCODEURL(Table24[[#This Row],[Tên hẻm]]), "Link Google Map")</f>
        <v>#VALUE!</v>
      </c>
    </row>
    <row r="136" spans="1:22" ht="47.25" hidden="1">
      <c r="A136" s="11">
        <v>157</v>
      </c>
      <c r="B136" s="16">
        <v>93</v>
      </c>
      <c r="C136" s="16" t="s">
        <v>4688</v>
      </c>
      <c r="D136" s="11">
        <v>8</v>
      </c>
      <c r="E136" s="11">
        <v>8</v>
      </c>
      <c r="F136" s="11" t="s">
        <v>2175</v>
      </c>
      <c r="G136" s="17">
        <v>3</v>
      </c>
      <c r="H136" s="11"/>
      <c r="I136" s="11"/>
      <c r="J136" s="11" t="s">
        <v>4688</v>
      </c>
      <c r="K136" s="11" t="s">
        <v>4799</v>
      </c>
      <c r="L136" s="11">
        <v>4</v>
      </c>
      <c r="M136" s="31" t="s">
        <v>4800</v>
      </c>
      <c r="N136" s="11"/>
      <c r="O136" s="11"/>
      <c r="P136" s="11" t="s">
        <v>4544</v>
      </c>
      <c r="Q136" s="19"/>
      <c r="R136" s="19"/>
      <c r="S136" s="23" t="str">
        <f>HYPERLINK("https://www.google.com/maps/search/" &amp; Table24[[#This Row],[Tên hẻm]], "Xem trên Google Maps")</f>
        <v>Xem trên Google Maps</v>
      </c>
      <c r="T136" s="16" t="str">
        <f>"Hẻm "&amp;Table24[[#This Row],[Hẻm]]&amp;" "&amp;Table24[[#This Row],[Tuyến đường]]&amp;", Phường "&amp;Table24[[#This Row],[Phường]]&amp;", Quận "&amp;Table24[[#This Row],[Quận]]</f>
        <v>Hẻm 93 Hưng Phú , Phường 8, Quận 8</v>
      </c>
      <c r="U136" s="36"/>
      <c r="V136" s="56" t="e">
        <f>HYPERLINK("https://www.google.com/maps/search/?api=1&amp;query=" &amp; _xlfn.ENCODEURL(Table24[[#This Row],[Tên hẻm]]), "Link Google Map")</f>
        <v>#VALUE!</v>
      </c>
    </row>
    <row r="137" spans="1:22" ht="47.25" hidden="1">
      <c r="A137" s="11">
        <v>158</v>
      </c>
      <c r="B137" s="16" t="s">
        <v>4801</v>
      </c>
      <c r="C137" s="16" t="s">
        <v>4802</v>
      </c>
      <c r="D137" s="11">
        <v>8</v>
      </c>
      <c r="E137" s="11">
        <v>7</v>
      </c>
      <c r="F137" s="11" t="s">
        <v>4803</v>
      </c>
      <c r="G137" s="17">
        <v>6</v>
      </c>
      <c r="H137" s="11"/>
      <c r="I137" s="11"/>
      <c r="J137" s="11" t="s">
        <v>4804</v>
      </c>
      <c r="K137" s="11" t="s">
        <v>4805</v>
      </c>
      <c r="L137" s="11">
        <v>15</v>
      </c>
      <c r="M137" s="31" t="s">
        <v>4806</v>
      </c>
      <c r="N137" s="11"/>
      <c r="O137" s="11"/>
      <c r="P137" s="11" t="s">
        <v>4544</v>
      </c>
      <c r="Q137" s="19"/>
      <c r="R137" s="19"/>
      <c r="S137" s="23" t="str">
        <f>HYPERLINK("https://www.google.com/maps/search/" &amp; Table24[[#This Row],[Tên hẻm]], "Xem trên Google Maps")</f>
        <v>Xem trên Google Maps</v>
      </c>
      <c r="T137" s="16" t="str">
        <f>"Hẻm "&amp;Table24[[#This Row],[Hẻm]]&amp;" "&amp;Table24[[#This Row],[Tuyến đường]]&amp;", Phường "&amp;Table24[[#This Row],[Phường]]&amp;", Quận "&amp;Table24[[#This Row],[Quận]]</f>
        <v>Hẻm đường số 19 Lê Bôi , Phường 7, Quận 8</v>
      </c>
      <c r="U137" s="36"/>
      <c r="V137" s="56" t="e">
        <f>HYPERLINK("https://www.google.com/maps/search/?api=1&amp;query=" &amp; _xlfn.ENCODEURL(Table24[[#This Row],[Tên hẻm]]), "Link Google Map")</f>
        <v>#VALUE!</v>
      </c>
    </row>
    <row r="138" spans="1:22" ht="47.25" hidden="1">
      <c r="A138" s="11">
        <v>159</v>
      </c>
      <c r="B138" s="16">
        <v>3137</v>
      </c>
      <c r="C138" s="16" t="s">
        <v>4796</v>
      </c>
      <c r="D138" s="11">
        <v>8</v>
      </c>
      <c r="E138" s="11">
        <v>7</v>
      </c>
      <c r="F138" s="11" t="s">
        <v>2673</v>
      </c>
      <c r="G138" s="17">
        <v>3</v>
      </c>
      <c r="H138" s="11"/>
      <c r="I138" s="11"/>
      <c r="J138" s="11" t="s">
        <v>4796</v>
      </c>
      <c r="K138" s="11" t="s">
        <v>4807</v>
      </c>
      <c r="L138" s="11">
        <v>11</v>
      </c>
      <c r="M138" s="31" t="s">
        <v>4808</v>
      </c>
      <c r="N138" s="11"/>
      <c r="O138" s="11"/>
      <c r="P138" s="11" t="s">
        <v>4544</v>
      </c>
      <c r="Q138" s="19"/>
      <c r="R138" s="19"/>
      <c r="S138" s="23" t="str">
        <f>HYPERLINK("https://www.google.com/maps/search/" &amp; Table24[[#This Row],[Tên hẻm]], "Xem trên Google Maps")</f>
        <v>Xem trên Google Maps</v>
      </c>
      <c r="T138" s="16" t="str">
        <f>"Hẻm "&amp;Table24[[#This Row],[Hẻm]]&amp;" "&amp;Table24[[#This Row],[Tuyến đường]]&amp;", Phường "&amp;Table24[[#This Row],[Phường]]&amp;", Quận "&amp;Table24[[#This Row],[Quận]]</f>
        <v>Hẻm 3137 Phạm Thế Hiển , Phường 7, Quận 8</v>
      </c>
      <c r="U138" s="36"/>
      <c r="V138" s="56" t="e">
        <f>HYPERLINK("https://www.google.com/maps/search/?api=1&amp;query=" &amp; _xlfn.ENCODEURL(Table24[[#This Row],[Tên hẻm]]), "Link Google Map")</f>
        <v>#VALUE!</v>
      </c>
    </row>
    <row r="139" spans="1:22" ht="47.25" hidden="1">
      <c r="A139" s="11">
        <v>160</v>
      </c>
      <c r="B139" s="16">
        <v>2347</v>
      </c>
      <c r="C139" s="16" t="s">
        <v>4796</v>
      </c>
      <c r="D139" s="11">
        <v>8</v>
      </c>
      <c r="E139" s="11">
        <v>7</v>
      </c>
      <c r="F139" s="11" t="s">
        <v>4809</v>
      </c>
      <c r="G139" s="17">
        <v>3</v>
      </c>
      <c r="H139" s="11"/>
      <c r="I139" s="11"/>
      <c r="J139" s="11" t="s">
        <v>4796</v>
      </c>
      <c r="K139" s="11" t="s">
        <v>4810</v>
      </c>
      <c r="L139" s="11">
        <v>10</v>
      </c>
      <c r="M139" s="31" t="s">
        <v>4811</v>
      </c>
      <c r="N139" s="11"/>
      <c r="O139" s="11"/>
      <c r="P139" s="11" t="s">
        <v>4544</v>
      </c>
      <c r="Q139" s="19"/>
      <c r="R139" s="19"/>
      <c r="S139" s="23" t="str">
        <f>HYPERLINK("https://www.google.com/maps/search/" &amp; Table24[[#This Row],[Tên hẻm]], "Xem trên Google Maps")</f>
        <v>Xem trên Google Maps</v>
      </c>
      <c r="T139" s="16" t="str">
        <f>"Hẻm "&amp;Table24[[#This Row],[Hẻm]]&amp;" "&amp;Table24[[#This Row],[Tuyến đường]]&amp;", Phường "&amp;Table24[[#This Row],[Phường]]&amp;", Quận "&amp;Table24[[#This Row],[Quận]]</f>
        <v>Hẻm 2347 Phạm Thế Hiển , Phường 7, Quận 8</v>
      </c>
      <c r="U139" s="36"/>
      <c r="V139" s="56" t="e">
        <f>HYPERLINK("https://www.google.com/maps/search/?api=1&amp;query=" &amp; _xlfn.ENCODEURL(Table24[[#This Row],[Tên hẻm]]), "Link Google Map")</f>
        <v>#VALUE!</v>
      </c>
    </row>
    <row r="140" spans="1:22" ht="47.25" hidden="1">
      <c r="A140" s="11">
        <v>161</v>
      </c>
      <c r="B140" s="16">
        <v>285</v>
      </c>
      <c r="C140" s="16" t="s">
        <v>4445</v>
      </c>
      <c r="D140" s="11">
        <v>10</v>
      </c>
      <c r="E140" s="11">
        <v>12</v>
      </c>
      <c r="F140" s="11" t="s">
        <v>4812</v>
      </c>
      <c r="G140" s="17">
        <v>3</v>
      </c>
      <c r="H140" s="11"/>
      <c r="I140" s="11"/>
      <c r="J140" s="11" t="s">
        <v>4813</v>
      </c>
      <c r="K140" s="11" t="s">
        <v>4814</v>
      </c>
      <c r="L140" s="11">
        <v>27</v>
      </c>
      <c r="M140" s="31" t="s">
        <v>4815</v>
      </c>
      <c r="N140" s="11"/>
      <c r="O140" s="11"/>
      <c r="P140" s="11" t="s">
        <v>4544</v>
      </c>
      <c r="Q140" s="19"/>
      <c r="R140" s="19"/>
      <c r="S140" s="23" t="str">
        <f>HYPERLINK("https://www.google.com/maps/search/" &amp; Table24[[#This Row],[Tên hẻm]], "Xem trên Google Maps")</f>
        <v>Xem trên Google Maps</v>
      </c>
      <c r="T140" s="16" t="str">
        <f>"Hẻm "&amp;Table24[[#This Row],[Hẻm]]&amp;" "&amp;Table24[[#This Row],[Tuyến đường]]&amp;", Phường "&amp;Table24[[#This Row],[Phường]]&amp;", Quận "&amp;Table24[[#This Row],[Quận]]</f>
        <v>Hẻm 285 CMT8, Phường 12, Quận 10</v>
      </c>
      <c r="U140" s="36"/>
      <c r="V140" s="56" t="e">
        <f>HYPERLINK("https://www.google.com/maps/search/?api=1&amp;query=" &amp; _xlfn.ENCODEURL(Table24[[#This Row],[Tên hẻm]]), "Link Google Map")</f>
        <v>#VALUE!</v>
      </c>
    </row>
    <row r="141" spans="1:22" ht="47.25" hidden="1">
      <c r="A141" s="11">
        <v>162</v>
      </c>
      <c r="B141" s="16">
        <v>69</v>
      </c>
      <c r="C141" s="16" t="s">
        <v>4816</v>
      </c>
      <c r="D141" s="11" t="s">
        <v>522</v>
      </c>
      <c r="E141" s="11">
        <v>11</v>
      </c>
      <c r="F141" s="11" t="s">
        <v>4817</v>
      </c>
      <c r="G141" s="17" t="s">
        <v>4429</v>
      </c>
      <c r="H141" s="11"/>
      <c r="I141" s="11"/>
      <c r="J141" s="11" t="s">
        <v>4818</v>
      </c>
      <c r="K141" s="11" t="s">
        <v>4819</v>
      </c>
      <c r="L141" s="11">
        <v>5</v>
      </c>
      <c r="M141" s="31" t="s">
        <v>4820</v>
      </c>
      <c r="N141" s="11"/>
      <c r="O141" s="11"/>
      <c r="P141" s="11" t="s">
        <v>4341</v>
      </c>
      <c r="Q141" s="19"/>
      <c r="R141" s="19"/>
      <c r="S141" s="23" t="str">
        <f>HYPERLINK("https://www.google.com/maps/search/" &amp; Table24[[#This Row],[Tên hẻm]], "Xem trên Google Maps")</f>
        <v>Xem trên Google Maps</v>
      </c>
      <c r="T141" s="16" t="str">
        <f>"Hẻm "&amp;Table24[[#This Row],[Hẻm]]&amp;" "&amp;Table24[[#This Row],[Tuyến đường]]&amp;", Phường "&amp;Table24[[#This Row],[Phường]]&amp;", Quận "&amp;Table24[[#This Row],[Quận]]</f>
        <v>Hẻm 69 Nơ Trang Long , Phường 11, Quận Bình Thạnh</v>
      </c>
      <c r="U141" s="36"/>
      <c r="V141" s="56" t="e">
        <f>HYPERLINK("https://www.google.com/maps/search/?api=1&amp;query=" &amp; _xlfn.ENCODEURL(Table24[[#This Row],[Tên hẻm]]), "Link Google Map")</f>
        <v>#VALUE!</v>
      </c>
    </row>
    <row r="142" spans="1:22" ht="47.25" hidden="1">
      <c r="A142" s="11">
        <v>163</v>
      </c>
      <c r="B142" s="16" t="s">
        <v>4821</v>
      </c>
      <c r="C142" s="16" t="s">
        <v>4822</v>
      </c>
      <c r="D142" s="11" t="s">
        <v>4412</v>
      </c>
      <c r="E142" s="11">
        <v>12</v>
      </c>
      <c r="F142" s="11" t="s">
        <v>4823</v>
      </c>
      <c r="G142" s="17">
        <v>3</v>
      </c>
      <c r="H142" s="11"/>
      <c r="I142" s="11"/>
      <c r="J142" s="11" t="s">
        <v>4824</v>
      </c>
      <c r="K142" s="11" t="s">
        <v>4825</v>
      </c>
      <c r="L142" s="11">
        <v>11</v>
      </c>
      <c r="M142" s="31" t="s">
        <v>4826</v>
      </c>
      <c r="N142" s="11"/>
      <c r="O142" s="11"/>
      <c r="P142" s="11" t="s">
        <v>4341</v>
      </c>
      <c r="Q142" s="19"/>
      <c r="R142" s="19"/>
      <c r="S142" s="23" t="str">
        <f>HYPERLINK("https://www.google.com/maps/search/" &amp; Table24[[#This Row],[Tên hẻm]], "Xem trên Google Maps")</f>
        <v>Xem trên Google Maps</v>
      </c>
      <c r="T142" s="16" t="str">
        <f>"Hẻm "&amp;Table24[[#This Row],[Hẻm]]&amp;" "&amp;Table24[[#This Row],[Tuyến đường]]&amp;", Phường "&amp;Table24[[#This Row],[Phường]]&amp;", Quận "&amp;Table24[[#This Row],[Quận]]</f>
        <v xml:space="preserve">Hẻm 20,22,31 Ngô Đức Kế , Phường 12, Quận Bình Thạnh </v>
      </c>
      <c r="U142" s="36"/>
      <c r="V142" s="56" t="e">
        <f>HYPERLINK("https://www.google.com/maps/search/?api=1&amp;query=" &amp; _xlfn.ENCODEURL(Table24[[#This Row],[Tên hẻm]]), "Link Google Map")</f>
        <v>#VALUE!</v>
      </c>
    </row>
    <row r="143" spans="1:22" ht="47.25" hidden="1">
      <c r="A143" s="11">
        <v>164</v>
      </c>
      <c r="B143" s="16">
        <v>219</v>
      </c>
      <c r="C143" s="16" t="s">
        <v>4792</v>
      </c>
      <c r="D143" s="11">
        <v>8</v>
      </c>
      <c r="E143" s="11">
        <v>1</v>
      </c>
      <c r="F143" s="11" t="s">
        <v>1968</v>
      </c>
      <c r="G143" s="17">
        <v>3</v>
      </c>
      <c r="H143" s="11"/>
      <c r="I143" s="11"/>
      <c r="J143" s="11" t="s">
        <v>4792</v>
      </c>
      <c r="K143" s="11" t="s">
        <v>4672</v>
      </c>
      <c r="L143" s="11">
        <v>8</v>
      </c>
      <c r="M143" s="31" t="s">
        <v>4827</v>
      </c>
      <c r="N143" s="11"/>
      <c r="O143" s="11"/>
      <c r="P143" s="11" t="s">
        <v>4544</v>
      </c>
      <c r="Q143" s="19"/>
      <c r="R143" s="19"/>
      <c r="S143" s="23" t="str">
        <f>HYPERLINK("https://www.google.com/maps/search/" &amp; Table24[[#This Row],[Tên hẻm]], "Xem trên Google Maps")</f>
        <v>Xem trên Google Maps</v>
      </c>
      <c r="T143" s="16" t="str">
        <f>"Hẻm "&amp;Table24[[#This Row],[Hẻm]]&amp;" "&amp;Table24[[#This Row],[Tuyến đường]]&amp;", Phường "&amp;Table24[[#This Row],[Phường]]&amp;", Quận "&amp;Table24[[#This Row],[Quận]]</f>
        <v>Hẻm 219 Dương Bá Trạc , Phường 1, Quận 8</v>
      </c>
      <c r="U143" s="36"/>
      <c r="V143" s="56" t="e">
        <f>HYPERLINK("https://www.google.com/maps/search/?api=1&amp;query=" &amp; _xlfn.ENCODEURL(Table24[[#This Row],[Tên hẻm]]), "Link Google Map")</f>
        <v>#VALUE!</v>
      </c>
    </row>
    <row r="144" spans="1:22" ht="47.25" hidden="1">
      <c r="A144" s="11">
        <v>165</v>
      </c>
      <c r="B144" s="16">
        <v>290</v>
      </c>
      <c r="C144" s="16" t="s">
        <v>4792</v>
      </c>
      <c r="D144" s="11">
        <v>8</v>
      </c>
      <c r="E144" s="11">
        <v>1</v>
      </c>
      <c r="F144" s="11" t="s">
        <v>4828</v>
      </c>
      <c r="G144" s="17">
        <v>4</v>
      </c>
      <c r="H144" s="11"/>
      <c r="I144" s="11"/>
      <c r="J144" s="11" t="s">
        <v>4792</v>
      </c>
      <c r="K144" s="11" t="s">
        <v>4829</v>
      </c>
      <c r="L144" s="11">
        <v>9</v>
      </c>
      <c r="M144" s="31" t="s">
        <v>4830</v>
      </c>
      <c r="N144" s="11"/>
      <c r="O144" s="11"/>
      <c r="P144" s="11" t="s">
        <v>4544</v>
      </c>
      <c r="Q144" s="19"/>
      <c r="R144" s="19"/>
      <c r="S144" s="23" t="str">
        <f>HYPERLINK("https://www.google.com/maps/search/" &amp; Table24[[#This Row],[Tên hẻm]], "Xem trên Google Maps")</f>
        <v>Xem trên Google Maps</v>
      </c>
      <c r="T144" s="16" t="str">
        <f>"Hẻm "&amp;Table24[[#This Row],[Hẻm]]&amp;" "&amp;Table24[[#This Row],[Tuyến đường]]&amp;", Phường "&amp;Table24[[#This Row],[Phường]]&amp;", Quận "&amp;Table24[[#This Row],[Quận]]</f>
        <v>Hẻm 290 Dương Bá Trạc , Phường 1, Quận 8</v>
      </c>
      <c r="U144" s="36"/>
      <c r="V144" s="56" t="e">
        <f>HYPERLINK("https://www.google.com/maps/search/?api=1&amp;query=" &amp; _xlfn.ENCODEURL(Table24[[#This Row],[Tên hẻm]]), "Link Google Map")</f>
        <v>#VALUE!</v>
      </c>
    </row>
    <row r="145" spans="1:22" ht="47.25" hidden="1">
      <c r="A145" s="11">
        <v>166</v>
      </c>
      <c r="B145" s="16">
        <v>298</v>
      </c>
      <c r="C145" s="16" t="s">
        <v>4831</v>
      </c>
      <c r="D145" s="11" t="s">
        <v>4398</v>
      </c>
      <c r="E145" s="11">
        <v>5</v>
      </c>
      <c r="F145" s="11" t="s">
        <v>4832</v>
      </c>
      <c r="G145" s="17" t="s">
        <v>4833</v>
      </c>
      <c r="H145" s="11"/>
      <c r="I145" s="11"/>
      <c r="J145" s="11" t="s">
        <v>4834</v>
      </c>
      <c r="K145" s="11" t="s">
        <v>4835</v>
      </c>
      <c r="L145" s="11">
        <v>1</v>
      </c>
      <c r="M145" s="31" t="s">
        <v>4836</v>
      </c>
      <c r="N145" s="11"/>
      <c r="O145" s="11"/>
      <c r="P145" s="11" t="s">
        <v>4837</v>
      </c>
      <c r="Q145" s="19"/>
      <c r="R145" s="19"/>
      <c r="S145" s="23" t="str">
        <f>HYPERLINK("https://www.google.com/maps/search/" &amp; Table24[[#This Row],[Tên hẻm]], "Xem trên Google Maps")</f>
        <v>Xem trên Google Maps</v>
      </c>
      <c r="T145" s="16" t="str">
        <f>"Hẻm "&amp;Table24[[#This Row],[Hẻm]]&amp;" "&amp;Table24[[#This Row],[Tuyến đường]]&amp;", Phường "&amp;Table24[[#This Row],[Phường]]&amp;", Quận "&amp;Table24[[#This Row],[Quận]]</f>
        <v xml:space="preserve">Hẻm 298 Nguyễn Văn Đậu , Phường 5, Quận Phú Nhuận </v>
      </c>
      <c r="U145" s="36"/>
      <c r="V145" s="56" t="e">
        <f>HYPERLINK("https://www.google.com/maps/search/?api=1&amp;query=" &amp; _xlfn.ENCODEURL(Table24[[#This Row],[Tên hẻm]]), "Link Google Map")</f>
        <v>#VALUE!</v>
      </c>
    </row>
    <row r="146" spans="1:22" ht="47.25" hidden="1">
      <c r="A146" s="11">
        <v>167</v>
      </c>
      <c r="B146" s="16">
        <v>74</v>
      </c>
      <c r="C146" s="16" t="s">
        <v>4838</v>
      </c>
      <c r="D146" s="11" t="s">
        <v>4398</v>
      </c>
      <c r="E146" s="11">
        <v>5</v>
      </c>
      <c r="F146" s="11" t="s">
        <v>4839</v>
      </c>
      <c r="G146" s="17" t="s">
        <v>4840</v>
      </c>
      <c r="H146" s="11"/>
      <c r="I146" s="11"/>
      <c r="J146" s="11" t="s">
        <v>4841</v>
      </c>
      <c r="K146" s="11" t="s">
        <v>4842</v>
      </c>
      <c r="L146" s="11">
        <v>6</v>
      </c>
      <c r="M146" s="31" t="s">
        <v>4843</v>
      </c>
      <c r="N146" s="11"/>
      <c r="O146" s="11"/>
      <c r="P146" s="11" t="s">
        <v>4837</v>
      </c>
      <c r="Q146" s="19"/>
      <c r="R146" s="19"/>
      <c r="S146" s="23" t="str">
        <f>HYPERLINK("https://www.google.com/maps/search/" &amp; Table24[[#This Row],[Tên hẻm]], "Xem trên Google Maps")</f>
        <v>Xem trên Google Maps</v>
      </c>
      <c r="T146" s="16" t="str">
        <f>"Hẻm "&amp;Table24[[#This Row],[Hẻm]]&amp;" "&amp;Table24[[#This Row],[Tuyến đường]]&amp;", Phường "&amp;Table24[[#This Row],[Phường]]&amp;", Quận "&amp;Table24[[#This Row],[Quận]]</f>
        <v xml:space="preserve">Hẻm 74 Phan Đăng Lưu , Phường 5, Quận Phú Nhuận </v>
      </c>
      <c r="U146" s="36"/>
      <c r="V146" s="56" t="e">
        <f>HYPERLINK("https://www.google.com/maps/search/?api=1&amp;query=" &amp; _xlfn.ENCODEURL(Table24[[#This Row],[Tên hẻm]]), "Link Google Map")</f>
        <v>#VALUE!</v>
      </c>
    </row>
    <row r="147" spans="1:22" ht="47.25" hidden="1">
      <c r="A147" s="11">
        <v>168</v>
      </c>
      <c r="B147" s="16">
        <v>235</v>
      </c>
      <c r="C147" s="16" t="s">
        <v>4411</v>
      </c>
      <c r="D147" s="11" t="s">
        <v>4398</v>
      </c>
      <c r="E147" s="11">
        <v>5</v>
      </c>
      <c r="F147" s="11" t="s">
        <v>4844</v>
      </c>
      <c r="G147" s="17" t="s">
        <v>4840</v>
      </c>
      <c r="H147" s="11"/>
      <c r="I147" s="11"/>
      <c r="J147" s="11" t="s">
        <v>4845</v>
      </c>
      <c r="K147" s="11" t="s">
        <v>4846</v>
      </c>
      <c r="L147" s="11">
        <v>4</v>
      </c>
      <c r="M147" s="31" t="s">
        <v>4847</v>
      </c>
      <c r="N147" s="11"/>
      <c r="O147" s="11"/>
      <c r="P147" s="11" t="s">
        <v>4837</v>
      </c>
      <c r="Q147" s="19"/>
      <c r="R147" s="19"/>
      <c r="S147" s="23" t="str">
        <f>HYPERLINK("https://www.google.com/maps/search/" &amp; Table24[[#This Row],[Tên hẻm]], "Xem trên Google Maps")</f>
        <v>Xem trên Google Maps</v>
      </c>
      <c r="T147" s="16" t="str">
        <f>"Hẻm "&amp;Table24[[#This Row],[Hẻm]]&amp;" "&amp;Table24[[#This Row],[Tuyến đường]]&amp;", Phường "&amp;Table24[[#This Row],[Phường]]&amp;", Quận "&amp;Table24[[#This Row],[Quận]]</f>
        <v xml:space="preserve">Hẻm 235 Hoàng Hoa Thám , Phường 5, Quận Phú Nhuận </v>
      </c>
      <c r="U147" s="36"/>
      <c r="V147" s="56" t="e">
        <f>HYPERLINK("https://www.google.com/maps/search/?api=1&amp;query=" &amp; _xlfn.ENCODEURL(Table24[[#This Row],[Tên hẻm]]), "Link Google Map")</f>
        <v>#VALUE!</v>
      </c>
    </row>
    <row r="148" spans="1:22" ht="47.25" hidden="1">
      <c r="A148" s="11">
        <v>169</v>
      </c>
      <c r="B148" s="16" t="s">
        <v>4848</v>
      </c>
      <c r="C148" s="16" t="s">
        <v>4405</v>
      </c>
      <c r="D148" s="11" t="s">
        <v>4398</v>
      </c>
      <c r="E148" s="11">
        <v>5</v>
      </c>
      <c r="F148" s="11" t="s">
        <v>4849</v>
      </c>
      <c r="G148" s="17" t="s">
        <v>4850</v>
      </c>
      <c r="H148" s="11"/>
      <c r="I148" s="11"/>
      <c r="J148" s="11" t="s">
        <v>4851</v>
      </c>
      <c r="K148" s="11" t="s">
        <v>4852</v>
      </c>
      <c r="L148" s="11">
        <v>6</v>
      </c>
      <c r="M148" s="31" t="s">
        <v>4853</v>
      </c>
      <c r="N148" s="11"/>
      <c r="O148" s="11"/>
      <c r="P148" s="11" t="s">
        <v>4837</v>
      </c>
      <c r="Q148" s="19"/>
      <c r="R148" s="19"/>
      <c r="S148" s="23" t="str">
        <f>HYPERLINK("https://www.google.com/maps/search/" &amp; Table24[[#This Row],[Tên hẻm]], "Xem trên Google Maps")</f>
        <v>Xem trên Google Maps</v>
      </c>
      <c r="T148" s="16" t="str">
        <f>"Hẻm "&amp;Table24[[#This Row],[Hẻm]]&amp;" "&amp;Table24[[#This Row],[Tuyến đường]]&amp;", Phường "&amp;Table24[[#This Row],[Phường]]&amp;", Quận "&amp;Table24[[#This Row],[Quận]]</f>
        <v xml:space="preserve">Hẻm 120/98 Thích Quảng Đức , Phường 5, Quận Phú Nhuận </v>
      </c>
      <c r="U148" s="36"/>
      <c r="V148" s="56" t="e">
        <f>HYPERLINK("https://www.google.com/maps/search/?api=1&amp;query=" &amp; _xlfn.ENCODEURL(Table24[[#This Row],[Tên hẻm]]), "Link Google Map")</f>
        <v>#VALUE!</v>
      </c>
    </row>
    <row r="149" spans="1:22" ht="47.25" hidden="1">
      <c r="A149" s="11">
        <v>170</v>
      </c>
      <c r="B149" s="16" t="s">
        <v>4854</v>
      </c>
      <c r="C149" s="16" t="s">
        <v>4855</v>
      </c>
      <c r="D149" s="11" t="s">
        <v>4856</v>
      </c>
      <c r="E149" s="11">
        <v>12</v>
      </c>
      <c r="F149" s="11" t="s">
        <v>4857</v>
      </c>
      <c r="G149" s="17" t="s">
        <v>4772</v>
      </c>
      <c r="H149" s="11"/>
      <c r="I149" s="11"/>
      <c r="J149" s="11" t="s">
        <v>4858</v>
      </c>
      <c r="K149" s="11" t="s">
        <v>4859</v>
      </c>
      <c r="L149" s="11">
        <v>4</v>
      </c>
      <c r="M149" s="31" t="s">
        <v>4860</v>
      </c>
      <c r="N149" s="11"/>
      <c r="O149" s="11"/>
      <c r="P149" s="11" t="s">
        <v>4861</v>
      </c>
      <c r="Q149" s="19"/>
      <c r="R149" s="19"/>
      <c r="S149" s="23" t="str">
        <f>HYPERLINK("https://www.google.com/maps/search/" &amp; Table24[[#This Row],[Tên hẻm]], "Xem trên Google Maps")</f>
        <v>Xem trên Google Maps</v>
      </c>
      <c r="T149" s="16" t="str">
        <f>"Hẻm "&amp;Table24[[#This Row],[Hẻm]]&amp;" "&amp;Table24[[#This Row],[Tuyến đường]]&amp;", Phường "&amp;Table24[[#This Row],[Phường]]&amp;", Quận "&amp;Table24[[#This Row],[Quận]]</f>
        <v>Hẻm Hẻm 217 Lãnh Binh Thăng  Lãnh Binh Thăng , Phường 12, Quận Q11</v>
      </c>
      <c r="U149" s="36"/>
      <c r="V149" s="56" t="e">
        <f>HYPERLINK("https://www.google.com/maps/search/?api=1&amp;query=" &amp; _xlfn.ENCODEURL(Table24[[#This Row],[Tên hẻm]]), "Link Google Map")</f>
        <v>#VALUE!</v>
      </c>
    </row>
    <row r="150" spans="1:22" ht="47.25" hidden="1">
      <c r="A150" s="11">
        <v>171</v>
      </c>
      <c r="B150" s="16">
        <v>19</v>
      </c>
      <c r="C150" s="16" t="s">
        <v>4862</v>
      </c>
      <c r="D150" s="11" t="s">
        <v>4398</v>
      </c>
      <c r="E150" s="11">
        <v>5</v>
      </c>
      <c r="F150" s="11" t="s">
        <v>4863</v>
      </c>
      <c r="G150" s="17" t="s">
        <v>4840</v>
      </c>
      <c r="H150" s="11"/>
      <c r="I150" s="11"/>
      <c r="J150" s="11" t="s">
        <v>4864</v>
      </c>
      <c r="K150" s="11" t="s">
        <v>4865</v>
      </c>
      <c r="L150" s="11">
        <v>3</v>
      </c>
      <c r="M150" s="31" t="s">
        <v>4866</v>
      </c>
      <c r="N150" s="11"/>
      <c r="O150" s="11"/>
      <c r="P150" s="11" t="s">
        <v>4837</v>
      </c>
      <c r="Q150" s="19"/>
      <c r="R150" s="19"/>
      <c r="S150" s="23" t="str">
        <f>HYPERLINK("https://www.google.com/maps/search/" &amp; Table24[[#This Row],[Tên hẻm]], "Xem trên Google Maps")</f>
        <v>Xem trên Google Maps</v>
      </c>
      <c r="T150" s="16" t="str">
        <f>"Hẻm "&amp;Table24[[#This Row],[Hẻm]]&amp;" "&amp;Table24[[#This Row],[Tuyến đường]]&amp;", Phường "&amp;Table24[[#This Row],[Phường]]&amp;", Quận "&amp;Table24[[#This Row],[Quận]]</f>
        <v xml:space="preserve">Hẻm 19 Làm Sơn, Phường 5, Quận Phú Nhuận </v>
      </c>
      <c r="U150" s="36"/>
      <c r="V150" s="56" t="e">
        <f>HYPERLINK("https://www.google.com/maps/search/?api=1&amp;query=" &amp; _xlfn.ENCODEURL(Table24[[#This Row],[Tên hẻm]]), "Link Google Map")</f>
        <v>#VALUE!</v>
      </c>
    </row>
    <row r="151" spans="1:22" ht="47.25" hidden="1">
      <c r="A151" s="11">
        <v>172</v>
      </c>
      <c r="B151" s="16" t="s">
        <v>4867</v>
      </c>
      <c r="C151" s="16" t="s">
        <v>4405</v>
      </c>
      <c r="D151" s="11" t="s">
        <v>4398</v>
      </c>
      <c r="E151" s="11">
        <v>5</v>
      </c>
      <c r="F151" s="11" t="s">
        <v>4868</v>
      </c>
      <c r="G151" s="17" t="s">
        <v>4840</v>
      </c>
      <c r="H151" s="11"/>
      <c r="I151" s="11"/>
      <c r="J151" s="11" t="s">
        <v>4869</v>
      </c>
      <c r="K151" s="11" t="s">
        <v>4870</v>
      </c>
      <c r="L151" s="11">
        <v>2</v>
      </c>
      <c r="M151" s="31" t="s">
        <v>4871</v>
      </c>
      <c r="N151" s="11"/>
      <c r="O151" s="11"/>
      <c r="P151" s="11" t="s">
        <v>4837</v>
      </c>
      <c r="Q151" s="19"/>
      <c r="R151" s="19"/>
      <c r="S151" s="23" t="str">
        <f>HYPERLINK("https://www.google.com/maps/search/" &amp; Table24[[#This Row],[Tên hẻm]], "Xem trên Google Maps")</f>
        <v>Xem trên Google Maps</v>
      </c>
      <c r="T151" s="16" t="str">
        <f>"Hẻm "&amp;Table24[[#This Row],[Hẻm]]&amp;" "&amp;Table24[[#This Row],[Tuyến đường]]&amp;", Phường "&amp;Table24[[#This Row],[Phường]]&amp;", Quận "&amp;Table24[[#This Row],[Quận]]</f>
        <v xml:space="preserve">Hẻm 30A Thích Quảng Đức , Phường 5, Quận Phú Nhuận </v>
      </c>
      <c r="U151" s="36"/>
      <c r="V151" s="56" t="e">
        <f>HYPERLINK("https://www.google.com/maps/search/?api=1&amp;query=" &amp; _xlfn.ENCODEURL(Table24[[#This Row],[Tên hẻm]]), "Link Google Map")</f>
        <v>#VALUE!</v>
      </c>
    </row>
    <row r="152" spans="1:22" ht="47.25" hidden="1">
      <c r="A152" s="11">
        <v>173</v>
      </c>
      <c r="B152" s="16" t="s">
        <v>4872</v>
      </c>
      <c r="C152" s="16" t="s">
        <v>4855</v>
      </c>
      <c r="D152" s="11">
        <v>11</v>
      </c>
      <c r="E152" s="11">
        <v>12</v>
      </c>
      <c r="F152" s="11" t="s">
        <v>4873</v>
      </c>
      <c r="G152" s="17" t="s">
        <v>4772</v>
      </c>
      <c r="H152" s="11"/>
      <c r="I152" s="11"/>
      <c r="J152" s="11" t="s">
        <v>4874</v>
      </c>
      <c r="K152" s="11" t="s">
        <v>4875</v>
      </c>
      <c r="L152" s="11">
        <v>4</v>
      </c>
      <c r="M152" s="31" t="s">
        <v>4876</v>
      </c>
      <c r="N152" s="11"/>
      <c r="O152" s="11"/>
      <c r="P152" s="11" t="s">
        <v>4861</v>
      </c>
      <c r="Q152" s="19"/>
      <c r="R152" s="19"/>
      <c r="S152" s="23" t="str">
        <f>HYPERLINK("https://www.google.com/maps/search/" &amp; Table24[[#This Row],[Tên hẻm]], "Xem trên Google Maps")</f>
        <v>Xem trên Google Maps</v>
      </c>
      <c r="T152" s="16" t="str">
        <f>"Hẻm "&amp;Table24[[#This Row],[Hẻm]]&amp;" "&amp;Table24[[#This Row],[Tuyến đường]]&amp;", Phường "&amp;Table24[[#This Row],[Phường]]&amp;", Quận "&amp;Table24[[#This Row],[Quận]]</f>
        <v>Hẻm Hẻm 191 Lãnh Binh Thăng  Lãnh Binh Thăng , Phường 12, Quận 11</v>
      </c>
      <c r="U152" s="36"/>
      <c r="V152" s="56" t="e">
        <f>HYPERLINK("https://www.google.com/maps/search/?api=1&amp;query=" &amp; _xlfn.ENCODEURL(Table24[[#This Row],[Tên hẻm]]), "Link Google Map")</f>
        <v>#VALUE!</v>
      </c>
    </row>
    <row r="153" spans="1:22" ht="47.25" hidden="1">
      <c r="A153" s="11">
        <v>174</v>
      </c>
      <c r="B153" s="16" t="s">
        <v>4877</v>
      </c>
      <c r="C153" s="16" t="s">
        <v>4855</v>
      </c>
      <c r="D153" s="11">
        <v>11</v>
      </c>
      <c r="E153" s="11">
        <v>12</v>
      </c>
      <c r="F153" s="11" t="s">
        <v>4878</v>
      </c>
      <c r="G153" s="17" t="s">
        <v>4772</v>
      </c>
      <c r="H153" s="11"/>
      <c r="I153" s="11"/>
      <c r="J153" s="11" t="s">
        <v>4879</v>
      </c>
      <c r="K153" s="11" t="s">
        <v>4880</v>
      </c>
      <c r="L153" s="11">
        <v>6</v>
      </c>
      <c r="M153" s="31" t="s">
        <v>4881</v>
      </c>
      <c r="N153" s="11"/>
      <c r="O153" s="11"/>
      <c r="P153" s="11" t="s">
        <v>4861</v>
      </c>
      <c r="Q153" s="19"/>
      <c r="R153" s="19"/>
      <c r="S153" s="23" t="str">
        <f>HYPERLINK("https://www.google.com/maps/search/" &amp; Table24[[#This Row],[Tên hẻm]], "Xem trên Google Maps")</f>
        <v>Xem trên Google Maps</v>
      </c>
      <c r="T153" s="16" t="str">
        <f>"Hẻm "&amp;Table24[[#This Row],[Hẻm]]&amp;" "&amp;Table24[[#This Row],[Tuyến đường]]&amp;", Phường "&amp;Table24[[#This Row],[Phường]]&amp;", Quận "&amp;Table24[[#This Row],[Quận]]</f>
        <v>Hẻm Hẻm 173 Lãnh Binh Thăng  Lãnh Binh Thăng , Phường 12, Quận 11</v>
      </c>
      <c r="U153" s="36"/>
      <c r="V153" s="56" t="e">
        <f>HYPERLINK("https://www.google.com/maps/search/?api=1&amp;query=" &amp; _xlfn.ENCODEURL(Table24[[#This Row],[Tên hẻm]]), "Link Google Map")</f>
        <v>#VALUE!</v>
      </c>
    </row>
    <row r="154" spans="1:22" ht="47.25" hidden="1">
      <c r="A154" s="11">
        <v>175</v>
      </c>
      <c r="B154" s="16" t="s">
        <v>4882</v>
      </c>
      <c r="C154" s="16" t="s">
        <v>4883</v>
      </c>
      <c r="D154" s="11">
        <v>11</v>
      </c>
      <c r="E154" s="11">
        <v>12</v>
      </c>
      <c r="F154" s="11" t="s">
        <v>4884</v>
      </c>
      <c r="G154" s="17" t="s">
        <v>4885</v>
      </c>
      <c r="H154" s="11"/>
      <c r="I154" s="11"/>
      <c r="J154" s="11" t="s">
        <v>4886</v>
      </c>
      <c r="K154" s="11" t="s">
        <v>4887</v>
      </c>
      <c r="L154" s="11">
        <v>5</v>
      </c>
      <c r="M154" s="31" t="s">
        <v>4888</v>
      </c>
      <c r="N154" s="11"/>
      <c r="O154" s="11"/>
      <c r="P154" s="11" t="s">
        <v>4861</v>
      </c>
      <c r="Q154" s="19"/>
      <c r="R154" s="19"/>
      <c r="S154" s="23" t="str">
        <f>HYPERLINK("https://www.google.com/maps/search/" &amp; Table24[[#This Row],[Tên hẻm]], "Xem trên Google Maps")</f>
        <v>Xem trên Google Maps</v>
      </c>
      <c r="T154" s="16" t="str">
        <f>"Hẻm "&amp;Table24[[#This Row],[Hẻm]]&amp;" "&amp;Table24[[#This Row],[Tuyến đường]]&amp;", Phường "&amp;Table24[[#This Row],[Phường]]&amp;", Quận "&amp;Table24[[#This Row],[Quận]]</f>
        <v>Hẻm Hẻm 1150 Ba Tháng Hai  Bà Tháng Hai , Phường 12, Quận 11</v>
      </c>
      <c r="U154" s="36"/>
      <c r="V154" s="56" t="e">
        <f>HYPERLINK("https://www.google.com/maps/search/?api=1&amp;query=" &amp; _xlfn.ENCODEURL(Table24[[#This Row],[Tên hẻm]]), "Link Google Map")</f>
        <v>#VALUE!</v>
      </c>
    </row>
    <row r="155" spans="1:22" ht="47.25" hidden="1">
      <c r="A155" s="11">
        <v>176</v>
      </c>
      <c r="B155" s="16" t="s">
        <v>4889</v>
      </c>
      <c r="C155" s="16" t="s">
        <v>4890</v>
      </c>
      <c r="D155" s="11">
        <v>11</v>
      </c>
      <c r="E155" s="11">
        <v>9</v>
      </c>
      <c r="F155" s="11" t="s">
        <v>4891</v>
      </c>
      <c r="G155" s="17" t="s">
        <v>4892</v>
      </c>
      <c r="H155" s="11"/>
      <c r="I155" s="11"/>
      <c r="J155" s="11" t="s">
        <v>4893</v>
      </c>
      <c r="K155" s="11" t="s">
        <v>4894</v>
      </c>
      <c r="L155" s="11">
        <v>6</v>
      </c>
      <c r="M155" s="31" t="s">
        <v>4895</v>
      </c>
      <c r="N155" s="11"/>
      <c r="O155" s="11"/>
      <c r="P155" s="11" t="s">
        <v>4861</v>
      </c>
      <c r="Q155" s="19"/>
      <c r="R155" s="19"/>
      <c r="S155" s="23" t="str">
        <f>HYPERLINK("https://www.google.com/maps/search/" &amp; Table24[[#This Row],[Tên hẻm]], "Xem trên Google Maps")</f>
        <v>Xem trên Google Maps</v>
      </c>
      <c r="T155" s="16" t="str">
        <f>"Hẻm "&amp;Table24[[#This Row],[Hẻm]]&amp;" "&amp;Table24[[#This Row],[Tuyến đường]]&amp;", Phường "&amp;Table24[[#This Row],[Phường]]&amp;", Quận "&amp;Table24[[#This Row],[Quận]]</f>
        <v>Hẻm 195 Bình Thới  Bình Thới , Phường 9, Quận 11</v>
      </c>
      <c r="U155" s="36"/>
      <c r="V155" s="56" t="e">
        <f>HYPERLINK("https://www.google.com/maps/search/?api=1&amp;query=" &amp; _xlfn.ENCODEURL(Table24[[#This Row],[Tên hẻm]]), "Link Google Map")</f>
        <v>#VALUE!</v>
      </c>
    </row>
    <row r="156" spans="1:22" ht="47.25" hidden="1">
      <c r="A156" s="11">
        <v>177</v>
      </c>
      <c r="B156" s="16" t="s">
        <v>4896</v>
      </c>
      <c r="C156" s="16" t="s">
        <v>4883</v>
      </c>
      <c r="D156" s="11">
        <v>11</v>
      </c>
      <c r="E156" s="11">
        <v>12</v>
      </c>
      <c r="F156" s="11" t="s">
        <v>4884</v>
      </c>
      <c r="G156" s="17" t="s">
        <v>4772</v>
      </c>
      <c r="H156" s="11"/>
      <c r="I156" s="11"/>
      <c r="J156" s="11" t="s">
        <v>4897</v>
      </c>
      <c r="K156" s="11" t="s">
        <v>4898</v>
      </c>
      <c r="L156" s="11">
        <v>3</v>
      </c>
      <c r="M156" s="31" t="s">
        <v>4899</v>
      </c>
      <c r="N156" s="11"/>
      <c r="O156" s="11"/>
      <c r="P156" s="11" t="s">
        <v>4861</v>
      </c>
      <c r="Q156" s="19"/>
      <c r="R156" s="19"/>
      <c r="S156" s="23" t="str">
        <f>HYPERLINK("https://www.google.com/maps/search/" &amp; Table24[[#This Row],[Tên hẻm]], "Xem trên Google Maps")</f>
        <v>Xem trên Google Maps</v>
      </c>
      <c r="T156" s="16" t="str">
        <f>"Hẻm "&amp;Table24[[#This Row],[Hẻm]]&amp;" "&amp;Table24[[#This Row],[Tuyến đường]]&amp;", Phường "&amp;Table24[[#This Row],[Phường]]&amp;", Quận "&amp;Table24[[#This Row],[Quận]]</f>
        <v>Hẻm Hẻm 1170 Ba Tháng Hai  Bà Tháng Hai , Phường 12, Quận 11</v>
      </c>
      <c r="U156" s="36"/>
      <c r="V156" s="56" t="e">
        <f>HYPERLINK("https://www.google.com/maps/search/?api=1&amp;query=" &amp; _xlfn.ENCODEURL(Table24[[#This Row],[Tên hẻm]]), "Link Google Map")</f>
        <v>#VALUE!</v>
      </c>
    </row>
    <row r="157" spans="1:22" ht="47.25" hidden="1">
      <c r="A157" s="11">
        <v>178</v>
      </c>
      <c r="B157" s="16" t="s">
        <v>4900</v>
      </c>
      <c r="C157" s="16" t="s">
        <v>4901</v>
      </c>
      <c r="D157" s="11">
        <v>11</v>
      </c>
      <c r="E157" s="11">
        <v>12</v>
      </c>
      <c r="F157" s="11" t="s">
        <v>4884</v>
      </c>
      <c r="G157" s="17" t="s">
        <v>4892</v>
      </c>
      <c r="H157" s="11"/>
      <c r="I157" s="11"/>
      <c r="J157" s="11" t="s">
        <v>4902</v>
      </c>
      <c r="K157" s="11" t="s">
        <v>4903</v>
      </c>
      <c r="L157" s="11">
        <v>5</v>
      </c>
      <c r="M157" s="31" t="s">
        <v>4904</v>
      </c>
      <c r="N157" s="11"/>
      <c r="O157" s="11"/>
      <c r="P157" s="11" t="s">
        <v>4861</v>
      </c>
      <c r="Q157" s="19"/>
      <c r="R157" s="19"/>
      <c r="S157" s="23" t="str">
        <f>HYPERLINK("https://www.google.com/maps/search/" &amp; Table24[[#This Row],[Tên hẻm]], "Xem trên Google Maps")</f>
        <v>Xem trên Google Maps</v>
      </c>
      <c r="T157" s="16" t="str">
        <f>"Hẻm "&amp;Table24[[#This Row],[Hẻm]]&amp;" "&amp;Table24[[#This Row],[Tuyến đường]]&amp;", Phường "&amp;Table24[[#This Row],[Phường]]&amp;", Quận "&amp;Table24[[#This Row],[Quận]]</f>
        <v>Hẻm Hẻm 1136 Bà Tháng Hai  Ba Tháng Hai , Phường 12, Quận 11</v>
      </c>
      <c r="U157" s="36"/>
      <c r="V157" s="56" t="e">
        <f>HYPERLINK("https://www.google.com/maps/search/?api=1&amp;query=" &amp; _xlfn.ENCODEURL(Table24[[#This Row],[Tên hẻm]]), "Link Google Map")</f>
        <v>#VALUE!</v>
      </c>
    </row>
    <row r="158" spans="1:22" ht="47.25" hidden="1">
      <c r="A158" s="11">
        <v>179</v>
      </c>
      <c r="B158" s="16" t="s">
        <v>4905</v>
      </c>
      <c r="C158" s="16" t="s">
        <v>4906</v>
      </c>
      <c r="D158" s="11">
        <v>11</v>
      </c>
      <c r="E158" s="11">
        <v>6</v>
      </c>
      <c r="F158" s="11" t="s">
        <v>4907</v>
      </c>
      <c r="G158" s="17" t="s">
        <v>4772</v>
      </c>
      <c r="H158" s="11"/>
      <c r="I158" s="11"/>
      <c r="J158" s="11" t="s">
        <v>4908</v>
      </c>
      <c r="K158" s="11" t="s">
        <v>4909</v>
      </c>
      <c r="L158" s="11">
        <v>5</v>
      </c>
      <c r="M158" s="31" t="s">
        <v>4910</v>
      </c>
      <c r="N158" s="11"/>
      <c r="O158" s="11"/>
      <c r="P158" s="11" t="s">
        <v>4861</v>
      </c>
      <c r="Q158" s="19"/>
      <c r="R158" s="19"/>
      <c r="S158" s="23" t="str">
        <f>HYPERLINK("https://www.google.com/maps/search/" &amp; Table24[[#This Row],[Tên hẻm]], "Xem trên Google Maps")</f>
        <v>Xem trên Google Maps</v>
      </c>
      <c r="T158" s="16" t="str">
        <f>"Hẻm "&amp;Table24[[#This Row],[Hẻm]]&amp;" "&amp;Table24[[#This Row],[Tuyến đường]]&amp;", Phường "&amp;Table24[[#This Row],[Phường]]&amp;", Quận "&amp;Table24[[#This Row],[Quận]]</f>
        <v>Hẻm Hẻm 492 Tân Phước  Tân Phước , Phường 6, Quận 11</v>
      </c>
      <c r="U158" s="36"/>
      <c r="V158" s="56" t="e">
        <f>HYPERLINK("https://www.google.com/maps/search/?api=1&amp;query=" &amp; _xlfn.ENCODEURL(Table24[[#This Row],[Tên hẻm]]), "Link Google Map")</f>
        <v>#VALUE!</v>
      </c>
    </row>
    <row r="159" spans="1:22" ht="47.25" hidden="1">
      <c r="A159" s="11">
        <v>180</v>
      </c>
      <c r="B159" s="16" t="s">
        <v>4911</v>
      </c>
      <c r="C159" s="16" t="s">
        <v>1982</v>
      </c>
      <c r="D159" s="11">
        <v>8</v>
      </c>
      <c r="E159" s="11">
        <v>7</v>
      </c>
      <c r="F159" s="11" t="s">
        <v>2649</v>
      </c>
      <c r="G159" s="17">
        <v>4</v>
      </c>
      <c r="H159" s="11"/>
      <c r="I159" s="11"/>
      <c r="J159" s="11" t="s">
        <v>4912</v>
      </c>
      <c r="K159" s="11" t="s">
        <v>4703</v>
      </c>
      <c r="L159" s="11">
        <v>5</v>
      </c>
      <c r="M159" s="31" t="s">
        <v>4913</v>
      </c>
      <c r="N159" s="11"/>
      <c r="O159" s="11"/>
      <c r="P159" s="11" t="s">
        <v>4914</v>
      </c>
      <c r="Q159" s="19"/>
      <c r="R159" s="19"/>
      <c r="S159" s="23" t="str">
        <f>HYPERLINK("https://www.google.com/maps/search/" &amp; Table24[[#This Row],[Tên hẻm]], "Xem trên Google Maps")</f>
        <v>Xem trên Google Maps</v>
      </c>
      <c r="T159" s="16" t="str">
        <f>"Hẻm "&amp;Table24[[#This Row],[Hẻm]]&amp;" "&amp;Table24[[#This Row],[Tuyến đường]]&amp;", Phường "&amp;Table24[[#This Row],[Phường]]&amp;", Quận "&amp;Table24[[#This Row],[Quận]]</f>
        <v>Hẻm  Hẻm 2549 Phạm Thế Hiển, Phường 7, Quận 8</v>
      </c>
      <c r="U159" s="36"/>
      <c r="V159" s="56" t="e">
        <f>HYPERLINK("https://www.google.com/maps/search/?api=1&amp;query=" &amp; _xlfn.ENCODEURL(Table24[[#This Row],[Tên hẻm]]), "Link Google Map")</f>
        <v>#VALUE!</v>
      </c>
    </row>
    <row r="160" spans="1:22" ht="47.25" hidden="1">
      <c r="A160" s="11">
        <v>181</v>
      </c>
      <c r="B160" s="16" t="s">
        <v>4915</v>
      </c>
      <c r="C160" s="16" t="s">
        <v>4916</v>
      </c>
      <c r="D160" s="11">
        <v>8</v>
      </c>
      <c r="E160" s="11">
        <v>1</v>
      </c>
      <c r="F160" s="11" t="s">
        <v>4917</v>
      </c>
      <c r="G160" s="17">
        <v>4</v>
      </c>
      <c r="H160" s="11"/>
      <c r="I160" s="11"/>
      <c r="J160" s="11" t="s">
        <v>4916</v>
      </c>
      <c r="K160" s="11" t="s">
        <v>4703</v>
      </c>
      <c r="L160" s="11">
        <v>12</v>
      </c>
      <c r="M160" s="31" t="s">
        <v>4918</v>
      </c>
      <c r="N160" s="11"/>
      <c r="O160" s="11"/>
      <c r="P160" s="11" t="s">
        <v>1922</v>
      </c>
      <c r="Q160" s="19"/>
      <c r="R160" s="19"/>
      <c r="S160" s="23" t="str">
        <f>HYPERLINK("https://www.google.com/maps/search/" &amp; Table24[[#This Row],[Tên hẻm]], "Xem trên Google Maps")</f>
        <v>Xem trên Google Maps</v>
      </c>
      <c r="T160" s="16" t="str">
        <f>"Hẻm "&amp;Table24[[#This Row],[Hẻm]]&amp;" "&amp;Table24[[#This Row],[Tuyến đường]]&amp;", Phường "&amp;Table24[[#This Row],[Phường]]&amp;", Quận "&amp;Table24[[#This Row],[Quận]]</f>
        <v>Hẻm 290B Dương Bá Trạc, Phường 1, Quận 8</v>
      </c>
      <c r="U160" s="36"/>
      <c r="V160" s="56" t="e">
        <f>HYPERLINK("https://www.google.com/maps/search/?api=1&amp;query=" &amp; _xlfn.ENCODEURL(Table24[[#This Row],[Tên hẻm]]), "Link Google Map")</f>
        <v>#VALUE!</v>
      </c>
    </row>
    <row r="161" spans="1:22" ht="47.25" hidden="1">
      <c r="A161" s="11">
        <v>182</v>
      </c>
      <c r="B161" s="16" t="s">
        <v>4919</v>
      </c>
      <c r="C161" s="16" t="s">
        <v>4920</v>
      </c>
      <c r="D161" s="11">
        <v>8</v>
      </c>
      <c r="E161" s="11">
        <v>16</v>
      </c>
      <c r="F161" s="11" t="s">
        <v>1620</v>
      </c>
      <c r="G161" s="17">
        <v>5</v>
      </c>
      <c r="H161" s="11"/>
      <c r="I161" s="11"/>
      <c r="J161" s="11" t="s">
        <v>4921</v>
      </c>
      <c r="K161" s="11" t="s">
        <v>4703</v>
      </c>
      <c r="L161" s="11">
        <v>57</v>
      </c>
      <c r="M161" s="31" t="s">
        <v>4922</v>
      </c>
      <c r="N161" s="11"/>
      <c r="O161" s="11"/>
      <c r="P161" s="11" t="s">
        <v>1922</v>
      </c>
      <c r="Q161" s="19"/>
      <c r="R161" s="19"/>
      <c r="S161" s="23" t="str">
        <f>HYPERLINK("https://www.google.com/maps/search/" &amp; Table24[[#This Row],[Tên hẻm]], "Xem trên Google Maps")</f>
        <v>Xem trên Google Maps</v>
      </c>
      <c r="T161" s="16" t="str">
        <f>"Hẻm "&amp;Table24[[#This Row],[Hẻm]]&amp;" "&amp;Table24[[#This Row],[Tuyến đường]]&amp;", Phường "&amp;Table24[[#This Row],[Phường]]&amp;", Quận "&amp;Table24[[#This Row],[Quận]]</f>
        <v>Hẻm 80 Hoàng Ngân + 118 Phú Định  Hoàng Ngân + Phú Định, Phường 16, Quận 8</v>
      </c>
      <c r="U161" s="36"/>
      <c r="V161" s="56" t="e">
        <f>HYPERLINK("https://www.google.com/maps/search/?api=1&amp;query=" &amp; _xlfn.ENCODEURL(Table24[[#This Row],[Tên hẻm]]), "Link Google Map")</f>
        <v>#VALUE!</v>
      </c>
    </row>
    <row r="162" spans="1:22" ht="47.25" hidden="1">
      <c r="A162" s="11">
        <v>183</v>
      </c>
      <c r="B162" s="16" t="s">
        <v>4923</v>
      </c>
      <c r="C162" s="16" t="s">
        <v>1896</v>
      </c>
      <c r="D162" s="11">
        <v>8</v>
      </c>
      <c r="E162" s="11">
        <v>15</v>
      </c>
      <c r="F162" s="11" t="s">
        <v>4924</v>
      </c>
      <c r="G162" s="17">
        <v>4</v>
      </c>
      <c r="H162" s="11"/>
      <c r="I162" s="11"/>
      <c r="J162" s="11" t="s">
        <v>1896</v>
      </c>
      <c r="K162" s="11" t="s">
        <v>4703</v>
      </c>
      <c r="L162" s="11">
        <v>8</v>
      </c>
      <c r="M162" s="31" t="s">
        <v>4925</v>
      </c>
      <c r="N162" s="11"/>
      <c r="O162" s="11"/>
      <c r="P162" s="11" t="s">
        <v>1922</v>
      </c>
      <c r="Q162" s="19"/>
      <c r="R162" s="19"/>
      <c r="S162" s="23" t="str">
        <f>HYPERLINK("https://www.google.com/maps/search/" &amp; Table24[[#This Row],[Tên hẻm]], "Xem trên Google Maps")</f>
        <v>Xem trên Google Maps</v>
      </c>
      <c r="T162" s="16" t="str">
        <f>"Hẻm "&amp;Table24[[#This Row],[Hẻm]]&amp;" "&amp;Table24[[#This Row],[Tuyến đường]]&amp;", Phường "&amp;Table24[[#This Row],[Phường]]&amp;", Quận "&amp;Table24[[#This Row],[Quận]]</f>
        <v>Hẻm 187 Mễ Cốc Mễ Cốc, Phường 15, Quận 8</v>
      </c>
      <c r="U162" s="36"/>
      <c r="V162" s="56" t="e">
        <f>HYPERLINK("https://www.google.com/maps/search/?api=1&amp;query=" &amp; _xlfn.ENCODEURL(Table24[[#This Row],[Tên hẻm]]), "Link Google Map")</f>
        <v>#VALUE!</v>
      </c>
    </row>
    <row r="163" spans="1:22" ht="47.25" hidden="1">
      <c r="A163" s="11">
        <v>184</v>
      </c>
      <c r="B163" s="16" t="s">
        <v>4926</v>
      </c>
      <c r="C163" s="16" t="s">
        <v>4927</v>
      </c>
      <c r="D163" s="11">
        <v>8</v>
      </c>
      <c r="E163" s="11">
        <v>4</v>
      </c>
      <c r="F163" s="11" t="s">
        <v>2044</v>
      </c>
      <c r="G163" s="17">
        <v>3</v>
      </c>
      <c r="H163" s="11"/>
      <c r="I163" s="11"/>
      <c r="J163" s="11" t="s">
        <v>2045</v>
      </c>
      <c r="K163" s="11" t="s">
        <v>4703</v>
      </c>
      <c r="L163" s="11">
        <v>18</v>
      </c>
      <c r="M163" s="31" t="s">
        <v>4928</v>
      </c>
      <c r="N163" s="11"/>
      <c r="O163" s="11"/>
      <c r="P163" s="11" t="s">
        <v>1922</v>
      </c>
      <c r="Q163" s="19"/>
      <c r="R163" s="19"/>
      <c r="S163" s="23" t="str">
        <f>HYPERLINK("https://www.google.com/maps/search/" &amp; Table24[[#This Row],[Tên hẻm]], "Xem trên Google Maps")</f>
        <v>Xem trên Google Maps</v>
      </c>
      <c r="T163" s="16" t="str">
        <f>"Hẻm "&amp;Table24[[#This Row],[Hẻm]]&amp;" "&amp;Table24[[#This Row],[Tuyến đường]]&amp;", Phường "&amp;Table24[[#This Row],[Phường]]&amp;", Quận "&amp;Table24[[#This Row],[Quận]]</f>
        <v>Hẻm 35 Cao Lỗ Cao Lỗ, Phường 4, Quận 8</v>
      </c>
      <c r="U163" s="36"/>
      <c r="V163" s="56" t="e">
        <f>HYPERLINK("https://www.google.com/maps/search/?api=1&amp;query=" &amp; _xlfn.ENCODEURL(Table24[[#This Row],[Tên hẻm]]), "Link Google Map")</f>
        <v>#VALUE!</v>
      </c>
    </row>
    <row r="164" spans="1:22" ht="47.25" hidden="1">
      <c r="A164" s="11">
        <v>185</v>
      </c>
      <c r="B164" s="16" t="s">
        <v>4929</v>
      </c>
      <c r="C164" s="16" t="s">
        <v>4930</v>
      </c>
      <c r="D164" s="11">
        <v>10</v>
      </c>
      <c r="E164" s="11">
        <v>12</v>
      </c>
      <c r="F164" s="11" t="s">
        <v>3188</v>
      </c>
      <c r="G164" s="17">
        <v>5</v>
      </c>
      <c r="H164" s="11"/>
      <c r="I164" s="11"/>
      <c r="J164" s="11" t="s">
        <v>4931</v>
      </c>
      <c r="K164" s="11" t="s">
        <v>4703</v>
      </c>
      <c r="L164" s="11">
        <v>6</v>
      </c>
      <c r="M164" s="31" t="s">
        <v>4932</v>
      </c>
      <c r="N164" s="11"/>
      <c r="O164" s="11"/>
      <c r="P164" s="11" t="s">
        <v>1922</v>
      </c>
      <c r="Q164" s="19"/>
      <c r="R164" s="19"/>
      <c r="S164" s="23" t="str">
        <f>HYPERLINK("https://www.google.com/maps/search/" &amp; Table24[[#This Row],[Tên hẻm]], "Xem trên Google Maps")</f>
        <v>Xem trên Google Maps</v>
      </c>
      <c r="T164" s="16" t="str">
        <f>"Hẻm "&amp;Table24[[#This Row],[Hẻm]]&amp;" "&amp;Table24[[#This Row],[Tuyến đường]]&amp;", Phường "&amp;Table24[[#This Row],[Phường]]&amp;", Quận "&amp;Table24[[#This Row],[Quận]]</f>
        <v>Hẻm 90 Thành Thái Thành Thái, Phường 12, Quận 10</v>
      </c>
      <c r="U164" s="36"/>
      <c r="V164" s="56" t="e">
        <f>HYPERLINK("https://www.google.com/maps/search/?api=1&amp;query=" &amp; _xlfn.ENCODEURL(Table24[[#This Row],[Tên hẻm]]), "Link Google Map")</f>
        <v>#VALUE!</v>
      </c>
    </row>
    <row r="165" spans="1:22" ht="47.25" hidden="1">
      <c r="A165" s="11">
        <v>186</v>
      </c>
      <c r="B165" s="16" t="s">
        <v>4933</v>
      </c>
      <c r="C165" s="16" t="s">
        <v>4930</v>
      </c>
      <c r="D165" s="11">
        <v>10</v>
      </c>
      <c r="E165" s="11">
        <v>5</v>
      </c>
      <c r="F165" s="11" t="s">
        <v>3188</v>
      </c>
      <c r="G165" s="17">
        <v>5</v>
      </c>
      <c r="H165" s="11"/>
      <c r="I165" s="11"/>
      <c r="J165" s="11" t="s">
        <v>4930</v>
      </c>
      <c r="K165" s="11" t="s">
        <v>4703</v>
      </c>
      <c r="L165" s="11">
        <v>10</v>
      </c>
      <c r="M165" s="31" t="s">
        <v>4934</v>
      </c>
      <c r="N165" s="11"/>
      <c r="O165" s="11"/>
      <c r="P165" s="11" t="s">
        <v>1922</v>
      </c>
      <c r="Q165" s="19"/>
      <c r="R165" s="19"/>
      <c r="S165" s="23" t="str">
        <f>HYPERLINK("https://www.google.com/maps/search/" &amp; Table24[[#This Row],[Tên hẻm]], "Xem trên Google Maps")</f>
        <v>Xem trên Google Maps</v>
      </c>
      <c r="T165" s="16" t="str">
        <f>"Hẻm "&amp;Table24[[#This Row],[Hẻm]]&amp;" "&amp;Table24[[#This Row],[Tuyến đường]]&amp;", Phường "&amp;Table24[[#This Row],[Phường]]&amp;", Quận "&amp;Table24[[#This Row],[Quận]]</f>
        <v>Hẻm 104 Thành Thái Thành Thái, Phường 5, Quận 10</v>
      </c>
      <c r="U165" s="36"/>
      <c r="V165" s="56" t="e">
        <f>HYPERLINK("https://www.google.com/maps/search/?api=1&amp;query=" &amp; _xlfn.ENCODEURL(Table24[[#This Row],[Tên hẻm]]), "Link Google Map")</f>
        <v>#VALUE!</v>
      </c>
    </row>
    <row r="166" spans="1:22" ht="47.25" hidden="1">
      <c r="A166" s="11">
        <v>187</v>
      </c>
      <c r="B166" s="16" t="s">
        <v>4935</v>
      </c>
      <c r="C166" s="16" t="s">
        <v>4936</v>
      </c>
      <c r="D166" s="11">
        <v>10</v>
      </c>
      <c r="E166" s="11">
        <v>4</v>
      </c>
      <c r="F166" s="11" t="s">
        <v>3181</v>
      </c>
      <c r="G166" s="17">
        <v>4</v>
      </c>
      <c r="H166" s="11"/>
      <c r="I166" s="11"/>
      <c r="J166" s="11" t="s">
        <v>4936</v>
      </c>
      <c r="K166" s="11" t="s">
        <v>4703</v>
      </c>
      <c r="L166" s="11">
        <v>18</v>
      </c>
      <c r="M166" s="31" t="s">
        <v>4937</v>
      </c>
      <c r="N166" s="11"/>
      <c r="O166" s="11"/>
      <c r="P166" s="11" t="s">
        <v>1922</v>
      </c>
      <c r="Q166" s="19"/>
      <c r="R166" s="19"/>
      <c r="S166" s="23" t="str">
        <f>HYPERLINK("https://www.google.com/maps/search/" &amp; Table24[[#This Row],[Tên hẻm]], "Xem trên Google Maps")</f>
        <v>Xem trên Google Maps</v>
      </c>
      <c r="T166" s="16" t="str">
        <f>"Hẻm "&amp;Table24[[#This Row],[Hẻm]]&amp;" "&amp;Table24[[#This Row],[Tuyến đường]]&amp;", Phường "&amp;Table24[[#This Row],[Phường]]&amp;", Quận "&amp;Table24[[#This Row],[Quận]]</f>
        <v>Hẻm 383 Bà Hạt Bà Hạt, Phường 4, Quận 10</v>
      </c>
      <c r="U166" s="36"/>
      <c r="V166" s="56" t="e">
        <f>HYPERLINK("https://www.google.com/maps/search/?api=1&amp;query=" &amp; _xlfn.ENCODEURL(Table24[[#This Row],[Tên hẻm]]), "Link Google Map")</f>
        <v>#VALUE!</v>
      </c>
    </row>
    <row r="167" spans="1:22" ht="47.25" hidden="1">
      <c r="A167" s="11">
        <v>188</v>
      </c>
      <c r="B167" s="16">
        <v>45</v>
      </c>
      <c r="C167" s="16" t="s">
        <v>4792</v>
      </c>
      <c r="D167" s="11">
        <v>8</v>
      </c>
      <c r="E167" s="11">
        <v>1</v>
      </c>
      <c r="F167" s="11" t="s">
        <v>1972</v>
      </c>
      <c r="G167" s="17">
        <v>3</v>
      </c>
      <c r="H167" s="11"/>
      <c r="I167" s="11"/>
      <c r="J167" s="11" t="s">
        <v>4938</v>
      </c>
      <c r="K167" s="11" t="s">
        <v>4939</v>
      </c>
      <c r="L167" s="11">
        <v>6</v>
      </c>
      <c r="M167" s="31" t="s">
        <v>4940</v>
      </c>
      <c r="N167" s="11"/>
      <c r="O167" s="11"/>
      <c r="P167" s="11" t="s">
        <v>4544</v>
      </c>
      <c r="Q167" s="19"/>
      <c r="R167" s="19"/>
      <c r="S167" s="23" t="str">
        <f>HYPERLINK("https://www.google.com/maps/search/" &amp; Table24[[#This Row],[Tên hẻm]], "Xem trên Google Maps")</f>
        <v>Xem trên Google Maps</v>
      </c>
      <c r="T167" s="16" t="str">
        <f>"Hẻm "&amp;Table24[[#This Row],[Hẻm]]&amp;" "&amp;Table24[[#This Row],[Tuyến đường]]&amp;", Phường "&amp;Table24[[#This Row],[Phường]]&amp;", Quận "&amp;Table24[[#This Row],[Quận]]</f>
        <v>Hẻm 45 Dương Bá Trạc , Phường 1, Quận 8</v>
      </c>
      <c r="U167" s="36"/>
      <c r="V167" s="56" t="e">
        <f>HYPERLINK("https://www.google.com/maps/search/?api=1&amp;query=" &amp; _xlfn.ENCODEURL(Table24[[#This Row],[Tên hẻm]]), "Link Google Map")</f>
        <v>#VALUE!</v>
      </c>
    </row>
    <row r="168" spans="1:22" ht="47.25" hidden="1">
      <c r="A168" s="11">
        <v>189</v>
      </c>
      <c r="B168" s="16" t="s">
        <v>4941</v>
      </c>
      <c r="C168" s="16" t="s">
        <v>4405</v>
      </c>
      <c r="D168" s="11" t="s">
        <v>4398</v>
      </c>
      <c r="E168" s="11">
        <v>5</v>
      </c>
      <c r="F168" s="11" t="s">
        <v>4942</v>
      </c>
      <c r="G168" s="17" t="s">
        <v>4840</v>
      </c>
      <c r="H168" s="11"/>
      <c r="I168" s="11"/>
      <c r="J168" s="11" t="s">
        <v>4943</v>
      </c>
      <c r="K168" s="11" t="s">
        <v>4944</v>
      </c>
      <c r="L168" s="11">
        <v>1</v>
      </c>
      <c r="M168" s="31" t="s">
        <v>4945</v>
      </c>
      <c r="N168" s="11"/>
      <c r="O168" s="11"/>
      <c r="P168" s="11" t="s">
        <v>4837</v>
      </c>
      <c r="Q168" s="19"/>
      <c r="R168" s="19"/>
      <c r="S168" s="23" t="str">
        <f>HYPERLINK("https://www.google.com/maps/search/" &amp; Table24[[#This Row],[Tên hẻm]], "Xem trên Google Maps")</f>
        <v>Xem trên Google Maps</v>
      </c>
      <c r="T168" s="16" t="str">
        <f>"Hẻm "&amp;Table24[[#This Row],[Hẻm]]&amp;" "&amp;Table24[[#This Row],[Tuyến đường]]&amp;", Phường "&amp;Table24[[#This Row],[Phường]]&amp;", Quận "&amp;Table24[[#This Row],[Quận]]</f>
        <v xml:space="preserve">Hẻm 86/23 Thích Quảng Đức , Phường 5, Quận Phú Nhuận </v>
      </c>
      <c r="U168" s="36"/>
      <c r="V168" s="56" t="e">
        <f>HYPERLINK("https://www.google.com/maps/search/?api=1&amp;query=" &amp; _xlfn.ENCODEURL(Table24[[#This Row],[Tên hẻm]]), "Link Google Map")</f>
        <v>#VALUE!</v>
      </c>
    </row>
    <row r="169" spans="1:22" ht="47.25" hidden="1">
      <c r="A169" s="11">
        <v>190</v>
      </c>
      <c r="B169" s="16">
        <v>139</v>
      </c>
      <c r="C169" s="16" t="s">
        <v>4946</v>
      </c>
      <c r="D169" s="11">
        <v>8</v>
      </c>
      <c r="E169" s="11">
        <v>3</v>
      </c>
      <c r="F169" s="11" t="s">
        <v>4947</v>
      </c>
      <c r="G169" s="17" t="s">
        <v>4948</v>
      </c>
      <c r="H169" s="11"/>
      <c r="I169" s="11"/>
      <c r="J169" s="11" t="s">
        <v>4949</v>
      </c>
      <c r="K169" s="11" t="s">
        <v>4950</v>
      </c>
      <c r="L169" s="11">
        <v>6</v>
      </c>
      <c r="M169" s="31" t="s">
        <v>4951</v>
      </c>
      <c r="N169" s="11"/>
      <c r="O169" s="11"/>
      <c r="P169" s="11" t="s">
        <v>4544</v>
      </c>
      <c r="Q169" s="19"/>
      <c r="R169" s="19"/>
      <c r="S169" s="23" t="str">
        <f>HYPERLINK("https://www.google.com/maps/search/" &amp; Table24[[#This Row],[Tên hẻm]], "Xem trên Google Maps")</f>
        <v>Xem trên Google Maps</v>
      </c>
      <c r="T169" s="16" t="str">
        <f>"Hẻm "&amp;Table24[[#This Row],[Hẻm]]&amp;" "&amp;Table24[[#This Row],[Tuyến đường]]&amp;", Phường "&amp;Table24[[#This Row],[Phường]]&amp;", Quận "&amp;Table24[[#This Row],[Quận]]</f>
        <v>Hẻm 139 Dạ Nam , Phường 3, Quận 8</v>
      </c>
      <c r="U169" s="36"/>
      <c r="V169" s="56" t="e">
        <f>HYPERLINK("https://www.google.com/maps/search/?api=1&amp;query=" &amp; _xlfn.ENCODEURL(Table24[[#This Row],[Tên hẻm]]), "Link Google Map")</f>
        <v>#VALUE!</v>
      </c>
    </row>
    <row r="170" spans="1:22" ht="47.25" hidden="1">
      <c r="A170" s="11">
        <v>191</v>
      </c>
      <c r="B170" s="16">
        <v>2</v>
      </c>
      <c r="C170" s="16" t="s">
        <v>4952</v>
      </c>
      <c r="D170" s="11" t="s">
        <v>4398</v>
      </c>
      <c r="E170" s="11">
        <v>15</v>
      </c>
      <c r="F170" s="11" t="s">
        <v>4953</v>
      </c>
      <c r="G170" s="17" t="s">
        <v>4954</v>
      </c>
      <c r="H170" s="11"/>
      <c r="I170" s="11"/>
      <c r="J170" s="11" t="s">
        <v>4955</v>
      </c>
      <c r="K170" s="11" t="s">
        <v>4956</v>
      </c>
      <c r="L170" s="11">
        <v>2</v>
      </c>
      <c r="M170" s="31" t="s">
        <v>4957</v>
      </c>
      <c r="N170" s="11"/>
      <c r="O170" s="11"/>
      <c r="P170" s="11" t="s">
        <v>4837</v>
      </c>
      <c r="Q170" s="19"/>
      <c r="R170" s="19"/>
      <c r="S170" s="23" t="str">
        <f>HYPERLINK("https://www.google.com/maps/search/" &amp; Table24[[#This Row],[Tên hẻm]], "Xem trên Google Maps")</f>
        <v>Xem trên Google Maps</v>
      </c>
      <c r="T170" s="16" t="str">
        <f>"Hẻm "&amp;Table24[[#This Row],[Hẻm]]&amp;" "&amp;Table24[[#This Row],[Tuyến đường]]&amp;", Phường "&amp;Table24[[#This Row],[Phường]]&amp;", Quận "&amp;Table24[[#This Row],[Quận]]</f>
        <v xml:space="preserve">Hẻm 2 Đào Duy Từ , Phường 15, Quận Phú Nhuận </v>
      </c>
      <c r="U170" s="36"/>
      <c r="V170" s="56" t="e">
        <f>HYPERLINK("https://www.google.com/maps/search/?api=1&amp;query=" &amp; _xlfn.ENCODEURL(Table24[[#This Row],[Tên hẻm]]), "Link Google Map")</f>
        <v>#VALUE!</v>
      </c>
    </row>
    <row r="171" spans="1:22" ht="47.25" hidden="1">
      <c r="A171" s="11">
        <v>192</v>
      </c>
      <c r="B171" s="16" t="s">
        <v>4958</v>
      </c>
      <c r="C171" s="16" t="s">
        <v>4796</v>
      </c>
      <c r="D171" s="11">
        <v>8</v>
      </c>
      <c r="E171" s="11">
        <v>3</v>
      </c>
      <c r="F171" s="11" t="s">
        <v>1919</v>
      </c>
      <c r="G171" s="17">
        <v>4</v>
      </c>
      <c r="H171" s="11"/>
      <c r="I171" s="11"/>
      <c r="J171" s="11" t="s">
        <v>4959</v>
      </c>
      <c r="K171" s="11" t="s">
        <v>4960</v>
      </c>
      <c r="L171" s="11">
        <v>4</v>
      </c>
      <c r="M171" s="31" t="s">
        <v>4961</v>
      </c>
      <c r="N171" s="11"/>
      <c r="O171" s="11"/>
      <c r="P171" s="11" t="s">
        <v>4544</v>
      </c>
      <c r="Q171" s="19"/>
      <c r="R171" s="19"/>
      <c r="S171" s="23" t="str">
        <f>HYPERLINK("https://www.google.com/maps/search/" &amp; Table24[[#This Row],[Tên hẻm]], "Xem trên Google Maps")</f>
        <v>Xem trên Google Maps</v>
      </c>
      <c r="T171" s="16" t="str">
        <f>"Hẻm "&amp;Table24[[#This Row],[Hẻm]]&amp;" "&amp;Table24[[#This Row],[Tuyến đường]]&amp;", Phường "&amp;Table24[[#This Row],[Phường]]&amp;", Quận "&amp;Table24[[#This Row],[Quận]]</f>
        <v>Hẻm 12 B Phạm Thế Hiển , Phường 3, Quận 8</v>
      </c>
      <c r="U171" s="36"/>
      <c r="V171" s="56" t="e">
        <f>HYPERLINK("https://www.google.com/maps/search/?api=1&amp;query=" &amp; _xlfn.ENCODEURL(Table24[[#This Row],[Tên hẻm]]), "Link Google Map")</f>
        <v>#VALUE!</v>
      </c>
    </row>
    <row r="172" spans="1:22" ht="47.25" hidden="1">
      <c r="A172" s="11">
        <v>193</v>
      </c>
      <c r="B172" s="16">
        <v>61</v>
      </c>
      <c r="C172" s="16" t="s">
        <v>4962</v>
      </c>
      <c r="D172" s="11" t="s">
        <v>4398</v>
      </c>
      <c r="E172" s="11">
        <v>15</v>
      </c>
      <c r="F172" s="11" t="s">
        <v>341</v>
      </c>
      <c r="G172" s="17" t="s">
        <v>4963</v>
      </c>
      <c r="H172" s="11"/>
      <c r="I172" s="11"/>
      <c r="J172" s="11" t="s">
        <v>4964</v>
      </c>
      <c r="K172" s="11" t="s">
        <v>4965</v>
      </c>
      <c r="L172" s="11">
        <v>4</v>
      </c>
      <c r="M172" s="31" t="s">
        <v>4966</v>
      </c>
      <c r="N172" s="11"/>
      <c r="O172" s="11"/>
      <c r="P172" s="11" t="s">
        <v>4837</v>
      </c>
      <c r="Q172" s="19"/>
      <c r="R172" s="19"/>
      <c r="S172" s="23" t="str">
        <f>HYPERLINK("https://www.google.com/maps/search/" &amp; Table24[[#This Row],[Tên hẻm]], "Xem trên Google Maps")</f>
        <v>Xem trên Google Maps</v>
      </c>
      <c r="T172" s="16" t="str">
        <f>"Hẻm "&amp;Table24[[#This Row],[Hẻm]]&amp;" "&amp;Table24[[#This Row],[Tuyến đường]]&amp;", Phường "&amp;Table24[[#This Row],[Phường]]&amp;", Quận "&amp;Table24[[#This Row],[Quận]]</f>
        <v xml:space="preserve">Hẻm 61 Phan Đinh Phùng, Phường 15, Quận Phú Nhuận </v>
      </c>
      <c r="U172" s="36"/>
      <c r="V172" s="56" t="e">
        <f>HYPERLINK("https://www.google.com/maps/search/?api=1&amp;query=" &amp; _xlfn.ENCODEURL(Table24[[#This Row],[Tên hẻm]]), "Link Google Map")</f>
        <v>#VALUE!</v>
      </c>
    </row>
    <row r="173" spans="1:22" ht="47.25" hidden="1">
      <c r="A173" s="11">
        <v>194</v>
      </c>
      <c r="B173" s="16" t="s">
        <v>4967</v>
      </c>
      <c r="C173" s="16" t="s">
        <v>4967</v>
      </c>
      <c r="D173" s="11">
        <v>8</v>
      </c>
      <c r="E173" s="11">
        <v>3</v>
      </c>
      <c r="F173" s="11" t="s">
        <v>4968</v>
      </c>
      <c r="G173" s="17">
        <v>12</v>
      </c>
      <c r="H173" s="11"/>
      <c r="I173" s="11"/>
      <c r="J173" s="11" t="s">
        <v>4969</v>
      </c>
      <c r="K173" s="11" t="s">
        <v>4970</v>
      </c>
      <c r="L173" s="11">
        <v>2</v>
      </c>
      <c r="M173" s="31" t="s">
        <v>4971</v>
      </c>
      <c r="N173" s="11"/>
      <c r="O173" s="11"/>
      <c r="P173" s="11" t="s">
        <v>4544</v>
      </c>
      <c r="Q173" s="19"/>
      <c r="R173" s="19"/>
      <c r="S173" s="23" t="str">
        <f>HYPERLINK("https://www.google.com/maps/search/" &amp; Table24[[#This Row],[Tên hẻm]], "Xem trên Google Maps")</f>
        <v>Xem trên Google Maps</v>
      </c>
      <c r="T173" s="16" t="str">
        <f>"Hẻm "&amp;Table24[[#This Row],[Hẻm]]&amp;" "&amp;Table24[[#This Row],[Tuyến đường]]&amp;", Phường "&amp;Table24[[#This Row],[Phường]]&amp;", Quận "&amp;Table24[[#This Row],[Quận]]</f>
        <v>Hẻm đường dẫn chân cầu Chữ y  đường dẫn chân cầu Chữ y , Phường 3, Quận 8</v>
      </c>
      <c r="U173" s="36"/>
      <c r="V173" s="56" t="e">
        <f>HYPERLINK("https://www.google.com/maps/search/?api=1&amp;query=" &amp; _xlfn.ENCODEURL(Table24[[#This Row],[Tên hẻm]]), "Link Google Map")</f>
        <v>#VALUE!</v>
      </c>
    </row>
    <row r="174" spans="1:22" ht="47.25" hidden="1">
      <c r="A174" s="11">
        <v>195</v>
      </c>
      <c r="B174" s="16">
        <v>55</v>
      </c>
      <c r="C174" s="16" t="s">
        <v>4972</v>
      </c>
      <c r="D174" s="11">
        <v>5</v>
      </c>
      <c r="E174" s="11">
        <v>1</v>
      </c>
      <c r="F174" s="11" t="s">
        <v>4973</v>
      </c>
      <c r="G174" s="17">
        <v>3</v>
      </c>
      <c r="H174" s="11"/>
      <c r="I174" s="11"/>
      <c r="J174" s="11" t="s">
        <v>4974</v>
      </c>
      <c r="K174" s="11" t="s">
        <v>4975</v>
      </c>
      <c r="L174" s="11">
        <v>9</v>
      </c>
      <c r="M174" s="31" t="s">
        <v>4976</v>
      </c>
      <c r="N174" s="11"/>
      <c r="O174" s="11"/>
      <c r="P174" s="11" t="s">
        <v>4544</v>
      </c>
      <c r="Q174" s="19"/>
      <c r="R174" s="19"/>
      <c r="S174" s="23" t="str">
        <f>HYPERLINK("https://www.google.com/maps/search/" &amp; Table24[[#This Row],[Tên hẻm]], "Xem trên Google Maps")</f>
        <v>Xem trên Google Maps</v>
      </c>
      <c r="T174" s="16" t="str">
        <f>"Hẻm "&amp;Table24[[#This Row],[Hẻm]]&amp;" "&amp;Table24[[#This Row],[Tuyến đường]]&amp;", Phường "&amp;Table24[[#This Row],[Phường]]&amp;", Quận "&amp;Table24[[#This Row],[Quận]]</f>
        <v>Hẻm 55 Nguyễn Văn cừ , Phường 1, Quận 5</v>
      </c>
      <c r="U174" s="36"/>
      <c r="V174" s="56" t="e">
        <f>HYPERLINK("https://www.google.com/maps/search/?api=1&amp;query=" &amp; _xlfn.ENCODEURL(Table24[[#This Row],[Tên hẻm]]), "Link Google Map")</f>
        <v>#VALUE!</v>
      </c>
    </row>
    <row r="175" spans="1:22" ht="47.25" hidden="1">
      <c r="A175" s="11">
        <v>196</v>
      </c>
      <c r="B175" s="16">
        <v>181</v>
      </c>
      <c r="C175" s="16" t="s">
        <v>4838</v>
      </c>
      <c r="D175" s="11" t="s">
        <v>4398</v>
      </c>
      <c r="E175" s="11">
        <v>1</v>
      </c>
      <c r="F175" s="11" t="s">
        <v>4977</v>
      </c>
      <c r="G175" s="17" t="s">
        <v>4978</v>
      </c>
      <c r="H175" s="11"/>
      <c r="I175" s="11"/>
      <c r="J175" s="11" t="s">
        <v>4979</v>
      </c>
      <c r="K175" s="11" t="s">
        <v>4980</v>
      </c>
      <c r="L175" s="11">
        <v>9</v>
      </c>
      <c r="M175" s="31" t="s">
        <v>4981</v>
      </c>
      <c r="N175" s="11"/>
      <c r="O175" s="11"/>
      <c r="P175" s="11" t="s">
        <v>4837</v>
      </c>
      <c r="Q175" s="19"/>
      <c r="R175" s="19"/>
      <c r="S175" s="23" t="str">
        <f>HYPERLINK("https://www.google.com/maps/search/" &amp; Table24[[#This Row],[Tên hẻm]], "Xem trên Google Maps")</f>
        <v>Xem trên Google Maps</v>
      </c>
      <c r="T175" s="16" t="str">
        <f>"Hẻm "&amp;Table24[[#This Row],[Hẻm]]&amp;" "&amp;Table24[[#This Row],[Tuyến đường]]&amp;", Phường "&amp;Table24[[#This Row],[Phường]]&amp;", Quận "&amp;Table24[[#This Row],[Quận]]</f>
        <v xml:space="preserve">Hẻm 181 Phan Đăng Lưu , Phường 1, Quận Phú Nhuận </v>
      </c>
      <c r="U175" s="36"/>
      <c r="V175" s="56" t="e">
        <f>HYPERLINK("https://www.google.com/maps/search/?api=1&amp;query=" &amp; _xlfn.ENCODEURL(Table24[[#This Row],[Tên hẻm]]), "Link Google Map")</f>
        <v>#VALUE!</v>
      </c>
    </row>
    <row r="176" spans="1:22" ht="47.25" hidden="1">
      <c r="A176" s="11">
        <v>197</v>
      </c>
      <c r="B176" s="16" t="s">
        <v>4982</v>
      </c>
      <c r="C176" s="16" t="s">
        <v>4731</v>
      </c>
      <c r="D176" s="11">
        <v>11</v>
      </c>
      <c r="E176" s="11">
        <v>8</v>
      </c>
      <c r="F176" s="11" t="s">
        <v>4983</v>
      </c>
      <c r="G176" s="17" t="s">
        <v>4772</v>
      </c>
      <c r="H176" s="11"/>
      <c r="I176" s="11"/>
      <c r="J176" s="11" t="s">
        <v>4984</v>
      </c>
      <c r="K176" s="11" t="s">
        <v>4985</v>
      </c>
      <c r="L176" s="11">
        <v>5</v>
      </c>
      <c r="M176" s="31" t="s">
        <v>4986</v>
      </c>
      <c r="N176" s="11"/>
      <c r="O176" s="11"/>
      <c r="P176" s="11" t="s">
        <v>4861</v>
      </c>
      <c r="Q176" s="19"/>
      <c r="R176" s="19"/>
      <c r="S176" s="23" t="str">
        <f>HYPERLINK("https://www.google.com/maps/search/" &amp; Table24[[#This Row],[Tên hẻm]], "Xem trên Google Maps")</f>
        <v>Xem trên Google Maps</v>
      </c>
      <c r="T176" s="16" t="str">
        <f>"Hẻm "&amp;Table24[[#This Row],[Hẻm]]&amp;" "&amp;Table24[[#This Row],[Tuyến đường]]&amp;", Phường "&amp;Table24[[#This Row],[Phường]]&amp;", Quận "&amp;Table24[[#This Row],[Quận]]</f>
        <v>Hẻm Hẻm 174/65 Thái Phiên  Thái Phiên , Phường 8, Quận 11</v>
      </c>
      <c r="U176" s="36"/>
      <c r="V176" s="56" t="e">
        <f>HYPERLINK("https://www.google.com/maps/search/?api=1&amp;query=" &amp; _xlfn.ENCODEURL(Table24[[#This Row],[Tên hẻm]]), "Link Google Map")</f>
        <v>#VALUE!</v>
      </c>
    </row>
    <row r="177" spans="1:22" ht="47.25" hidden="1">
      <c r="A177" s="11">
        <v>198</v>
      </c>
      <c r="B177" s="16">
        <v>450</v>
      </c>
      <c r="C177" s="16" t="s">
        <v>4987</v>
      </c>
      <c r="D177" s="11" t="s">
        <v>4398</v>
      </c>
      <c r="E177" s="11">
        <v>2</v>
      </c>
      <c r="F177" s="11" t="s">
        <v>4988</v>
      </c>
      <c r="G177" s="17" t="s">
        <v>4840</v>
      </c>
      <c r="H177" s="11"/>
      <c r="I177" s="11"/>
      <c r="J177" s="11" t="s">
        <v>4989</v>
      </c>
      <c r="K177" s="11" t="s">
        <v>4990</v>
      </c>
      <c r="L177" s="11">
        <v>5</v>
      </c>
      <c r="M177" s="31" t="s">
        <v>4991</v>
      </c>
      <c r="N177" s="11"/>
      <c r="O177" s="11"/>
      <c r="P177" s="11" t="s">
        <v>4837</v>
      </c>
      <c r="Q177" s="19"/>
      <c r="R177" s="19"/>
      <c r="S177" s="23" t="str">
        <f>HYPERLINK("https://www.google.com/maps/search/" &amp; Table24[[#This Row],[Tên hẻm]], "Xem trên Google Maps")</f>
        <v>Xem trên Google Maps</v>
      </c>
      <c r="T177" s="16" t="str">
        <f>"Hẻm "&amp;Table24[[#This Row],[Hẻm]]&amp;" "&amp;Table24[[#This Row],[Tuyến đường]]&amp;", Phường "&amp;Table24[[#This Row],[Phường]]&amp;", Quận "&amp;Table24[[#This Row],[Quận]]</f>
        <v xml:space="preserve">Hẻm 450 Phan Xích Long , Phường 2, Quận Phú Nhuận </v>
      </c>
      <c r="U177" s="36"/>
      <c r="V177" s="56" t="e">
        <f>HYPERLINK("https://www.google.com/maps/search/?api=1&amp;query=" &amp; _xlfn.ENCODEURL(Table24[[#This Row],[Tên hẻm]]), "Link Google Map")</f>
        <v>#VALUE!</v>
      </c>
    </row>
    <row r="178" spans="1:22" ht="47.25" hidden="1">
      <c r="A178" s="11">
        <v>199</v>
      </c>
      <c r="B178" s="16">
        <v>139</v>
      </c>
      <c r="C178" s="16" t="s">
        <v>4838</v>
      </c>
      <c r="D178" s="11" t="s">
        <v>4398</v>
      </c>
      <c r="E178" s="11">
        <v>2</v>
      </c>
      <c r="F178" s="11" t="s">
        <v>4992</v>
      </c>
      <c r="G178" s="17" t="s">
        <v>4993</v>
      </c>
      <c r="H178" s="11"/>
      <c r="I178" s="11"/>
      <c r="J178" s="11" t="s">
        <v>4994</v>
      </c>
      <c r="K178" s="11" t="s">
        <v>4995</v>
      </c>
      <c r="L178" s="11">
        <v>6</v>
      </c>
      <c r="M178" s="31" t="s">
        <v>4996</v>
      </c>
      <c r="N178" s="11"/>
      <c r="O178" s="11"/>
      <c r="P178" s="11" t="s">
        <v>4837</v>
      </c>
      <c r="Q178" s="19"/>
      <c r="R178" s="19"/>
      <c r="S178" s="23" t="str">
        <f>HYPERLINK("https://www.google.com/maps/search/" &amp; Table24[[#This Row],[Tên hẻm]], "Xem trên Google Maps")</f>
        <v>Xem trên Google Maps</v>
      </c>
      <c r="T178" s="16" t="str">
        <f>"Hẻm "&amp;Table24[[#This Row],[Hẻm]]&amp;" "&amp;Table24[[#This Row],[Tuyến đường]]&amp;", Phường "&amp;Table24[[#This Row],[Phường]]&amp;", Quận "&amp;Table24[[#This Row],[Quận]]</f>
        <v xml:space="preserve">Hẻm 139 Phan Đăng Lưu , Phường 2, Quận Phú Nhuận </v>
      </c>
      <c r="U178" s="36"/>
      <c r="V178" s="56" t="e">
        <f>HYPERLINK("https://www.google.com/maps/search/?api=1&amp;query=" &amp; _xlfn.ENCODEURL(Table24[[#This Row],[Tên hẻm]]), "Link Google Map")</f>
        <v>#VALUE!</v>
      </c>
    </row>
    <row r="179" spans="1:22" ht="47.25" hidden="1">
      <c r="A179" s="11">
        <v>200</v>
      </c>
      <c r="B179" s="16" t="s">
        <v>4997</v>
      </c>
      <c r="C179" s="16" t="s">
        <v>4731</v>
      </c>
      <c r="D179" s="11">
        <v>11</v>
      </c>
      <c r="E179" s="11">
        <v>8</v>
      </c>
      <c r="F179" s="11" t="s">
        <v>4983</v>
      </c>
      <c r="G179" s="17" t="s">
        <v>4772</v>
      </c>
      <c r="H179" s="11"/>
      <c r="I179" s="11"/>
      <c r="J179" s="11" t="s">
        <v>4998</v>
      </c>
      <c r="K179" s="11" t="s">
        <v>4999</v>
      </c>
      <c r="L179" s="11">
        <v>5</v>
      </c>
      <c r="M179" s="31" t="s">
        <v>5000</v>
      </c>
      <c r="N179" s="11"/>
      <c r="O179" s="11"/>
      <c r="P179" s="11" t="s">
        <v>4861</v>
      </c>
      <c r="Q179" s="19"/>
      <c r="R179" s="19"/>
      <c r="S179" s="23" t="str">
        <f>HYPERLINK("https://www.google.com/maps/search/" &amp; Table24[[#This Row],[Tên hẻm]], "Xem trên Google Maps")</f>
        <v>Xem trên Google Maps</v>
      </c>
      <c r="T179" s="16" t="str">
        <f>"Hẻm "&amp;Table24[[#This Row],[Hẻm]]&amp;" "&amp;Table24[[#This Row],[Tuyến đường]]&amp;", Phường "&amp;Table24[[#This Row],[Phường]]&amp;", Quận "&amp;Table24[[#This Row],[Quận]]</f>
        <v>Hẻm Hẻm 174/30 Thái Phiên  Thái Phiên , Phường 8, Quận 11</v>
      </c>
      <c r="U179" s="36"/>
      <c r="V179" s="56" t="e">
        <f>HYPERLINK("https://www.google.com/maps/search/?api=1&amp;query=" &amp; _xlfn.ENCODEURL(Table24[[#This Row],[Tên hẻm]]), "Link Google Map")</f>
        <v>#VALUE!</v>
      </c>
    </row>
    <row r="180" spans="1:22" ht="47.25" hidden="1">
      <c r="A180" s="11">
        <v>201</v>
      </c>
      <c r="B180" s="16" t="s">
        <v>5001</v>
      </c>
      <c r="C180" s="16" t="s">
        <v>5002</v>
      </c>
      <c r="D180" s="11" t="s">
        <v>4398</v>
      </c>
      <c r="E180" s="11">
        <v>2</v>
      </c>
      <c r="F180" s="11" t="s">
        <v>5003</v>
      </c>
      <c r="G180" s="17" t="s">
        <v>4993</v>
      </c>
      <c r="H180" s="11"/>
      <c r="I180" s="11"/>
      <c r="J180" s="11" t="s">
        <v>5004</v>
      </c>
      <c r="K180" s="11" t="s">
        <v>5005</v>
      </c>
      <c r="L180" s="11">
        <v>7</v>
      </c>
      <c r="M180" s="31" t="s">
        <v>5006</v>
      </c>
      <c r="N180" s="11"/>
      <c r="O180" s="11"/>
      <c r="P180" s="11" t="s">
        <v>4837</v>
      </c>
      <c r="Q180" s="19"/>
      <c r="R180" s="19"/>
      <c r="S180" s="23" t="str">
        <f>HYPERLINK("https://www.google.com/maps/search/" &amp; Table24[[#This Row],[Tên hẻm]], "Xem trên Google Maps")</f>
        <v>Xem trên Google Maps</v>
      </c>
      <c r="T180" s="16" t="str">
        <f>"Hẻm "&amp;Table24[[#This Row],[Hẻm]]&amp;" "&amp;Table24[[#This Row],[Tuyến đường]]&amp;", Phường "&amp;Table24[[#This Row],[Phường]]&amp;", Quận "&amp;Table24[[#This Row],[Quận]]</f>
        <v xml:space="preserve">Hẻm 142D Cô Giang, Phường 2, Quận Phú Nhuận </v>
      </c>
      <c r="U180" s="36"/>
      <c r="V180" s="56" t="e">
        <f>HYPERLINK("https://www.google.com/maps/search/?api=1&amp;query=" &amp; _xlfn.ENCODEURL(Table24[[#This Row],[Tên hẻm]]), "Link Google Map")</f>
        <v>#VALUE!</v>
      </c>
    </row>
    <row r="181" spans="1:22" ht="47.25" hidden="1">
      <c r="A181" s="11">
        <v>202</v>
      </c>
      <c r="B181" s="16">
        <v>197</v>
      </c>
      <c r="C181" s="16" t="s">
        <v>5007</v>
      </c>
      <c r="D181" s="11">
        <v>5</v>
      </c>
      <c r="E181" s="11">
        <v>1</v>
      </c>
      <c r="F181" s="11" t="s">
        <v>1504</v>
      </c>
      <c r="G181" s="17">
        <v>4</v>
      </c>
      <c r="H181" s="11"/>
      <c r="I181" s="11"/>
      <c r="J181" s="11" t="s">
        <v>5008</v>
      </c>
      <c r="K181" s="11" t="s">
        <v>5009</v>
      </c>
      <c r="L181" s="11">
        <v>8</v>
      </c>
      <c r="M181" s="31" t="s">
        <v>5010</v>
      </c>
      <c r="N181" s="11"/>
      <c r="O181" s="11"/>
      <c r="P181" s="11" t="s">
        <v>4544</v>
      </c>
      <c r="Q181" s="19"/>
      <c r="R181" s="19"/>
      <c r="S181" s="23" t="str">
        <f>HYPERLINK("https://www.google.com/maps/search/" &amp; Table24[[#This Row],[Tên hẻm]], "Xem trên Google Maps")</f>
        <v>Xem trên Google Maps</v>
      </c>
      <c r="T181" s="16" t="str">
        <f>"Hẻm "&amp;Table24[[#This Row],[Hẻm]]&amp;" "&amp;Table24[[#This Row],[Tuyến đường]]&amp;", Phường "&amp;Table24[[#This Row],[Phường]]&amp;", Quận "&amp;Table24[[#This Row],[Quận]]</f>
        <v>Hẻm 197 Cao Đạt , Phường 1, Quận 5</v>
      </c>
      <c r="U181" s="36"/>
      <c r="V181" s="56" t="e">
        <f>HYPERLINK("https://www.google.com/maps/search/?api=1&amp;query=" &amp; _xlfn.ENCODEURL(Table24[[#This Row],[Tên hẻm]]), "Link Google Map")</f>
        <v>#VALUE!</v>
      </c>
    </row>
    <row r="182" spans="1:22" ht="47.25" hidden="1">
      <c r="A182" s="11">
        <v>203</v>
      </c>
      <c r="B182" s="16" t="s">
        <v>5011</v>
      </c>
      <c r="C182" s="16" t="s">
        <v>4731</v>
      </c>
      <c r="D182" s="11">
        <v>11</v>
      </c>
      <c r="E182" s="11">
        <v>8</v>
      </c>
      <c r="F182" s="11" t="s">
        <v>5012</v>
      </c>
      <c r="G182" s="17" t="s">
        <v>4788</v>
      </c>
      <c r="H182" s="11"/>
      <c r="I182" s="11"/>
      <c r="J182" s="11" t="s">
        <v>5013</v>
      </c>
      <c r="K182" s="11" t="s">
        <v>5014</v>
      </c>
      <c r="L182" s="11">
        <v>7</v>
      </c>
      <c r="M182" s="31" t="s">
        <v>5015</v>
      </c>
      <c r="N182" s="11"/>
      <c r="O182" s="11"/>
      <c r="P182" s="11" t="s">
        <v>4861</v>
      </c>
      <c r="Q182" s="19"/>
      <c r="R182" s="19"/>
      <c r="S182" s="23" t="str">
        <f>HYPERLINK("https://www.google.com/maps/search/" &amp; Table24[[#This Row],[Tên hẻm]], "Xem trên Google Maps")</f>
        <v>Xem trên Google Maps</v>
      </c>
      <c r="T182" s="16" t="str">
        <f>"Hẻm "&amp;Table24[[#This Row],[Hẻm]]&amp;" "&amp;Table24[[#This Row],[Tuyến đường]]&amp;", Phường "&amp;Table24[[#This Row],[Phường]]&amp;", Quận "&amp;Table24[[#This Row],[Quận]]</f>
        <v>Hẻm Đ , Thái Phiên  Thái Phiên , Phường 8, Quận 11</v>
      </c>
      <c r="U182" s="36"/>
      <c r="V182" s="56" t="e">
        <f>HYPERLINK("https://www.google.com/maps/search/?api=1&amp;query=" &amp; _xlfn.ENCODEURL(Table24[[#This Row],[Tên hẻm]]), "Link Google Map")</f>
        <v>#VALUE!</v>
      </c>
    </row>
    <row r="183" spans="1:22" ht="47.25" hidden="1">
      <c r="A183" s="11">
        <v>204</v>
      </c>
      <c r="B183" s="16" t="s">
        <v>5016</v>
      </c>
      <c r="C183" s="16" t="s">
        <v>5017</v>
      </c>
      <c r="D183" s="11">
        <v>5</v>
      </c>
      <c r="E183" s="11">
        <v>1</v>
      </c>
      <c r="F183" s="11" t="s">
        <v>1504</v>
      </c>
      <c r="G183" s="17">
        <v>5</v>
      </c>
      <c r="H183" s="11"/>
      <c r="I183" s="11"/>
      <c r="J183" s="11" t="s">
        <v>5018</v>
      </c>
      <c r="K183" s="11" t="s">
        <v>5019</v>
      </c>
      <c r="L183" s="11">
        <v>12</v>
      </c>
      <c r="M183" s="31" t="s">
        <v>5020</v>
      </c>
      <c r="N183" s="11"/>
      <c r="O183" s="11"/>
      <c r="P183" s="11" t="s">
        <v>4544</v>
      </c>
      <c r="Q183" s="19"/>
      <c r="R183" s="19"/>
      <c r="S183" s="23" t="str">
        <f>HYPERLINK("https://www.google.com/maps/search/" &amp; Table24[[#This Row],[Tên hẻm]], "Xem trên Google Maps")</f>
        <v>Xem trên Google Maps</v>
      </c>
      <c r="T183" s="16" t="str">
        <f>"Hẻm "&amp;Table24[[#This Row],[Hẻm]]&amp;" "&amp;Table24[[#This Row],[Tuyến đường]]&amp;", Phường "&amp;Table24[[#This Row],[Phường]]&amp;", Quận "&amp;Table24[[#This Row],[Quận]]</f>
        <v>Hẻm 22+ cc Chợ Quán  Trần Bình Trọng , Phường 1, Quận 5</v>
      </c>
      <c r="U183" s="36"/>
      <c r="V183" s="56" t="e">
        <f>HYPERLINK("https://www.google.com/maps/search/?api=1&amp;query=" &amp; _xlfn.ENCODEURL(Table24[[#This Row],[Tên hẻm]]), "Link Google Map")</f>
        <v>#VALUE!</v>
      </c>
    </row>
    <row r="184" spans="1:22" ht="47.25" hidden="1">
      <c r="A184" s="11">
        <v>205</v>
      </c>
      <c r="B184" s="16" t="s">
        <v>5021</v>
      </c>
      <c r="C184" s="16" t="s">
        <v>4731</v>
      </c>
      <c r="D184" s="11">
        <v>11</v>
      </c>
      <c r="E184" s="11">
        <v>8</v>
      </c>
      <c r="F184" s="11" t="s">
        <v>3955</v>
      </c>
      <c r="G184" s="17" t="s">
        <v>4772</v>
      </c>
      <c r="H184" s="11"/>
      <c r="I184" s="11"/>
      <c r="J184" s="11" t="s">
        <v>5022</v>
      </c>
      <c r="K184" s="11" t="s">
        <v>5023</v>
      </c>
      <c r="L184" s="11">
        <v>11</v>
      </c>
      <c r="M184" s="31" t="s">
        <v>5024</v>
      </c>
      <c r="N184" s="11"/>
      <c r="O184" s="11"/>
      <c r="P184" s="11" t="s">
        <v>4861</v>
      </c>
      <c r="Q184" s="19"/>
      <c r="R184" s="19"/>
      <c r="S184" s="23" t="str">
        <f>HYPERLINK("https://www.google.com/maps/search/" &amp; Table24[[#This Row],[Tên hẻm]], "Xem trên Google Maps")</f>
        <v>Xem trên Google Maps</v>
      </c>
      <c r="T184" s="16" t="str">
        <f>"Hẻm "&amp;Table24[[#This Row],[Hẻm]]&amp;" "&amp;Table24[[#This Row],[Tuyến đường]]&amp;", Phường "&amp;Table24[[#This Row],[Phường]]&amp;", Quận "&amp;Table24[[#This Row],[Quận]]</f>
        <v>Hẻm Hẻm 255 Thái Phiên  Thái Phiên , Phường 8, Quận 11</v>
      </c>
      <c r="U184" s="36"/>
      <c r="V184" s="56" t="e">
        <f>HYPERLINK("https://www.google.com/maps/search/?api=1&amp;query=" &amp; _xlfn.ENCODEURL(Table24[[#This Row],[Tên hẻm]]), "Link Google Map")</f>
        <v>#VALUE!</v>
      </c>
    </row>
    <row r="185" spans="1:22" ht="47.25" hidden="1">
      <c r="A185" s="11">
        <v>206</v>
      </c>
      <c r="B185" s="16">
        <v>313</v>
      </c>
      <c r="C185" s="16" t="s">
        <v>4420</v>
      </c>
      <c r="D185" s="11" t="s">
        <v>4398</v>
      </c>
      <c r="E185" s="11">
        <v>10</v>
      </c>
      <c r="F185" s="11" t="s">
        <v>5025</v>
      </c>
      <c r="G185" s="17" t="s">
        <v>4993</v>
      </c>
      <c r="H185" s="11"/>
      <c r="I185" s="11"/>
      <c r="J185" s="11" t="s">
        <v>5026</v>
      </c>
      <c r="K185" s="11" t="s">
        <v>5027</v>
      </c>
      <c r="L185" s="11">
        <v>2</v>
      </c>
      <c r="M185" s="31" t="s">
        <v>5028</v>
      </c>
      <c r="N185" s="11"/>
      <c r="O185" s="11"/>
      <c r="P185" s="11" t="s">
        <v>4837</v>
      </c>
      <c r="Q185" s="19"/>
      <c r="R185" s="19"/>
      <c r="S185" s="23" t="str">
        <f>HYPERLINK("https://www.google.com/maps/search/" &amp; Table24[[#This Row],[Tên hẻm]], "Xem trên Google Maps")</f>
        <v>Xem trên Google Maps</v>
      </c>
      <c r="T185" s="16" t="str">
        <f>"Hẻm "&amp;Table24[[#This Row],[Hẻm]]&amp;" "&amp;Table24[[#This Row],[Tuyến đường]]&amp;", Phường "&amp;Table24[[#This Row],[Phường]]&amp;", Quận "&amp;Table24[[#This Row],[Quận]]</f>
        <v xml:space="preserve">Hẻm 313 Nguyễn Trọng Tuyển , Phường 10, Quận Phú Nhuận </v>
      </c>
      <c r="U185" s="36"/>
      <c r="V185" s="56" t="e">
        <f>HYPERLINK("https://www.google.com/maps/search/?api=1&amp;query=" &amp; _xlfn.ENCODEURL(Table24[[#This Row],[Tên hẻm]]), "Link Google Map")</f>
        <v>#VALUE!</v>
      </c>
    </row>
    <row r="186" spans="1:22" ht="47.25" hidden="1">
      <c r="A186" s="11">
        <v>207</v>
      </c>
      <c r="B186" s="16">
        <v>329</v>
      </c>
      <c r="C186" s="16" t="s">
        <v>4420</v>
      </c>
      <c r="D186" s="11" t="s">
        <v>4398</v>
      </c>
      <c r="E186" s="11">
        <v>10</v>
      </c>
      <c r="F186" s="11" t="s">
        <v>5025</v>
      </c>
      <c r="G186" s="17" t="s">
        <v>4993</v>
      </c>
      <c r="H186" s="11"/>
      <c r="I186" s="11"/>
      <c r="J186" s="11" t="s">
        <v>5029</v>
      </c>
      <c r="K186" s="11" t="s">
        <v>5030</v>
      </c>
      <c r="L186" s="11">
        <v>3</v>
      </c>
      <c r="M186" s="31" t="s">
        <v>5031</v>
      </c>
      <c r="N186" s="11"/>
      <c r="O186" s="11"/>
      <c r="P186" s="11" t="s">
        <v>4837</v>
      </c>
      <c r="Q186" s="19"/>
      <c r="R186" s="19"/>
      <c r="S186" s="23" t="str">
        <f>HYPERLINK("https://www.google.com/maps/search/" &amp; Table24[[#This Row],[Tên hẻm]], "Xem trên Google Maps")</f>
        <v>Xem trên Google Maps</v>
      </c>
      <c r="T186" s="16" t="str">
        <f>"Hẻm "&amp;Table24[[#This Row],[Hẻm]]&amp;" "&amp;Table24[[#This Row],[Tuyến đường]]&amp;", Phường "&amp;Table24[[#This Row],[Phường]]&amp;", Quận "&amp;Table24[[#This Row],[Quận]]</f>
        <v xml:space="preserve">Hẻm 329 Nguyễn Trọng Tuyển , Phường 10, Quận Phú Nhuận </v>
      </c>
      <c r="U186" s="36"/>
      <c r="V186" s="56" t="e">
        <f>HYPERLINK("https://www.google.com/maps/search/?api=1&amp;query=" &amp; _xlfn.ENCODEURL(Table24[[#This Row],[Tên hẻm]]), "Link Google Map")</f>
        <v>#VALUE!</v>
      </c>
    </row>
    <row r="187" spans="1:22" ht="47.25" hidden="1">
      <c r="A187" s="11">
        <v>208</v>
      </c>
      <c r="B187" s="16" t="s">
        <v>5032</v>
      </c>
      <c r="C187" s="16" t="s">
        <v>4731</v>
      </c>
      <c r="D187" s="11">
        <v>11</v>
      </c>
      <c r="E187" s="11">
        <v>8</v>
      </c>
      <c r="F187" s="11" t="s">
        <v>5033</v>
      </c>
      <c r="G187" s="17" t="s">
        <v>4788</v>
      </c>
      <c r="H187" s="11"/>
      <c r="I187" s="11"/>
      <c r="J187" s="11" t="s">
        <v>5032</v>
      </c>
      <c r="K187" s="11" t="s">
        <v>5034</v>
      </c>
      <c r="L187" s="11">
        <v>3</v>
      </c>
      <c r="M187" s="31" t="s">
        <v>5035</v>
      </c>
      <c r="N187" s="11"/>
      <c r="O187" s="11"/>
      <c r="P187" s="11" t="s">
        <v>4861</v>
      </c>
      <c r="Q187" s="19"/>
      <c r="R187" s="19"/>
      <c r="S187" s="23" t="str">
        <f>HYPERLINK("https://www.google.com/maps/search/" &amp; Table24[[#This Row],[Tên hẻm]], "Xem trên Google Maps")</f>
        <v>Xem trên Google Maps</v>
      </c>
      <c r="T187" s="16" t="str">
        <f>"Hẻm "&amp;Table24[[#This Row],[Hẻm]]&amp;" "&amp;Table24[[#This Row],[Tuyến đường]]&amp;", Phường "&amp;Table24[[#This Row],[Phường]]&amp;", Quận "&amp;Table24[[#This Row],[Quận]]</f>
        <v>Hẻm Hẻm 200/15 Thái Phiên  Thái Phiên , Phường 8, Quận 11</v>
      </c>
      <c r="U187" s="36"/>
      <c r="V187" s="56" t="e">
        <f>HYPERLINK("https://www.google.com/maps/search/?api=1&amp;query=" &amp; _xlfn.ENCODEURL(Table24[[#This Row],[Tên hẻm]]), "Link Google Map")</f>
        <v>#VALUE!</v>
      </c>
    </row>
    <row r="188" spans="1:22" ht="47.25" hidden="1">
      <c r="A188" s="11">
        <v>209</v>
      </c>
      <c r="B188" s="16" t="s">
        <v>5036</v>
      </c>
      <c r="C188" s="16" t="s">
        <v>4731</v>
      </c>
      <c r="D188" s="11">
        <v>11</v>
      </c>
      <c r="E188" s="11">
        <v>8</v>
      </c>
      <c r="F188" s="11" t="s">
        <v>5037</v>
      </c>
      <c r="G188" s="17" t="s">
        <v>4788</v>
      </c>
      <c r="H188" s="11"/>
      <c r="I188" s="11"/>
      <c r="J188" s="11" t="s">
        <v>5038</v>
      </c>
      <c r="K188" s="11" t="s">
        <v>5039</v>
      </c>
      <c r="L188" s="11">
        <v>3</v>
      </c>
      <c r="M188" s="31" t="s">
        <v>5040</v>
      </c>
      <c r="N188" s="11"/>
      <c r="O188" s="11"/>
      <c r="P188" s="11" t="s">
        <v>4861</v>
      </c>
      <c r="Q188" s="19"/>
      <c r="R188" s="19"/>
      <c r="S188" s="23" t="str">
        <f>HYPERLINK("https://www.google.com/maps/search/" &amp; Table24[[#This Row],[Tên hẻm]], "Xem trên Google Maps")</f>
        <v>Xem trên Google Maps</v>
      </c>
      <c r="T188" s="16" t="str">
        <f>"Hẻm "&amp;Table24[[#This Row],[Hẻm]]&amp;" "&amp;Table24[[#This Row],[Tuyến đường]]&amp;", Phường "&amp;Table24[[#This Row],[Phường]]&amp;", Quận "&amp;Table24[[#This Row],[Quận]]</f>
        <v>Hẻm Hẻm 236 /14 Thái Phiên  Thái Phiên , Phường 8, Quận 11</v>
      </c>
      <c r="U188" s="36"/>
      <c r="V188" s="56" t="e">
        <f>HYPERLINK("https://www.google.com/maps/search/?api=1&amp;query=" &amp; _xlfn.ENCODEURL(Table24[[#This Row],[Tên hẻm]]), "Link Google Map")</f>
        <v>#VALUE!</v>
      </c>
    </row>
    <row r="189" spans="1:22" ht="47.25" hidden="1">
      <c r="A189" s="11">
        <v>210</v>
      </c>
      <c r="B189" s="16" t="s">
        <v>5041</v>
      </c>
      <c r="C189" s="16" t="s">
        <v>5041</v>
      </c>
      <c r="D189" s="11">
        <v>8</v>
      </c>
      <c r="E189" s="11">
        <v>7</v>
      </c>
      <c r="F189" s="11" t="s">
        <v>5042</v>
      </c>
      <c r="G189" s="17" t="s">
        <v>4840</v>
      </c>
      <c r="H189" s="11"/>
      <c r="I189" s="11"/>
      <c r="J189" s="11" t="s">
        <v>5043</v>
      </c>
      <c r="K189" s="11" t="s">
        <v>5044</v>
      </c>
      <c r="L189" s="11">
        <v>18</v>
      </c>
      <c r="M189" s="31" t="s">
        <v>5045</v>
      </c>
      <c r="N189" s="11"/>
      <c r="O189" s="11"/>
      <c r="P189" s="11" t="s">
        <v>2548</v>
      </c>
      <c r="Q189" s="19"/>
      <c r="R189" s="19"/>
      <c r="S189" s="23" t="str">
        <f>HYPERLINK("https://www.google.com/maps/search/" &amp; Table24[[#This Row],[Tên hẻm]], "Xem trên Google Maps")</f>
        <v>Xem trên Google Maps</v>
      </c>
      <c r="T189" s="16" t="str">
        <f>"Hẻm "&amp;Table24[[#This Row],[Hẻm]]&amp;" "&amp;Table24[[#This Row],[Tuyến đường]]&amp;", Phường "&amp;Table24[[#This Row],[Phường]]&amp;", Quận "&amp;Table24[[#This Row],[Quận]]</f>
        <v>Hẻm Rạch cùng  Rạch cùng , Phường 7, Quận 8</v>
      </c>
      <c r="U189" s="36"/>
      <c r="V189" s="56" t="e">
        <f>HYPERLINK("https://www.google.com/maps/search/?api=1&amp;query=" &amp; _xlfn.ENCODEURL(Table24[[#This Row],[Tên hẻm]]), "Link Google Map")</f>
        <v>#VALUE!</v>
      </c>
    </row>
    <row r="190" spans="1:22" ht="47.25" hidden="1">
      <c r="A190" s="11">
        <v>211</v>
      </c>
      <c r="B190" s="16" t="s">
        <v>1022</v>
      </c>
      <c r="C190" s="16" t="s">
        <v>5046</v>
      </c>
      <c r="D190" s="11">
        <v>5</v>
      </c>
      <c r="E190" s="11">
        <v>9</v>
      </c>
      <c r="F190" s="11" t="s">
        <v>1070</v>
      </c>
      <c r="G190" s="17" t="s">
        <v>4954</v>
      </c>
      <c r="H190" s="11"/>
      <c r="I190" s="11"/>
      <c r="J190" s="11" t="s">
        <v>5047</v>
      </c>
      <c r="K190" s="11" t="s">
        <v>5048</v>
      </c>
      <c r="L190" s="11">
        <v>7</v>
      </c>
      <c r="M190" s="31" t="s">
        <v>5049</v>
      </c>
      <c r="N190" s="11"/>
      <c r="O190" s="11"/>
      <c r="P190" s="11" t="s">
        <v>2548</v>
      </c>
      <c r="Q190" s="19"/>
      <c r="R190" s="19"/>
      <c r="S190" s="23" t="str">
        <f>HYPERLINK("https://www.google.com/maps/search/" &amp; Table24[[#This Row],[Tên hẻm]], "Xem trên Google Maps")</f>
        <v>Xem trên Google Maps</v>
      </c>
      <c r="T190" s="16" t="str">
        <f>"Hẻm "&amp;Table24[[#This Row],[Hẻm]]&amp;" "&amp;Table24[[#This Row],[Tuyến đường]]&amp;", Phường "&amp;Table24[[#This Row],[Phường]]&amp;", Quận "&amp;Table24[[#This Row],[Quận]]</f>
        <v>Hẻm 100 An Dương Vương An Dương Vương, Phường 9, Quận 5</v>
      </c>
      <c r="U190" s="36"/>
      <c r="V190" s="56" t="e">
        <f>HYPERLINK("https://www.google.com/maps/search/?api=1&amp;query=" &amp; _xlfn.ENCODEURL(Table24[[#This Row],[Tên hẻm]]), "Link Google Map")</f>
        <v>#VALUE!</v>
      </c>
    </row>
    <row r="191" spans="1:22" ht="47.25" hidden="1">
      <c r="A191" s="11">
        <v>212</v>
      </c>
      <c r="B191" s="16">
        <v>222</v>
      </c>
      <c r="C191" s="16" t="s">
        <v>5050</v>
      </c>
      <c r="D191" s="11">
        <v>10</v>
      </c>
      <c r="E191" s="11">
        <v>9</v>
      </c>
      <c r="F191" s="11" t="s">
        <v>5051</v>
      </c>
      <c r="G191" s="17">
        <v>3</v>
      </c>
      <c r="H191" s="11"/>
      <c r="I191" s="11"/>
      <c r="J191" s="11" t="s">
        <v>5052</v>
      </c>
      <c r="K191" s="11" t="s">
        <v>5053</v>
      </c>
      <c r="L191" s="11">
        <v>2</v>
      </c>
      <c r="M191" s="31" t="s">
        <v>5054</v>
      </c>
      <c r="N191" s="11"/>
      <c r="O191" s="11"/>
      <c r="P191" s="11" t="s">
        <v>5055</v>
      </c>
      <c r="Q191" s="19"/>
      <c r="R191" s="19"/>
      <c r="S191" s="23" t="str">
        <f>HYPERLINK("https://www.google.com/maps/search/" &amp; Table24[[#This Row],[Tên hẻm]], "Xem trên Google Maps")</f>
        <v>Xem trên Google Maps</v>
      </c>
      <c r="T191" s="16" t="str">
        <f>"Hẻm "&amp;Table24[[#This Row],[Hẻm]]&amp;" "&amp;Table24[[#This Row],[Tuyến đường]]&amp;", Phường "&amp;Table24[[#This Row],[Phường]]&amp;", Quận "&amp;Table24[[#This Row],[Quận]]</f>
        <v>Hẻm 222 Bà hạt , Phường 9, Quận 10</v>
      </c>
      <c r="U191" s="36"/>
      <c r="V191" s="56" t="e">
        <f>HYPERLINK("https://www.google.com/maps/search/?api=1&amp;query=" &amp; _xlfn.ENCODEURL(Table24[[#This Row],[Tên hẻm]]), "Link Google Map")</f>
        <v>#VALUE!</v>
      </c>
    </row>
    <row r="192" spans="1:22" ht="47.25" hidden="1">
      <c r="A192" s="11">
        <v>213</v>
      </c>
      <c r="B192" s="16">
        <v>232</v>
      </c>
      <c r="C192" s="16" t="s">
        <v>5050</v>
      </c>
      <c r="D192" s="11">
        <v>10</v>
      </c>
      <c r="E192" s="11">
        <v>9</v>
      </c>
      <c r="F192" s="11" t="s">
        <v>5051</v>
      </c>
      <c r="G192" s="17" t="s">
        <v>4367</v>
      </c>
      <c r="H192" s="11"/>
      <c r="I192" s="11"/>
      <c r="J192" s="11" t="s">
        <v>5052</v>
      </c>
      <c r="K192" s="11" t="s">
        <v>5056</v>
      </c>
      <c r="L192" s="11">
        <v>9</v>
      </c>
      <c r="M192" s="31" t="s">
        <v>5057</v>
      </c>
      <c r="N192" s="11"/>
      <c r="O192" s="11"/>
      <c r="P192" s="11" t="s">
        <v>5055</v>
      </c>
      <c r="Q192" s="19"/>
      <c r="R192" s="19"/>
      <c r="S192" s="23" t="str">
        <f>HYPERLINK("https://www.google.com/maps/search/" &amp; Table24[[#This Row],[Tên hẻm]], "Xem trên Google Maps")</f>
        <v>Xem trên Google Maps</v>
      </c>
      <c r="T192" s="16" t="str">
        <f>"Hẻm "&amp;Table24[[#This Row],[Hẻm]]&amp;" "&amp;Table24[[#This Row],[Tuyến đường]]&amp;", Phường "&amp;Table24[[#This Row],[Phường]]&amp;", Quận "&amp;Table24[[#This Row],[Quận]]</f>
        <v>Hẻm 232 Bà hạt , Phường 9, Quận 10</v>
      </c>
      <c r="U192" s="36"/>
      <c r="V192" s="56" t="e">
        <f>HYPERLINK("https://www.google.com/maps/search/?api=1&amp;query=" &amp; _xlfn.ENCODEURL(Table24[[#This Row],[Tên hẻm]]), "Link Google Map")</f>
        <v>#VALUE!</v>
      </c>
    </row>
    <row r="193" spans="1:22" ht="47.25" hidden="1">
      <c r="A193" s="11">
        <v>214</v>
      </c>
      <c r="B193" s="16">
        <v>158</v>
      </c>
      <c r="C193" s="16" t="s">
        <v>5050</v>
      </c>
      <c r="D193" s="11">
        <v>10</v>
      </c>
      <c r="E193" s="11">
        <v>9</v>
      </c>
      <c r="F193" s="11" t="s">
        <v>5058</v>
      </c>
      <c r="G193" s="17" t="s">
        <v>4367</v>
      </c>
      <c r="H193" s="11"/>
      <c r="I193" s="11"/>
      <c r="J193" s="11" t="s">
        <v>5052</v>
      </c>
      <c r="K193" s="11" t="s">
        <v>5059</v>
      </c>
      <c r="L193" s="11">
        <v>12</v>
      </c>
      <c r="M193" s="31" t="s">
        <v>5060</v>
      </c>
      <c r="N193" s="11"/>
      <c r="O193" s="11"/>
      <c r="P193" s="11" t="s">
        <v>5055</v>
      </c>
      <c r="Q193" s="19"/>
      <c r="R193" s="19"/>
      <c r="S193" s="23" t="str">
        <f>HYPERLINK("https://www.google.com/maps/search/" &amp; Table24[[#This Row],[Tên hẻm]], "Xem trên Google Maps")</f>
        <v>Xem trên Google Maps</v>
      </c>
      <c r="T193" s="16" t="str">
        <f>"Hẻm "&amp;Table24[[#This Row],[Hẻm]]&amp;" "&amp;Table24[[#This Row],[Tuyến đường]]&amp;", Phường "&amp;Table24[[#This Row],[Phường]]&amp;", Quận "&amp;Table24[[#This Row],[Quận]]</f>
        <v>Hẻm 158 Bà hạt , Phường 9, Quận 10</v>
      </c>
      <c r="U193" s="36"/>
      <c r="V193" s="56" t="e">
        <f>HYPERLINK("https://www.google.com/maps/search/?api=1&amp;query=" &amp; _xlfn.ENCODEURL(Table24[[#This Row],[Tên hẻm]]), "Link Google Map")</f>
        <v>#VALUE!</v>
      </c>
    </row>
    <row r="194" spans="1:22" ht="47.25" hidden="1">
      <c r="A194" s="11">
        <v>215</v>
      </c>
      <c r="B194" s="16">
        <v>112</v>
      </c>
      <c r="C194" s="16" t="s">
        <v>5061</v>
      </c>
      <c r="D194" s="11">
        <v>10</v>
      </c>
      <c r="E194" s="11">
        <v>9</v>
      </c>
      <c r="F194" s="11" t="s">
        <v>5062</v>
      </c>
      <c r="G194" s="17" t="s">
        <v>4840</v>
      </c>
      <c r="H194" s="11"/>
      <c r="I194" s="11"/>
      <c r="J194" s="11" t="s">
        <v>5052</v>
      </c>
      <c r="K194" s="11" t="s">
        <v>5063</v>
      </c>
      <c r="L194" s="11">
        <v>3</v>
      </c>
      <c r="M194" s="31" t="s">
        <v>5064</v>
      </c>
      <c r="N194" s="11"/>
      <c r="O194" s="11"/>
      <c r="P194" s="11" t="s">
        <v>5055</v>
      </c>
      <c r="Q194" s="19"/>
      <c r="R194" s="19"/>
      <c r="S194" s="23" t="str">
        <f>HYPERLINK("https://www.google.com/maps/search/" &amp; Table24[[#This Row],[Tên hẻm]], "Xem trên Google Maps")</f>
        <v>Xem trên Google Maps</v>
      </c>
      <c r="T194" s="16" t="str">
        <f>"Hẻm "&amp;Table24[[#This Row],[Hẻm]]&amp;" "&amp;Table24[[#This Row],[Tuyến đường]]&amp;", Phường "&amp;Table24[[#This Row],[Phường]]&amp;", Quận "&amp;Table24[[#This Row],[Quận]]</f>
        <v>Hẻm 112 Ngô gia tự, Phường 9, Quận 10</v>
      </c>
      <c r="U194" s="36"/>
      <c r="V194" s="56" t="e">
        <f>HYPERLINK("https://www.google.com/maps/search/?api=1&amp;query=" &amp; _xlfn.ENCODEURL(Table24[[#This Row],[Tên hẻm]]), "Link Google Map")</f>
        <v>#VALUE!</v>
      </c>
    </row>
    <row r="195" spans="1:22" ht="47.25" hidden="1">
      <c r="A195" s="11">
        <v>216</v>
      </c>
      <c r="B195" s="16">
        <v>292</v>
      </c>
      <c r="C195" s="16" t="s">
        <v>5050</v>
      </c>
      <c r="D195" s="11">
        <v>10</v>
      </c>
      <c r="E195" s="11">
        <v>9</v>
      </c>
      <c r="F195" s="11" t="s">
        <v>5051</v>
      </c>
      <c r="G195" s="17">
        <v>3</v>
      </c>
      <c r="H195" s="11"/>
      <c r="I195" s="11"/>
      <c r="J195" s="11" t="s">
        <v>5052</v>
      </c>
      <c r="K195" s="11" t="s">
        <v>5065</v>
      </c>
      <c r="L195" s="11">
        <v>8</v>
      </c>
      <c r="M195" s="31" t="s">
        <v>5066</v>
      </c>
      <c r="N195" s="11"/>
      <c r="O195" s="11"/>
      <c r="P195" s="11" t="s">
        <v>5055</v>
      </c>
      <c r="Q195" s="19"/>
      <c r="R195" s="19"/>
      <c r="S195" s="23" t="str">
        <f>HYPERLINK("https://www.google.com/maps/search/" &amp; Table24[[#This Row],[Tên hẻm]], "Xem trên Google Maps")</f>
        <v>Xem trên Google Maps</v>
      </c>
      <c r="T195" s="16" t="str">
        <f>"Hẻm "&amp;Table24[[#This Row],[Hẻm]]&amp;" "&amp;Table24[[#This Row],[Tuyến đường]]&amp;", Phường "&amp;Table24[[#This Row],[Phường]]&amp;", Quận "&amp;Table24[[#This Row],[Quận]]</f>
        <v>Hẻm 292 Bà hạt , Phường 9, Quận 10</v>
      </c>
      <c r="U195" s="36"/>
      <c r="V195" s="56" t="e">
        <f>HYPERLINK("https://www.google.com/maps/search/?api=1&amp;query=" &amp; _xlfn.ENCODEURL(Table24[[#This Row],[Tên hẻm]]), "Link Google Map")</f>
        <v>#VALUE!</v>
      </c>
    </row>
    <row r="196" spans="1:22" ht="47.25" hidden="1">
      <c r="A196" s="11">
        <v>217</v>
      </c>
      <c r="B196" s="16">
        <v>167</v>
      </c>
      <c r="C196" s="16" t="s">
        <v>5067</v>
      </c>
      <c r="D196" s="11">
        <v>10</v>
      </c>
      <c r="E196" s="11">
        <v>9</v>
      </c>
      <c r="F196" s="11" t="s">
        <v>2918</v>
      </c>
      <c r="G196" s="17">
        <v>4</v>
      </c>
      <c r="H196" s="11"/>
      <c r="I196" s="11"/>
      <c r="J196" s="11" t="s">
        <v>5052</v>
      </c>
      <c r="K196" s="11" t="s">
        <v>5068</v>
      </c>
      <c r="L196" s="11">
        <v>1</v>
      </c>
      <c r="M196" s="31" t="s">
        <v>5069</v>
      </c>
      <c r="N196" s="11"/>
      <c r="O196" s="11"/>
      <c r="P196" s="11" t="s">
        <v>5055</v>
      </c>
      <c r="Q196" s="19"/>
      <c r="R196" s="19"/>
      <c r="S196" s="23" t="str">
        <f>HYPERLINK("https://www.google.com/maps/search/" &amp; Table24[[#This Row],[Tên hẻm]], "Xem trên Google Maps")</f>
        <v>Xem trên Google Maps</v>
      </c>
      <c r="T196" s="16" t="str">
        <f>"Hẻm "&amp;Table24[[#This Row],[Hẻm]]&amp;" "&amp;Table24[[#This Row],[Tuyến đường]]&amp;", Phường "&amp;Table24[[#This Row],[Phường]]&amp;", Quận "&amp;Table24[[#This Row],[Quận]]</f>
        <v>Hẻm 167 Lý Thái tổ, Phường 9, Quận 10</v>
      </c>
      <c r="U196" s="36"/>
      <c r="V196" s="56" t="e">
        <f>HYPERLINK("https://www.google.com/maps/search/?api=1&amp;query=" &amp; _xlfn.ENCODEURL(Table24[[#This Row],[Tên hẻm]]), "Link Google Map")</f>
        <v>#VALUE!</v>
      </c>
    </row>
    <row r="197" spans="1:22" ht="47.25" hidden="1">
      <c r="A197" s="11">
        <v>218</v>
      </c>
      <c r="B197" s="16">
        <v>105</v>
      </c>
      <c r="C197" s="16" t="s">
        <v>5070</v>
      </c>
      <c r="D197" s="11">
        <v>11</v>
      </c>
      <c r="E197" s="11">
        <v>4</v>
      </c>
      <c r="F197" s="11" t="s">
        <v>3546</v>
      </c>
      <c r="G197" s="17">
        <v>4</v>
      </c>
      <c r="H197" s="11"/>
      <c r="I197" s="11"/>
      <c r="J197" s="11" t="s">
        <v>5070</v>
      </c>
      <c r="K197" s="11" t="s">
        <v>5071</v>
      </c>
      <c r="L197" s="11">
        <v>3</v>
      </c>
      <c r="M197" s="31" t="s">
        <v>5072</v>
      </c>
      <c r="N197" s="11"/>
      <c r="O197" s="11"/>
      <c r="P197" s="11" t="s">
        <v>4544</v>
      </c>
      <c r="Q197" s="19"/>
      <c r="R197" s="19"/>
      <c r="S197" s="23" t="str">
        <f>HYPERLINK("https://www.google.com/maps/search/" &amp; Table24[[#This Row],[Tên hẻm]], "Xem trên Google Maps")</f>
        <v>Xem trên Google Maps</v>
      </c>
      <c r="T197" s="16" t="str">
        <f>"Hẻm "&amp;Table24[[#This Row],[Hẻm]]&amp;" "&amp;Table24[[#This Row],[Tuyến đường]]&amp;", Phường "&amp;Table24[[#This Row],[Phường]]&amp;", Quận "&amp;Table24[[#This Row],[Quận]]</f>
        <v>Hẻm 105 Trần Quý , Phường 4, Quận 11</v>
      </c>
      <c r="U197" s="36"/>
      <c r="V197" s="56" t="e">
        <f>HYPERLINK("https://www.google.com/maps/search/?api=1&amp;query=" &amp; _xlfn.ENCODEURL(Table24[[#This Row],[Tên hẻm]]), "Link Google Map")</f>
        <v>#VALUE!</v>
      </c>
    </row>
    <row r="198" spans="1:22" ht="47.25" hidden="1">
      <c r="A198" s="11">
        <v>219</v>
      </c>
      <c r="B198" s="16">
        <v>162</v>
      </c>
      <c r="C198" s="16" t="s">
        <v>5070</v>
      </c>
      <c r="D198" s="11">
        <v>11</v>
      </c>
      <c r="E198" s="11">
        <v>6</v>
      </c>
      <c r="F198" s="11" t="s">
        <v>3537</v>
      </c>
      <c r="G198" s="17">
        <v>3</v>
      </c>
      <c r="H198" s="11"/>
      <c r="I198" s="11"/>
      <c r="J198" s="11" t="s">
        <v>5070</v>
      </c>
      <c r="K198" s="11" t="s">
        <v>5073</v>
      </c>
      <c r="L198" s="11">
        <v>8</v>
      </c>
      <c r="M198" s="31" t="s">
        <v>5074</v>
      </c>
      <c r="N198" s="11"/>
      <c r="O198" s="11"/>
      <c r="P198" s="11" t="s">
        <v>4544</v>
      </c>
      <c r="Q198" s="19"/>
      <c r="R198" s="19"/>
      <c r="S198" s="23" t="str">
        <f>HYPERLINK("https://www.google.com/maps/search/" &amp; Table24[[#This Row],[Tên hẻm]], "Xem trên Google Maps")</f>
        <v>Xem trên Google Maps</v>
      </c>
      <c r="T198" s="16" t="str">
        <f>"Hẻm "&amp;Table24[[#This Row],[Hẻm]]&amp;" "&amp;Table24[[#This Row],[Tuyến đường]]&amp;", Phường "&amp;Table24[[#This Row],[Phường]]&amp;", Quận "&amp;Table24[[#This Row],[Quận]]</f>
        <v>Hẻm 162 Trần Quý , Phường 6, Quận 11</v>
      </c>
      <c r="U198" s="36"/>
      <c r="V198" s="56" t="e">
        <f>HYPERLINK("https://www.google.com/maps/search/?api=1&amp;query=" &amp; _xlfn.ENCODEURL(Table24[[#This Row],[Tên hẻm]]), "Link Google Map")</f>
        <v>#VALUE!</v>
      </c>
    </row>
    <row r="199" spans="1:22" ht="47.25" hidden="1">
      <c r="A199" s="11">
        <v>220</v>
      </c>
      <c r="B199" s="16">
        <v>170</v>
      </c>
      <c r="C199" s="16" t="s">
        <v>5075</v>
      </c>
      <c r="D199" s="11">
        <v>11</v>
      </c>
      <c r="E199" s="11">
        <v>4</v>
      </c>
      <c r="F199" s="11" t="s">
        <v>3562</v>
      </c>
      <c r="G199" s="17" t="s">
        <v>5076</v>
      </c>
      <c r="H199" s="11"/>
      <c r="I199" s="11"/>
      <c r="J199" s="11" t="s">
        <v>5075</v>
      </c>
      <c r="K199" s="11" t="s">
        <v>5077</v>
      </c>
      <c r="L199" s="11">
        <v>4</v>
      </c>
      <c r="M199" s="31" t="s">
        <v>5078</v>
      </c>
      <c r="N199" s="11"/>
      <c r="O199" s="11"/>
      <c r="P199" s="11" t="s">
        <v>4544</v>
      </c>
      <c r="Q199" s="19"/>
      <c r="R199" s="19"/>
      <c r="S199" s="23" t="str">
        <f>HYPERLINK("https://www.google.com/maps/search/" &amp; Table24[[#This Row],[Tên hẻm]], "Xem trên Google Maps")</f>
        <v>Xem trên Google Maps</v>
      </c>
      <c r="T199" s="16" t="str">
        <f>"Hẻm "&amp;Table24[[#This Row],[Hẻm]]&amp;" "&amp;Table24[[#This Row],[Tuyến đường]]&amp;", Phường "&amp;Table24[[#This Row],[Phường]]&amp;", Quận "&amp;Table24[[#This Row],[Quận]]</f>
        <v>Hẻm 170 Hà Tôn Quyền , Phường 4, Quận 11</v>
      </c>
      <c r="U199" s="36"/>
      <c r="V199" s="56" t="e">
        <f>HYPERLINK("https://www.google.com/maps/search/?api=1&amp;query=" &amp; _xlfn.ENCODEURL(Table24[[#This Row],[Tên hẻm]]), "Link Google Map")</f>
        <v>#VALUE!</v>
      </c>
    </row>
    <row r="200" spans="1:22" ht="47.25" hidden="1">
      <c r="A200" s="11">
        <v>221</v>
      </c>
      <c r="B200" s="16">
        <v>124</v>
      </c>
      <c r="C200" s="16" t="s">
        <v>5071</v>
      </c>
      <c r="D200" s="11">
        <v>11</v>
      </c>
      <c r="E200" s="11">
        <v>4</v>
      </c>
      <c r="F200" s="11" t="s">
        <v>5079</v>
      </c>
      <c r="G200" s="17">
        <v>4</v>
      </c>
      <c r="H200" s="11"/>
      <c r="I200" s="11"/>
      <c r="J200" s="11" t="s">
        <v>5071</v>
      </c>
      <c r="K200" s="11" t="s">
        <v>5070</v>
      </c>
      <c r="L200" s="11">
        <v>5</v>
      </c>
      <c r="M200" s="31" t="s">
        <v>5080</v>
      </c>
      <c r="N200" s="11"/>
      <c r="O200" s="11"/>
      <c r="P200" s="11" t="s">
        <v>4544</v>
      </c>
      <c r="Q200" s="19"/>
      <c r="R200" s="19"/>
      <c r="S200" s="23" t="str">
        <f>HYPERLINK("https://www.google.com/maps/search/" &amp; Table24[[#This Row],[Tên hẻm]], "Xem trên Google Maps")</f>
        <v>Xem trên Google Maps</v>
      </c>
      <c r="T200" s="16" t="str">
        <f>"Hẻm "&amp;Table24[[#This Row],[Hẻm]]&amp;" "&amp;Table24[[#This Row],[Tuyến đường]]&amp;", Phường "&amp;Table24[[#This Row],[Phường]]&amp;", Quận "&amp;Table24[[#This Row],[Quận]]</f>
        <v>Hẻm 124 Tân Khai , Phường 4, Quận 11</v>
      </c>
      <c r="U200" s="36"/>
      <c r="V200" s="56" t="e">
        <f>HYPERLINK("https://www.google.com/maps/search/?api=1&amp;query=" &amp; _xlfn.ENCODEURL(Table24[[#This Row],[Tên hẻm]]), "Link Google Map")</f>
        <v>#VALUE!</v>
      </c>
    </row>
    <row r="201" spans="1:22" ht="47.25" hidden="1">
      <c r="A201" s="11">
        <v>222</v>
      </c>
      <c r="B201" s="16">
        <v>216</v>
      </c>
      <c r="C201" s="16" t="s">
        <v>5081</v>
      </c>
      <c r="D201" s="11">
        <v>11</v>
      </c>
      <c r="E201" s="11">
        <v>4</v>
      </c>
      <c r="F201" s="11" t="s">
        <v>5079</v>
      </c>
      <c r="G201" s="17">
        <v>4</v>
      </c>
      <c r="H201" s="11"/>
      <c r="I201" s="11"/>
      <c r="J201" s="11" t="s">
        <v>5081</v>
      </c>
      <c r="K201" s="11" t="s">
        <v>5082</v>
      </c>
      <c r="L201" s="11">
        <v>3</v>
      </c>
      <c r="M201" s="31" t="s">
        <v>5083</v>
      </c>
      <c r="N201" s="11"/>
      <c r="O201" s="11"/>
      <c r="P201" s="11" t="s">
        <v>4544</v>
      </c>
      <c r="Q201" s="19"/>
      <c r="R201" s="19"/>
      <c r="S201" s="23" t="str">
        <f>HYPERLINK("https://www.google.com/maps/search/" &amp; Table24[[#This Row],[Tên hẻm]], "Xem trên Google Maps")</f>
        <v>Xem trên Google Maps</v>
      </c>
      <c r="T201" s="16" t="str">
        <f>"Hẻm "&amp;Table24[[#This Row],[Hẻm]]&amp;" "&amp;Table24[[#This Row],[Tuyến đường]]&amp;", Phường "&amp;Table24[[#This Row],[Phường]]&amp;", Quận "&amp;Table24[[#This Row],[Quận]]</f>
        <v>Hẻm 216 Dương Tử Giang , Phường 4, Quận 11</v>
      </c>
      <c r="U201" s="36"/>
      <c r="V201" s="56" t="e">
        <f>HYPERLINK("https://www.google.com/maps/search/?api=1&amp;query=" &amp; _xlfn.ENCODEURL(Table24[[#This Row],[Tên hẻm]]), "Link Google Map")</f>
        <v>#VALUE!</v>
      </c>
    </row>
    <row r="202" spans="1:22" ht="47.25" hidden="1">
      <c r="A202" s="11">
        <v>223</v>
      </c>
      <c r="B202" s="16" t="s">
        <v>5084</v>
      </c>
      <c r="C202" s="16" t="s">
        <v>5085</v>
      </c>
      <c r="D202" s="11">
        <v>10</v>
      </c>
      <c r="E202" s="11">
        <v>9</v>
      </c>
      <c r="F202" s="11" t="s">
        <v>5058</v>
      </c>
      <c r="G202" s="17">
        <v>3</v>
      </c>
      <c r="H202" s="11"/>
      <c r="I202" s="11"/>
      <c r="J202" s="11" t="s">
        <v>5086</v>
      </c>
      <c r="K202" s="11" t="s">
        <v>5087</v>
      </c>
      <c r="L202" s="11">
        <v>7</v>
      </c>
      <c r="M202" s="31" t="s">
        <v>5088</v>
      </c>
      <c r="N202" s="11"/>
      <c r="O202" s="11"/>
      <c r="P202" s="11" t="s">
        <v>5089</v>
      </c>
      <c r="Q202" s="19"/>
      <c r="R202" s="19"/>
      <c r="S202" s="23" t="str">
        <f>HYPERLINK("https://www.google.com/maps/search/" &amp; Table24[[#This Row],[Tên hẻm]], "Xem trên Google Maps")</f>
        <v>Xem trên Google Maps</v>
      </c>
      <c r="T202" s="16" t="str">
        <f>"Hẻm "&amp;Table24[[#This Row],[Hẻm]]&amp;" "&amp;Table24[[#This Row],[Tuyến đường]]&amp;", Phường "&amp;Table24[[#This Row],[Phường]]&amp;", Quận "&amp;Table24[[#This Row],[Quận]]</f>
        <v>Hẻm Hẻm 333 lý thái tổ  Lý Thái tổ , Phường 9, Quận 10</v>
      </c>
      <c r="U202" s="36"/>
      <c r="V202" s="56" t="e">
        <f>HYPERLINK("https://www.google.com/maps/search/?api=1&amp;query=" &amp; _xlfn.ENCODEURL(Table24[[#This Row],[Tên hẻm]]), "Link Google Map")</f>
        <v>#VALUE!</v>
      </c>
    </row>
    <row r="203" spans="1:22" ht="47.25" hidden="1">
      <c r="A203" s="11">
        <v>224</v>
      </c>
      <c r="B203" s="16" t="s">
        <v>5090</v>
      </c>
      <c r="C203" s="16" t="s">
        <v>5091</v>
      </c>
      <c r="D203" s="11">
        <v>10</v>
      </c>
      <c r="E203" s="11">
        <v>1</v>
      </c>
      <c r="F203" s="11" t="s">
        <v>5092</v>
      </c>
      <c r="G203" s="17">
        <v>3</v>
      </c>
      <c r="H203" s="11"/>
      <c r="I203" s="11"/>
      <c r="J203" s="11" t="s">
        <v>5093</v>
      </c>
      <c r="K203" s="11" t="s">
        <v>5094</v>
      </c>
      <c r="L203" s="11">
        <v>2</v>
      </c>
      <c r="M203" s="31" t="s">
        <v>5095</v>
      </c>
      <c r="N203" s="11"/>
      <c r="O203" s="11"/>
      <c r="P203" s="11" t="s">
        <v>5096</v>
      </c>
      <c r="Q203" s="19"/>
      <c r="R203" s="19"/>
      <c r="S203" s="23" t="str">
        <f>HYPERLINK("https://www.google.com/maps/search/" &amp; Table24[[#This Row],[Tên hẻm]], "Xem trên Google Maps")</f>
        <v>Xem trên Google Maps</v>
      </c>
      <c r="T203" s="16" t="str">
        <f>"Hẻm "&amp;Table24[[#This Row],[Hẻm]]&amp;" "&amp;Table24[[#This Row],[Tuyến đường]]&amp;", Phường "&amp;Table24[[#This Row],[Phường]]&amp;", Quận "&amp;Table24[[#This Row],[Quận]]</f>
        <v>Hẻm Hẻm 69 hồ Thị kỷ  Hồ Thị kỷ , Phường 1, Quận 10</v>
      </c>
      <c r="U203" s="36"/>
      <c r="V203" s="56" t="e">
        <f>HYPERLINK("https://www.google.com/maps/search/?api=1&amp;query=" &amp; _xlfn.ENCODEURL(Table24[[#This Row],[Tên hẻm]]), "Link Google Map")</f>
        <v>#VALUE!</v>
      </c>
    </row>
    <row r="204" spans="1:22" ht="47.25" hidden="1">
      <c r="A204" s="11">
        <v>225</v>
      </c>
      <c r="B204" s="16" t="s">
        <v>5097</v>
      </c>
      <c r="C204" s="16" t="s">
        <v>5091</v>
      </c>
      <c r="D204" s="11">
        <v>10</v>
      </c>
      <c r="E204" s="11">
        <v>1</v>
      </c>
      <c r="F204" s="11" t="s">
        <v>5098</v>
      </c>
      <c r="G204" s="17">
        <v>3</v>
      </c>
      <c r="H204" s="11"/>
      <c r="I204" s="11"/>
      <c r="J204" s="11" t="s">
        <v>5097</v>
      </c>
      <c r="K204" s="11" t="s">
        <v>5099</v>
      </c>
      <c r="L204" s="11">
        <v>3</v>
      </c>
      <c r="M204" s="31" t="s">
        <v>5100</v>
      </c>
      <c r="N204" s="11"/>
      <c r="O204" s="11"/>
      <c r="P204" s="11" t="s">
        <v>5096</v>
      </c>
      <c r="Q204" s="19"/>
      <c r="R204" s="19"/>
      <c r="S204" s="23" t="str">
        <f>HYPERLINK("https://www.google.com/maps/search/" &amp; Table24[[#This Row],[Tên hẻm]], "Xem trên Google Maps")</f>
        <v>Xem trên Google Maps</v>
      </c>
      <c r="T204" s="16" t="str">
        <f>"Hẻm "&amp;Table24[[#This Row],[Hẻm]]&amp;" "&amp;Table24[[#This Row],[Tuyến đường]]&amp;", Phường "&amp;Table24[[#This Row],[Phường]]&amp;", Quận "&amp;Table24[[#This Row],[Quận]]</f>
        <v>Hẻm Hẻm 80 hồ Thị kỷ  Hồ Thị kỷ , Phường 1, Quận 10</v>
      </c>
      <c r="U204" s="36"/>
      <c r="V204" s="56" t="e">
        <f>HYPERLINK("https://www.google.com/maps/search/?api=1&amp;query=" &amp; _xlfn.ENCODEURL(Table24[[#This Row],[Tên hẻm]]), "Link Google Map")</f>
        <v>#VALUE!</v>
      </c>
    </row>
    <row r="205" spans="1:22" ht="47.25" hidden="1">
      <c r="A205" s="11">
        <v>226</v>
      </c>
      <c r="B205" s="16" t="s">
        <v>5101</v>
      </c>
      <c r="C205" s="16" t="s">
        <v>5091</v>
      </c>
      <c r="D205" s="11">
        <v>10</v>
      </c>
      <c r="E205" s="11">
        <v>1</v>
      </c>
      <c r="F205" s="11" t="s">
        <v>5092</v>
      </c>
      <c r="G205" s="17">
        <v>3</v>
      </c>
      <c r="H205" s="11"/>
      <c r="I205" s="11"/>
      <c r="J205" s="11" t="s">
        <v>5102</v>
      </c>
      <c r="K205" s="11" t="s">
        <v>5103</v>
      </c>
      <c r="L205" s="11">
        <v>3</v>
      </c>
      <c r="M205" s="31" t="s">
        <v>5104</v>
      </c>
      <c r="N205" s="11"/>
      <c r="O205" s="11"/>
      <c r="P205" s="11" t="s">
        <v>5105</v>
      </c>
      <c r="Q205" s="19"/>
      <c r="R205" s="19"/>
      <c r="S205" s="23" t="str">
        <f>HYPERLINK("https://www.google.com/maps/search/" &amp; Table24[[#This Row],[Tên hẻm]], "Xem trên Google Maps")</f>
        <v>Xem trên Google Maps</v>
      </c>
      <c r="T205" s="16" t="str">
        <f>"Hẻm "&amp;Table24[[#This Row],[Hẻm]]&amp;" "&amp;Table24[[#This Row],[Tuyến đường]]&amp;", Phường "&amp;Table24[[#This Row],[Phường]]&amp;", Quận "&amp;Table24[[#This Row],[Quận]]</f>
        <v>Hẻm Hẻm 87 hồ Thị kỷ  Hồ Thị kỷ , Phường 1, Quận 10</v>
      </c>
      <c r="U205" s="36"/>
      <c r="V205" s="56" t="e">
        <f>HYPERLINK("https://www.google.com/maps/search/?api=1&amp;query=" &amp; _xlfn.ENCODEURL(Table24[[#This Row],[Tên hẻm]]), "Link Google Map")</f>
        <v>#VALUE!</v>
      </c>
    </row>
    <row r="206" spans="1:22" ht="47.25" hidden="1">
      <c r="A206" s="11">
        <v>227</v>
      </c>
      <c r="B206" s="16" t="s">
        <v>5106</v>
      </c>
      <c r="C206" s="16" t="s">
        <v>5017</v>
      </c>
      <c r="D206" s="11">
        <v>10</v>
      </c>
      <c r="E206" s="11">
        <v>1</v>
      </c>
      <c r="F206" s="11" t="s">
        <v>2865</v>
      </c>
      <c r="G206" s="17" t="s">
        <v>4363</v>
      </c>
      <c r="H206" s="11"/>
      <c r="I206" s="11"/>
      <c r="J206" s="11" t="s">
        <v>5107</v>
      </c>
      <c r="K206" s="11" t="s">
        <v>5108</v>
      </c>
      <c r="L206" s="11">
        <v>2</v>
      </c>
      <c r="M206" s="31" t="s">
        <v>5109</v>
      </c>
      <c r="N206" s="11"/>
      <c r="O206" s="11"/>
      <c r="P206" s="11" t="s">
        <v>5096</v>
      </c>
      <c r="Q206" s="19"/>
      <c r="R206" s="19"/>
      <c r="S206" s="23" t="str">
        <f>HYPERLINK("https://www.google.com/maps/search/" &amp; Table24[[#This Row],[Tên hẻm]], "Xem trên Google Maps")</f>
        <v>Xem trên Google Maps</v>
      </c>
      <c r="T206" s="16" t="str">
        <f>"Hẻm "&amp;Table24[[#This Row],[Hẻm]]&amp;" "&amp;Table24[[#This Row],[Tuyến đường]]&amp;", Phường "&amp;Table24[[#This Row],[Phường]]&amp;", Quận "&amp;Table24[[#This Row],[Quận]]</f>
        <v>Hẻm Hẻm 398 Trần Bình Trọng  Trần Bình Trọng , Phường 1, Quận 10</v>
      </c>
      <c r="U206" s="36"/>
      <c r="V206" s="56" t="e">
        <f>HYPERLINK("https://www.google.com/maps/search/?api=1&amp;query=" &amp; _xlfn.ENCODEURL(Table24[[#This Row],[Tên hẻm]]), "Link Google Map")</f>
        <v>#VALUE!</v>
      </c>
    </row>
    <row r="207" spans="1:22" ht="47.25" hidden="1">
      <c r="A207" s="11">
        <v>228</v>
      </c>
      <c r="B207" s="16" t="s">
        <v>5110</v>
      </c>
      <c r="C207" s="16" t="s">
        <v>5017</v>
      </c>
      <c r="D207" s="11">
        <v>10</v>
      </c>
      <c r="E207" s="11">
        <v>1</v>
      </c>
      <c r="F207" s="11" t="s">
        <v>2861</v>
      </c>
      <c r="G207" s="17">
        <v>5</v>
      </c>
      <c r="H207" s="11"/>
      <c r="I207" s="11"/>
      <c r="J207" s="11" t="s">
        <v>5111</v>
      </c>
      <c r="K207" s="11" t="s">
        <v>5112</v>
      </c>
      <c r="L207" s="11">
        <v>2</v>
      </c>
      <c r="M207" s="31" t="s">
        <v>5113</v>
      </c>
      <c r="N207" s="11"/>
      <c r="O207" s="11"/>
      <c r="P207" s="11" t="s">
        <v>5096</v>
      </c>
      <c r="Q207" s="19"/>
      <c r="R207" s="19"/>
      <c r="S207" s="23" t="str">
        <f>HYPERLINK("https://www.google.com/maps/search/" &amp; Table24[[#This Row],[Tên hẻm]], "Xem trên Google Maps")</f>
        <v>Xem trên Google Maps</v>
      </c>
      <c r="T207" s="16" t="str">
        <f>"Hẻm "&amp;Table24[[#This Row],[Hẻm]]&amp;" "&amp;Table24[[#This Row],[Tuyến đường]]&amp;", Phường "&amp;Table24[[#This Row],[Phường]]&amp;", Quận "&amp;Table24[[#This Row],[Quận]]</f>
        <v>Hẻm Hẻm 377 Trần Bình Trọng  Trần Bình Trọng , Phường 1, Quận 10</v>
      </c>
      <c r="U207" s="36"/>
      <c r="V207" s="56" t="e">
        <f>HYPERLINK("https://www.google.com/maps/search/?api=1&amp;query=" &amp; _xlfn.ENCODEURL(Table24[[#This Row],[Tên hẻm]]), "Link Google Map")</f>
        <v>#VALUE!</v>
      </c>
    </row>
    <row r="208" spans="1:22" ht="47.25" hidden="1">
      <c r="A208" s="11">
        <v>229</v>
      </c>
      <c r="B208" s="16" t="s">
        <v>5114</v>
      </c>
      <c r="C208" s="16" t="s">
        <v>4724</v>
      </c>
      <c r="D208" s="11">
        <v>11</v>
      </c>
      <c r="E208" s="11">
        <v>5</v>
      </c>
      <c r="F208" s="11" t="s">
        <v>5115</v>
      </c>
      <c r="G208" s="17" t="s">
        <v>5116</v>
      </c>
      <c r="H208" s="11"/>
      <c r="I208" s="11"/>
      <c r="J208" s="11" t="s">
        <v>5117</v>
      </c>
      <c r="K208" s="11" t="s">
        <v>5118</v>
      </c>
      <c r="L208" s="11">
        <v>5</v>
      </c>
      <c r="M208" s="31" t="s">
        <v>5119</v>
      </c>
      <c r="N208" s="11"/>
      <c r="O208" s="11"/>
      <c r="P208" s="11" t="s">
        <v>4861</v>
      </c>
      <c r="Q208" s="19"/>
      <c r="R208" s="19"/>
      <c r="S208" s="23" t="str">
        <f>HYPERLINK("https://www.google.com/maps/search/" &amp; Table24[[#This Row],[Tên hẻm]], "Xem trên Google Maps")</f>
        <v>Xem trên Google Maps</v>
      </c>
      <c r="T208" s="16" t="str">
        <f>"Hẻm "&amp;Table24[[#This Row],[Hẻm]]&amp;" "&amp;Table24[[#This Row],[Tuyến đường]]&amp;", Phường "&amp;Table24[[#This Row],[Phường]]&amp;", Quận "&amp;Table24[[#This Row],[Quận]]</f>
        <v>Hẻm Hẻm 483 Lạc Long Quân  Lạc Long Quân , Phường 5, Quận 11</v>
      </c>
      <c r="U208" s="36"/>
      <c r="V208" s="56" t="e">
        <f>HYPERLINK("https://www.google.com/maps/search/?api=1&amp;query=" &amp; _xlfn.ENCODEURL(Table24[[#This Row],[Tên hẻm]]), "Link Google Map")</f>
        <v>#VALUE!</v>
      </c>
    </row>
    <row r="209" spans="1:22" ht="47.25" hidden="1">
      <c r="A209" s="11">
        <v>230</v>
      </c>
      <c r="B209" s="16" t="s">
        <v>5120</v>
      </c>
      <c r="C209" s="16" t="s">
        <v>5121</v>
      </c>
      <c r="D209" s="11">
        <v>11</v>
      </c>
      <c r="E209" s="11">
        <v>5</v>
      </c>
      <c r="F209" s="11" t="s">
        <v>5122</v>
      </c>
      <c r="G209" s="17" t="s">
        <v>4772</v>
      </c>
      <c r="H209" s="11"/>
      <c r="I209" s="11"/>
      <c r="J209" s="11" t="s">
        <v>5120</v>
      </c>
      <c r="K209" s="11" t="s">
        <v>5123</v>
      </c>
      <c r="L209" s="11">
        <v>8</v>
      </c>
      <c r="M209" s="31" t="s">
        <v>5124</v>
      </c>
      <c r="N209" s="11"/>
      <c r="O209" s="11"/>
      <c r="P209" s="11" t="s">
        <v>4861</v>
      </c>
      <c r="Q209" s="19"/>
      <c r="R209" s="19"/>
      <c r="S209" s="23" t="str">
        <f>HYPERLINK("https://www.google.com/maps/search/" &amp; Table24[[#This Row],[Tên hẻm]], "Xem trên Google Maps")</f>
        <v>Xem trên Google Maps</v>
      </c>
      <c r="T209" s="16" t="str">
        <f>"Hẻm "&amp;Table24[[#This Row],[Hẻm]]&amp;" "&amp;Table24[[#This Row],[Tuyến đường]]&amp;", Phường "&amp;Table24[[#This Row],[Phường]]&amp;", Quận "&amp;Table24[[#This Row],[Quận]]</f>
        <v>Hẻm Hẻm 5 Trịnh đình Trọng  Trịnh Đình TRỌNG , Phường 5, Quận 11</v>
      </c>
      <c r="U209" s="36"/>
      <c r="V209" s="56" t="e">
        <f>HYPERLINK("https://www.google.com/maps/search/?api=1&amp;query=" &amp; _xlfn.ENCODEURL(Table24[[#This Row],[Tên hẻm]]), "Link Google Map")</f>
        <v>#VALUE!</v>
      </c>
    </row>
    <row r="210" spans="1:22" ht="47.25" hidden="1">
      <c r="A210" s="11">
        <v>231</v>
      </c>
      <c r="B210" s="16" t="s">
        <v>5125</v>
      </c>
      <c r="C210" s="16" t="s">
        <v>5121</v>
      </c>
      <c r="D210" s="11">
        <v>11</v>
      </c>
      <c r="E210" s="11">
        <v>5</v>
      </c>
      <c r="F210" s="11" t="s">
        <v>5122</v>
      </c>
      <c r="G210" s="17" t="s">
        <v>4761</v>
      </c>
      <c r="H210" s="11"/>
      <c r="I210" s="11"/>
      <c r="J210" s="11" t="s">
        <v>5126</v>
      </c>
      <c r="K210" s="11" t="s">
        <v>5127</v>
      </c>
      <c r="L210" s="11">
        <v>4</v>
      </c>
      <c r="M210" s="31" t="s">
        <v>5128</v>
      </c>
      <c r="N210" s="11"/>
      <c r="O210" s="11"/>
      <c r="P210" s="11" t="s">
        <v>4861</v>
      </c>
      <c r="Q210" s="19"/>
      <c r="R210" s="19"/>
      <c r="S210" s="23" t="str">
        <f>HYPERLINK("https://www.google.com/maps/search/" &amp; Table24[[#This Row],[Tên hẻm]], "Xem trên Google Maps")</f>
        <v>Xem trên Google Maps</v>
      </c>
      <c r="T210" s="16" t="str">
        <f>"Hẻm "&amp;Table24[[#This Row],[Hẻm]]&amp;" "&amp;Table24[[#This Row],[Tuyến đường]]&amp;", Phường "&amp;Table24[[#This Row],[Phường]]&amp;", Quận "&amp;Table24[[#This Row],[Quận]]</f>
        <v>Hẻm Hẻm 7 Trịnh đình Trọng  Trịnh Đình TRỌNG , Phường 5, Quận 11</v>
      </c>
      <c r="U210" s="36"/>
      <c r="V210" s="56" t="e">
        <f>HYPERLINK("https://www.google.com/maps/search/?api=1&amp;query=" &amp; _xlfn.ENCODEURL(Table24[[#This Row],[Tên hẻm]]), "Link Google Map")</f>
        <v>#VALUE!</v>
      </c>
    </row>
    <row r="211" spans="1:22" ht="47.25" hidden="1">
      <c r="A211" s="11">
        <v>232</v>
      </c>
      <c r="B211" s="16" t="s">
        <v>5129</v>
      </c>
      <c r="C211" s="16" t="s">
        <v>5130</v>
      </c>
      <c r="D211" s="11">
        <v>11</v>
      </c>
      <c r="E211" s="11">
        <v>5</v>
      </c>
      <c r="F211" s="11" t="s">
        <v>5131</v>
      </c>
      <c r="G211" s="17" t="s">
        <v>4892</v>
      </c>
      <c r="H211" s="11"/>
      <c r="I211" s="11"/>
      <c r="J211" s="11" t="s">
        <v>5132</v>
      </c>
      <c r="K211" s="11" t="s">
        <v>5133</v>
      </c>
      <c r="L211" s="11">
        <v>2</v>
      </c>
      <c r="M211" s="31" t="s">
        <v>5134</v>
      </c>
      <c r="N211" s="11"/>
      <c r="O211" s="11"/>
      <c r="P211" s="11" t="s">
        <v>4861</v>
      </c>
      <c r="Q211" s="19"/>
      <c r="R211" s="19"/>
      <c r="S211" s="23" t="str">
        <f>HYPERLINK("https://www.google.com/maps/search/" &amp; Table24[[#This Row],[Tên hẻm]], "Xem trên Google Maps")</f>
        <v>Xem trên Google Maps</v>
      </c>
      <c r="T211" s="16" t="str">
        <f>"Hẻm "&amp;Table24[[#This Row],[Hẻm]]&amp;" "&amp;Table24[[#This Row],[Tuyến đường]]&amp;", Phường "&amp;Table24[[#This Row],[Phường]]&amp;", Quận "&amp;Table24[[#This Row],[Quận]]</f>
        <v>Hẻm Hẻm 37 Trịnh Đình TRỌNG  Hẻm 37 Trịnh đình Trọng , Phường 5, Quận 11</v>
      </c>
      <c r="U211" s="36"/>
      <c r="V211" s="56" t="e">
        <f>HYPERLINK("https://www.google.com/maps/search/?api=1&amp;query=" &amp; _xlfn.ENCODEURL(Table24[[#This Row],[Tên hẻm]]), "Link Google Map")</f>
        <v>#VALUE!</v>
      </c>
    </row>
    <row r="212" spans="1:22" ht="47.25" hidden="1">
      <c r="A212" s="11">
        <v>233</v>
      </c>
      <c r="B212" s="16">
        <v>154</v>
      </c>
      <c r="C212" s="16" t="s">
        <v>5135</v>
      </c>
      <c r="D212" s="11">
        <v>8</v>
      </c>
      <c r="E212" s="11">
        <v>12</v>
      </c>
      <c r="F212" s="11" t="s">
        <v>5136</v>
      </c>
      <c r="G212" s="17">
        <v>3</v>
      </c>
      <c r="H212" s="11"/>
      <c r="I212" s="11"/>
      <c r="J212" s="11" t="s">
        <v>5137</v>
      </c>
      <c r="K212" s="11" t="s">
        <v>5138</v>
      </c>
      <c r="L212" s="11">
        <v>10</v>
      </c>
      <c r="M212" s="31" t="s">
        <v>5139</v>
      </c>
      <c r="N212" s="11"/>
      <c r="O212" s="11"/>
      <c r="P212" s="11" t="s">
        <v>4544</v>
      </c>
      <c r="Q212" s="19"/>
      <c r="R212" s="19"/>
      <c r="S212" s="23" t="str">
        <f>HYPERLINK("https://www.google.com/maps/search/" &amp; Table24[[#This Row],[Tên hẻm]], "Xem trên Google Maps")</f>
        <v>Xem trên Google Maps</v>
      </c>
      <c r="T212" s="16" t="str">
        <f>"Hẻm "&amp;Table24[[#This Row],[Hẻm]]&amp;" "&amp;Table24[[#This Row],[Tuyến đường]]&amp;", Phường "&amp;Table24[[#This Row],[Phường]]&amp;", Quận "&amp;Table24[[#This Row],[Quận]]</f>
        <v>Hẻm 154 Phong Phú , Phường 12, Quận 8</v>
      </c>
      <c r="U212" s="36"/>
      <c r="V212" s="56" t="e">
        <f>HYPERLINK("https://www.google.com/maps/search/?api=1&amp;query=" &amp; _xlfn.ENCODEURL(Table24[[#This Row],[Tên hẻm]]), "Link Google Map")</f>
        <v>#VALUE!</v>
      </c>
    </row>
    <row r="213" spans="1:22" ht="47.25" hidden="1">
      <c r="A213" s="11">
        <v>234</v>
      </c>
      <c r="B213" s="16">
        <v>105</v>
      </c>
      <c r="C213" s="16" t="s">
        <v>5135</v>
      </c>
      <c r="D213" s="11">
        <v>8</v>
      </c>
      <c r="E213" s="11">
        <v>12</v>
      </c>
      <c r="F213" s="11" t="s">
        <v>2361</v>
      </c>
      <c r="G213" s="17">
        <v>3</v>
      </c>
      <c r="H213" s="11"/>
      <c r="I213" s="11"/>
      <c r="J213" s="11" t="s">
        <v>5137</v>
      </c>
      <c r="K213" s="11" t="s">
        <v>5140</v>
      </c>
      <c r="L213" s="11">
        <v>4</v>
      </c>
      <c r="M213" s="31" t="s">
        <v>5141</v>
      </c>
      <c r="N213" s="11"/>
      <c r="O213" s="11"/>
      <c r="P213" s="11" t="s">
        <v>4544</v>
      </c>
      <c r="Q213" s="19"/>
      <c r="R213" s="19"/>
      <c r="S213" s="23" t="str">
        <f>HYPERLINK("https://www.google.com/maps/search/" &amp; Table24[[#This Row],[Tên hẻm]], "Xem trên Google Maps")</f>
        <v>Xem trên Google Maps</v>
      </c>
      <c r="T213" s="16" t="str">
        <f>"Hẻm "&amp;Table24[[#This Row],[Hẻm]]&amp;" "&amp;Table24[[#This Row],[Tuyến đường]]&amp;", Phường "&amp;Table24[[#This Row],[Phường]]&amp;", Quận "&amp;Table24[[#This Row],[Quận]]</f>
        <v>Hẻm 105 Phong Phú , Phường 12, Quận 8</v>
      </c>
      <c r="U213" s="36"/>
      <c r="V213" s="56" t="e">
        <f>HYPERLINK("https://www.google.com/maps/search/?api=1&amp;query=" &amp; _xlfn.ENCODEURL(Table24[[#This Row],[Tên hẻm]]), "Link Google Map")</f>
        <v>#VALUE!</v>
      </c>
    </row>
    <row r="214" spans="1:22" ht="47.25" hidden="1">
      <c r="A214" s="11">
        <v>235</v>
      </c>
      <c r="B214" s="16" t="s">
        <v>5142</v>
      </c>
      <c r="C214" s="16" t="s">
        <v>4724</v>
      </c>
      <c r="D214" s="11">
        <v>11</v>
      </c>
      <c r="E214" s="11">
        <v>5</v>
      </c>
      <c r="F214" s="11" t="s">
        <v>5143</v>
      </c>
      <c r="G214" s="17" t="s">
        <v>4772</v>
      </c>
      <c r="H214" s="11"/>
      <c r="I214" s="11"/>
      <c r="J214" s="11" t="s">
        <v>5144</v>
      </c>
      <c r="K214" s="11" t="s">
        <v>5145</v>
      </c>
      <c r="L214" s="11">
        <v>13</v>
      </c>
      <c r="M214" s="31" t="s">
        <v>5146</v>
      </c>
      <c r="N214" s="11"/>
      <c r="O214" s="11"/>
      <c r="P214" s="11" t="s">
        <v>4861</v>
      </c>
      <c r="Q214" s="19"/>
      <c r="R214" s="19"/>
      <c r="S214" s="23" t="str">
        <f>HYPERLINK("https://www.google.com/maps/search/" &amp; Table24[[#This Row],[Tên hẻm]], "Xem trên Google Maps")</f>
        <v>Xem trên Google Maps</v>
      </c>
      <c r="T214" s="16" t="str">
        <f>"Hẻm "&amp;Table24[[#This Row],[Hẻm]]&amp;" "&amp;Table24[[#This Row],[Tuyến đường]]&amp;", Phường "&amp;Table24[[#This Row],[Phường]]&amp;", Quận "&amp;Table24[[#This Row],[Quận]]</f>
        <v>Hẻm Hẻm 423/34 Lạc Long Quân  Lạc Long Quân , Phường 5, Quận 11</v>
      </c>
      <c r="U214" s="36"/>
      <c r="V214" s="56" t="e">
        <f>HYPERLINK("https://www.google.com/maps/search/?api=1&amp;query=" &amp; _xlfn.ENCODEURL(Table24[[#This Row],[Tên hẻm]]), "Link Google Map")</f>
        <v>#VALUE!</v>
      </c>
    </row>
    <row r="215" spans="1:22" ht="47.25" hidden="1">
      <c r="A215" s="11">
        <v>236</v>
      </c>
      <c r="B215" s="16">
        <v>191</v>
      </c>
      <c r="C215" s="16" t="s">
        <v>5147</v>
      </c>
      <c r="D215" s="11">
        <v>8</v>
      </c>
      <c r="E215" s="11">
        <v>12</v>
      </c>
      <c r="F215" s="11" t="s">
        <v>2353</v>
      </c>
      <c r="G215" s="17">
        <v>3</v>
      </c>
      <c r="H215" s="11"/>
      <c r="I215" s="11"/>
      <c r="J215" s="11" t="s">
        <v>5137</v>
      </c>
      <c r="K215" s="11" t="s">
        <v>5148</v>
      </c>
      <c r="L215" s="11">
        <v>4</v>
      </c>
      <c r="M215" s="31" t="s">
        <v>5149</v>
      </c>
      <c r="N215" s="11"/>
      <c r="O215" s="11"/>
      <c r="P215" s="11" t="s">
        <v>4544</v>
      </c>
      <c r="Q215" s="19"/>
      <c r="R215" s="19"/>
      <c r="S215" s="23" t="str">
        <f>HYPERLINK("https://www.google.com/maps/search/" &amp; Table24[[#This Row],[Tên hẻm]], "Xem trên Google Maps")</f>
        <v>Xem trên Google Maps</v>
      </c>
      <c r="T215" s="16" t="str">
        <f>"Hẻm "&amp;Table24[[#This Row],[Hẻm]]&amp;" "&amp;Table24[[#This Row],[Tuyến đường]]&amp;", Phường "&amp;Table24[[#This Row],[Phường]]&amp;", Quận "&amp;Table24[[#This Row],[Quận]]</f>
        <v>Hẻm 191 Cao Xuân Dục , Phường 12, Quận 8</v>
      </c>
      <c r="U215" s="36"/>
      <c r="V215" s="56" t="e">
        <f>HYPERLINK("https://www.google.com/maps/search/?api=1&amp;query=" &amp; _xlfn.ENCODEURL(Table24[[#This Row],[Tên hẻm]]), "Link Google Map")</f>
        <v>#VALUE!</v>
      </c>
    </row>
    <row r="216" spans="1:22" ht="47.25" hidden="1">
      <c r="A216" s="11">
        <v>237</v>
      </c>
      <c r="B216" s="16" t="s">
        <v>5150</v>
      </c>
      <c r="C216" s="16" t="s">
        <v>5151</v>
      </c>
      <c r="D216" s="11">
        <v>11</v>
      </c>
      <c r="E216" s="11">
        <v>5</v>
      </c>
      <c r="F216" s="11" t="s">
        <v>5122</v>
      </c>
      <c r="G216" s="17" t="s">
        <v>4772</v>
      </c>
      <c r="H216" s="11"/>
      <c r="I216" s="11"/>
      <c r="J216" s="11" t="s">
        <v>5152</v>
      </c>
      <c r="K216" s="11" t="s">
        <v>5153</v>
      </c>
      <c r="L216" s="11">
        <v>4</v>
      </c>
      <c r="M216" s="31" t="s">
        <v>5154</v>
      </c>
      <c r="N216" s="11"/>
      <c r="O216" s="11"/>
      <c r="P216" s="11" t="s">
        <v>4861</v>
      </c>
      <c r="Q216" s="19"/>
      <c r="R216" s="19"/>
      <c r="S216" s="23" t="str">
        <f>HYPERLINK("https://www.google.com/maps/search/" &amp; Table24[[#This Row],[Tên hẻm]], "Xem trên Google Maps")</f>
        <v>Xem trên Google Maps</v>
      </c>
      <c r="T216" s="16" t="str">
        <f>"Hẻm "&amp;Table24[[#This Row],[Hẻm]]&amp;" "&amp;Table24[[#This Row],[Tuyến đường]]&amp;", Phường "&amp;Table24[[#This Row],[Phường]]&amp;", Quận "&amp;Table24[[#This Row],[Quận]]</f>
        <v>Hẻm Hẻm 275 Âu cơ  Âu cơ , Phường 5, Quận 11</v>
      </c>
      <c r="U216" s="36"/>
      <c r="V216" s="56" t="e">
        <f>HYPERLINK("https://www.google.com/maps/search/?api=1&amp;query=" &amp; _xlfn.ENCODEURL(Table24[[#This Row],[Tên hẻm]]), "Link Google Map")</f>
        <v>#VALUE!</v>
      </c>
    </row>
    <row r="217" spans="1:22" ht="47.25" hidden="1">
      <c r="A217" s="11">
        <v>238</v>
      </c>
      <c r="B217" s="16" t="s">
        <v>5155</v>
      </c>
      <c r="C217" s="16" t="s">
        <v>5156</v>
      </c>
      <c r="D217" s="11" t="s">
        <v>5157</v>
      </c>
      <c r="E217" s="11" t="s">
        <v>5158</v>
      </c>
      <c r="F217" s="11" t="s">
        <v>5159</v>
      </c>
      <c r="G217" s="17" t="s">
        <v>4892</v>
      </c>
      <c r="H217" s="11"/>
      <c r="I217" s="11"/>
      <c r="J217" s="11" t="s">
        <v>5160</v>
      </c>
      <c r="K217" s="11" t="s">
        <v>5161</v>
      </c>
      <c r="L217" s="11" t="s">
        <v>5162</v>
      </c>
      <c r="M217" s="31" t="s">
        <v>5163</v>
      </c>
      <c r="N217" s="11"/>
      <c r="O217" s="11"/>
      <c r="P217" s="11" t="s">
        <v>5164</v>
      </c>
      <c r="Q217" s="19"/>
      <c r="R217" s="19"/>
      <c r="S217" s="23" t="str">
        <f>HYPERLINK("https://www.google.com/maps/search/" &amp; Table24[[#This Row],[Tên hẻm]], "Xem trên Google Maps")</f>
        <v>Xem trên Google Maps</v>
      </c>
      <c r="T217" s="16" t="str">
        <f>"Hẻm "&amp;Table24[[#This Row],[Hẻm]]&amp;" "&amp;Table24[[#This Row],[Tuyến đường]]&amp;", Phường "&amp;Table24[[#This Row],[Phường]]&amp;", Quận "&amp;Table24[[#This Row],[Quận]]</f>
        <v xml:space="preserve">Hẻm Hẻm 58 lê hồng phong  Lê Hồng Phong , Phường Phường 2, Quận Quận 5 </v>
      </c>
      <c r="U217" s="36"/>
      <c r="V217" s="56" t="e">
        <f>HYPERLINK("https://www.google.com/maps/search/?api=1&amp;query=" &amp; _xlfn.ENCODEURL(Table24[[#This Row],[Tên hẻm]]), "Link Google Map")</f>
        <v>#VALUE!</v>
      </c>
    </row>
    <row r="218" spans="1:22" ht="47.25" hidden="1">
      <c r="A218" s="11">
        <v>239</v>
      </c>
      <c r="B218" s="16" t="s">
        <v>5165</v>
      </c>
      <c r="C218" s="16" t="s">
        <v>5166</v>
      </c>
      <c r="D218" s="11" t="s">
        <v>5157</v>
      </c>
      <c r="E218" s="11" t="s">
        <v>5167</v>
      </c>
      <c r="F218" s="11" t="s">
        <v>1070</v>
      </c>
      <c r="G218" s="17" t="s">
        <v>5168</v>
      </c>
      <c r="H218" s="11"/>
      <c r="I218" s="11"/>
      <c r="J218" s="11" t="s">
        <v>5169</v>
      </c>
      <c r="K218" s="11" t="s">
        <v>5170</v>
      </c>
      <c r="L218" s="11" t="s">
        <v>5171</v>
      </c>
      <c r="M218" s="31" t="s">
        <v>5172</v>
      </c>
      <c r="N218" s="11"/>
      <c r="O218" s="11"/>
      <c r="P218" s="11" t="s">
        <v>5164</v>
      </c>
      <c r="Q218" s="19"/>
      <c r="R218" s="19"/>
      <c r="S218" s="23" t="str">
        <f>HYPERLINK("https://www.google.com/maps/search/" &amp; Table24[[#This Row],[Tên hẻm]], "Xem trên Google Maps")</f>
        <v>Xem trên Google Maps</v>
      </c>
      <c r="T218" s="16" t="str">
        <f>"Hẻm "&amp;Table24[[#This Row],[Hẻm]]&amp;" "&amp;Table24[[#This Row],[Tuyến đường]]&amp;", Phường "&amp;Table24[[#This Row],[Phường]]&amp;", Quận "&amp;Table24[[#This Row],[Quận]]</f>
        <v xml:space="preserve">Hẻm Hẻm 100 an dương vương  An Dương Vương , Phường Phường 9, Quận Quận 5 </v>
      </c>
      <c r="U218" s="36"/>
      <c r="V218" s="56" t="e">
        <f>HYPERLINK("https://www.google.com/maps/search/?api=1&amp;query=" &amp; _xlfn.ENCODEURL(Table24[[#This Row],[Tên hẻm]]), "Link Google Map")</f>
        <v>#VALUE!</v>
      </c>
    </row>
    <row r="219" spans="1:22" ht="47.25" hidden="1">
      <c r="A219" s="11">
        <v>240</v>
      </c>
      <c r="B219" s="16" t="s">
        <v>5173</v>
      </c>
      <c r="C219" s="16" t="s">
        <v>5174</v>
      </c>
      <c r="D219" s="11" t="s">
        <v>5157</v>
      </c>
      <c r="E219" s="11" t="s">
        <v>5175</v>
      </c>
      <c r="F219" s="11" t="s">
        <v>5176</v>
      </c>
      <c r="G219" s="17" t="s">
        <v>4772</v>
      </c>
      <c r="H219" s="11"/>
      <c r="I219" s="11"/>
      <c r="J219" s="11" t="s">
        <v>5177</v>
      </c>
      <c r="K219" s="11" t="s">
        <v>5178</v>
      </c>
      <c r="L219" s="11" t="s">
        <v>5179</v>
      </c>
      <c r="M219" s="31" t="s">
        <v>5180</v>
      </c>
      <c r="N219" s="11"/>
      <c r="O219" s="11"/>
      <c r="P219" s="11" t="s">
        <v>5164</v>
      </c>
      <c r="Q219" s="19"/>
      <c r="R219" s="19"/>
      <c r="S219" s="23" t="str">
        <f>HYPERLINK("https://www.google.com/maps/search/" &amp; Table24[[#This Row],[Tên hẻm]], "Xem trên Google Maps")</f>
        <v>Xem trên Google Maps</v>
      </c>
      <c r="T219" s="16" t="str">
        <f>"Hẻm "&amp;Table24[[#This Row],[Hẻm]]&amp;" "&amp;Table24[[#This Row],[Tuyến đường]]&amp;", Phường "&amp;Table24[[#This Row],[Phường]]&amp;", Quận "&amp;Table24[[#This Row],[Quận]]</f>
        <v xml:space="preserve">Hẻm Hẻm 480 trần hưng đạo  Trần Hưng Đạo , Phường Phường 14, Quận Quận 5 </v>
      </c>
      <c r="U219" s="36"/>
      <c r="V219" s="56" t="e">
        <f>HYPERLINK("https://www.google.com/maps/search/?api=1&amp;query=" &amp; _xlfn.ENCODEURL(Table24[[#This Row],[Tên hẻm]]), "Link Google Map")</f>
        <v>#VALUE!</v>
      </c>
    </row>
    <row r="220" spans="1:22" ht="47.25" hidden="1">
      <c r="A220" s="11">
        <v>241</v>
      </c>
      <c r="B220" s="16" t="s">
        <v>5181</v>
      </c>
      <c r="C220" s="16" t="s">
        <v>5182</v>
      </c>
      <c r="D220" s="11">
        <v>11</v>
      </c>
      <c r="E220" s="11">
        <v>9</v>
      </c>
      <c r="F220" s="11" t="s">
        <v>3955</v>
      </c>
      <c r="G220" s="17">
        <v>3.5</v>
      </c>
      <c r="H220" s="11"/>
      <c r="I220" s="11"/>
      <c r="J220" s="11" t="s">
        <v>5183</v>
      </c>
      <c r="K220" s="11" t="s">
        <v>4187</v>
      </c>
      <c r="L220" s="11">
        <v>5</v>
      </c>
      <c r="M220" s="31" t="s">
        <v>5184</v>
      </c>
      <c r="N220" s="11"/>
      <c r="O220" s="11"/>
      <c r="P220" s="11" t="s">
        <v>5185</v>
      </c>
      <c r="Q220" s="19"/>
      <c r="R220" s="19"/>
      <c r="S220" s="23" t="str">
        <f>HYPERLINK("https://www.google.com/maps/search/" &amp; Table24[[#This Row],[Tên hẻm]], "Xem trên Google Maps")</f>
        <v>Xem trên Google Maps</v>
      </c>
      <c r="T220" s="16" t="str">
        <f>"Hẻm "&amp;Table24[[#This Row],[Hẻm]]&amp;" "&amp;Table24[[#This Row],[Tuyến đường]]&amp;", Phường "&amp;Table24[[#This Row],[Phường]]&amp;", Quận "&amp;Table24[[#This Row],[Quận]]</f>
        <v>Hẻm 254 Thái Phiên thái Phiên, Phường 9, Quận 11</v>
      </c>
      <c r="U220" s="36"/>
      <c r="V220" s="56" t="e">
        <f>HYPERLINK("https://www.google.com/maps/search/?api=1&amp;query=" &amp; _xlfn.ENCODEURL(Table24[[#This Row],[Tên hẻm]]), "Link Google Map")</f>
        <v>#VALUE!</v>
      </c>
    </row>
    <row r="221" spans="1:22" ht="47.25" hidden="1">
      <c r="A221" s="11">
        <v>242</v>
      </c>
      <c r="B221" s="16" t="s">
        <v>5186</v>
      </c>
      <c r="C221" s="16" t="s">
        <v>5187</v>
      </c>
      <c r="D221" s="11">
        <v>11</v>
      </c>
      <c r="E221" s="11">
        <v>9</v>
      </c>
      <c r="F221" s="11" t="s">
        <v>5188</v>
      </c>
      <c r="G221" s="17">
        <v>3</v>
      </c>
      <c r="H221" s="11"/>
      <c r="I221" s="11"/>
      <c r="J221" s="11" t="s">
        <v>5187</v>
      </c>
      <c r="K221" s="11" t="s">
        <v>5189</v>
      </c>
      <c r="L221" s="11">
        <v>8</v>
      </c>
      <c r="M221" s="31" t="s">
        <v>5190</v>
      </c>
      <c r="N221" s="11"/>
      <c r="O221" s="11"/>
      <c r="P221" s="11" t="s">
        <v>5191</v>
      </c>
      <c r="Q221" s="19"/>
      <c r="R221" s="19"/>
      <c r="S221" s="23" t="str">
        <f>HYPERLINK("https://www.google.com/maps/search/" &amp; Table24[[#This Row],[Tên hẻm]], "Xem trên Google Maps")</f>
        <v>Xem trên Google Maps</v>
      </c>
      <c r="T221" s="16" t="str">
        <f>"Hẻm "&amp;Table24[[#This Row],[Hẻm]]&amp;" "&amp;Table24[[#This Row],[Tuyến đường]]&amp;", Phường "&amp;Table24[[#This Row],[Phường]]&amp;", Quận "&amp;Table24[[#This Row],[Quận]]</f>
        <v>Hẻm 300 thái phiên  Thái phiên , Phường 9, Quận 11</v>
      </c>
      <c r="U221" s="36"/>
      <c r="V221" s="56" t="e">
        <f>HYPERLINK("https://www.google.com/maps/search/?api=1&amp;query=" &amp; _xlfn.ENCODEURL(Table24[[#This Row],[Tên hẻm]]), "Link Google Map")</f>
        <v>#VALUE!</v>
      </c>
    </row>
    <row r="222" spans="1:22" ht="47.25" hidden="1">
      <c r="A222" s="11">
        <v>243</v>
      </c>
      <c r="B222" s="16" t="s">
        <v>5192</v>
      </c>
      <c r="C222" s="16" t="s">
        <v>4724</v>
      </c>
      <c r="D222" s="11">
        <v>11</v>
      </c>
      <c r="E222" s="11">
        <v>1</v>
      </c>
      <c r="F222" s="11" t="s">
        <v>3893</v>
      </c>
      <c r="G222" s="17" t="s">
        <v>4993</v>
      </c>
      <c r="H222" s="11"/>
      <c r="I222" s="11"/>
      <c r="J222" s="11" t="s">
        <v>4724</v>
      </c>
      <c r="K222" s="11" t="s">
        <v>5193</v>
      </c>
      <c r="L222" s="11">
        <v>4</v>
      </c>
      <c r="M222" s="31" t="s">
        <v>5194</v>
      </c>
      <c r="N222" s="11"/>
      <c r="O222" s="11"/>
      <c r="P222" s="11" t="s">
        <v>5191</v>
      </c>
      <c r="Q222" s="19"/>
      <c r="R222" s="19"/>
      <c r="S222" s="23" t="str">
        <f>HYPERLINK("https://www.google.com/maps/search/" &amp; Table24[[#This Row],[Tên hẻm]], "Xem trên Google Maps")</f>
        <v>Xem trên Google Maps</v>
      </c>
      <c r="T222" s="16" t="str">
        <f>"Hẻm "&amp;Table24[[#This Row],[Hẻm]]&amp;" "&amp;Table24[[#This Row],[Tuyến đường]]&amp;", Phường "&amp;Table24[[#This Row],[Phường]]&amp;", Quận "&amp;Table24[[#This Row],[Quận]]</f>
        <v>Hẻm 47 Lạc Long Quân  Lạc Long Quân , Phường 1, Quận 11</v>
      </c>
      <c r="U222" s="36"/>
      <c r="V222" s="56" t="e">
        <f>HYPERLINK("https://www.google.com/maps/search/?api=1&amp;query=" &amp; _xlfn.ENCODEURL(Table24[[#This Row],[Tên hẻm]]), "Link Google Map")</f>
        <v>#VALUE!</v>
      </c>
    </row>
    <row r="223" spans="1:22" ht="47.25" hidden="1">
      <c r="A223" s="11">
        <v>244</v>
      </c>
      <c r="B223" s="16">
        <v>159</v>
      </c>
      <c r="C223" s="16" t="s">
        <v>4724</v>
      </c>
      <c r="D223" s="11">
        <v>11</v>
      </c>
      <c r="E223" s="11">
        <v>1</v>
      </c>
      <c r="F223" s="11" t="s">
        <v>3862</v>
      </c>
      <c r="G223" s="17">
        <v>4</v>
      </c>
      <c r="H223" s="11"/>
      <c r="I223" s="11"/>
      <c r="J223" s="11" t="s">
        <v>4724</v>
      </c>
      <c r="K223" s="11" t="s">
        <v>5195</v>
      </c>
      <c r="L223" s="11">
        <v>1</v>
      </c>
      <c r="M223" s="31" t="s">
        <v>5196</v>
      </c>
      <c r="N223" s="11"/>
      <c r="O223" s="11"/>
      <c r="P223" s="11" t="s">
        <v>5185</v>
      </c>
      <c r="Q223" s="19"/>
      <c r="R223" s="19"/>
      <c r="S223" s="23" t="str">
        <f>HYPERLINK("https://www.google.com/maps/search/" &amp; Table24[[#This Row],[Tên hẻm]], "Xem trên Google Maps")</f>
        <v>Xem trên Google Maps</v>
      </c>
      <c r="T223" s="16" t="str">
        <f>"Hẻm "&amp;Table24[[#This Row],[Hẻm]]&amp;" "&amp;Table24[[#This Row],[Tuyến đường]]&amp;", Phường "&amp;Table24[[#This Row],[Phường]]&amp;", Quận "&amp;Table24[[#This Row],[Quận]]</f>
        <v>Hẻm 159 Lạc Long Quân , Phường 1, Quận 11</v>
      </c>
      <c r="U223" s="36"/>
      <c r="V223" s="56" t="e">
        <f>HYPERLINK("https://www.google.com/maps/search/?api=1&amp;query=" &amp; _xlfn.ENCODEURL(Table24[[#This Row],[Tên hẻm]]), "Link Google Map")</f>
        <v>#VALUE!</v>
      </c>
    </row>
    <row r="224" spans="1:22" ht="47.25" hidden="1">
      <c r="A224" s="11">
        <v>245</v>
      </c>
      <c r="B224" s="16">
        <v>39</v>
      </c>
      <c r="C224" s="16" t="s">
        <v>4760</v>
      </c>
      <c r="D224" s="11">
        <v>11</v>
      </c>
      <c r="E224" s="11">
        <v>1</v>
      </c>
      <c r="F224" s="11" t="s">
        <v>3890</v>
      </c>
      <c r="G224" s="17" t="s">
        <v>4367</v>
      </c>
      <c r="H224" s="11"/>
      <c r="I224" s="11"/>
      <c r="J224" s="11" t="s">
        <v>253</v>
      </c>
      <c r="K224" s="11" t="s">
        <v>5195</v>
      </c>
      <c r="L224" s="11">
        <v>8</v>
      </c>
      <c r="M224" s="31" t="s">
        <v>5197</v>
      </c>
      <c r="N224" s="11"/>
      <c r="O224" s="11"/>
      <c r="P224" s="11" t="s">
        <v>5185</v>
      </c>
      <c r="Q224" s="19"/>
      <c r="R224" s="19"/>
      <c r="S224" s="23" t="str">
        <f>HYPERLINK("https://www.google.com/maps/search/" &amp; Table24[[#This Row],[Tên hẻm]], "Xem trên Google Maps")</f>
        <v>Xem trên Google Maps</v>
      </c>
      <c r="T224" s="16" t="str">
        <f>"Hẻm "&amp;Table24[[#This Row],[Hẻm]]&amp;" "&amp;Table24[[#This Row],[Tuyến đường]]&amp;", Phường "&amp;Table24[[#This Row],[Phường]]&amp;", Quận "&amp;Table24[[#This Row],[Quận]]</f>
        <v>Hẻm 39 Phú Thọ , Phường 1, Quận 11</v>
      </c>
      <c r="U224" s="36"/>
      <c r="V224" s="56" t="e">
        <f>HYPERLINK("https://www.google.com/maps/search/?api=1&amp;query=" &amp; _xlfn.ENCODEURL(Table24[[#This Row],[Tên hẻm]]), "Link Google Map")</f>
        <v>#VALUE!</v>
      </c>
    </row>
    <row r="225" spans="1:22" ht="47.25" hidden="1">
      <c r="A225" s="11">
        <v>246</v>
      </c>
      <c r="B225" s="16">
        <v>232</v>
      </c>
      <c r="C225" s="16" t="s">
        <v>4728</v>
      </c>
      <c r="D225" s="11">
        <v>11</v>
      </c>
      <c r="E225" s="11">
        <v>2</v>
      </c>
      <c r="F225" s="11" t="s">
        <v>3836</v>
      </c>
      <c r="G225" s="17">
        <v>3</v>
      </c>
      <c r="H225" s="11"/>
      <c r="I225" s="11"/>
      <c r="J225" s="11" t="s">
        <v>5198</v>
      </c>
      <c r="K225" s="11" t="s">
        <v>5199</v>
      </c>
      <c r="L225" s="11">
        <v>3</v>
      </c>
      <c r="M225" s="31" t="s">
        <v>5200</v>
      </c>
      <c r="N225" s="11"/>
      <c r="O225" s="11"/>
      <c r="P225" s="11" t="s">
        <v>5185</v>
      </c>
      <c r="Q225" s="19"/>
      <c r="R225" s="19"/>
      <c r="S225" s="23" t="str">
        <f>HYPERLINK("https://www.google.com/maps/search/" &amp; Table24[[#This Row],[Tên hẻm]], "Xem trên Google Maps")</f>
        <v>Xem trên Google Maps</v>
      </c>
      <c r="T225" s="16" t="str">
        <f>"Hẻm "&amp;Table24[[#This Row],[Hẻm]]&amp;" "&amp;Table24[[#This Row],[Tuyến đường]]&amp;", Phường "&amp;Table24[[#This Row],[Phường]]&amp;", Quận "&amp;Table24[[#This Row],[Quận]]</f>
        <v>Hẻm 232 Minh Phụng , Phường 2, Quận 11</v>
      </c>
      <c r="U225" s="36"/>
      <c r="V225" s="56" t="e">
        <f>HYPERLINK("https://www.google.com/maps/search/?api=1&amp;query=" &amp; _xlfn.ENCODEURL(Table24[[#This Row],[Tên hẻm]]), "Link Google Map")</f>
        <v>#VALUE!</v>
      </c>
    </row>
    <row r="226" spans="1:22" ht="47.25" hidden="1">
      <c r="A226" s="11">
        <v>247</v>
      </c>
      <c r="B226" s="16">
        <v>73</v>
      </c>
      <c r="C226" s="16" t="s">
        <v>4855</v>
      </c>
      <c r="D226" s="11">
        <v>11</v>
      </c>
      <c r="E226" s="11">
        <v>12</v>
      </c>
      <c r="F226" s="11" t="s">
        <v>4092</v>
      </c>
      <c r="G226" s="17">
        <v>4</v>
      </c>
      <c r="H226" s="11"/>
      <c r="I226" s="11"/>
      <c r="J226" s="11" t="s">
        <v>4855</v>
      </c>
      <c r="K226" s="11" t="s">
        <v>5201</v>
      </c>
      <c r="L226" s="11">
        <v>5</v>
      </c>
      <c r="M226" s="31" t="s">
        <v>5202</v>
      </c>
      <c r="N226" s="11"/>
      <c r="O226" s="11"/>
      <c r="P226" s="11" t="s">
        <v>5185</v>
      </c>
      <c r="Q226" s="19"/>
      <c r="R226" s="19"/>
      <c r="S226" s="23" t="str">
        <f>HYPERLINK("https://www.google.com/maps/search/" &amp; Table24[[#This Row],[Tên hẻm]], "Xem trên Google Maps")</f>
        <v>Xem trên Google Maps</v>
      </c>
      <c r="T226" s="16" t="str">
        <f>"Hẻm "&amp;Table24[[#This Row],[Hẻm]]&amp;" "&amp;Table24[[#This Row],[Tuyến đường]]&amp;", Phường "&amp;Table24[[#This Row],[Phường]]&amp;", Quận "&amp;Table24[[#This Row],[Quận]]</f>
        <v>Hẻm 73 Lãnh Binh Thăng , Phường 12, Quận 11</v>
      </c>
      <c r="U226" s="36"/>
      <c r="V226" s="56" t="e">
        <f>HYPERLINK("https://www.google.com/maps/search/?api=1&amp;query=" &amp; _xlfn.ENCODEURL(Table24[[#This Row],[Tên hẻm]]), "Link Google Map")</f>
        <v>#VALUE!</v>
      </c>
    </row>
    <row r="227" spans="1:22" ht="47.25" hidden="1">
      <c r="A227" s="11">
        <v>248</v>
      </c>
      <c r="B227" s="16">
        <v>59</v>
      </c>
      <c r="C227" s="16" t="s">
        <v>4855</v>
      </c>
      <c r="D227" s="11">
        <v>11</v>
      </c>
      <c r="E227" s="11">
        <v>12</v>
      </c>
      <c r="F227" s="11" t="s">
        <v>4092</v>
      </c>
      <c r="G227" s="17">
        <v>3</v>
      </c>
      <c r="H227" s="11"/>
      <c r="I227" s="11"/>
      <c r="J227" s="11" t="s">
        <v>4855</v>
      </c>
      <c r="K227" s="11" t="s">
        <v>5203</v>
      </c>
      <c r="L227" s="11">
        <v>8</v>
      </c>
      <c r="M227" s="31" t="s">
        <v>5204</v>
      </c>
      <c r="N227" s="11"/>
      <c r="O227" s="11"/>
      <c r="P227" s="11" t="s">
        <v>5191</v>
      </c>
      <c r="Q227" s="19"/>
      <c r="R227" s="19"/>
      <c r="S227" s="23" t="str">
        <f>HYPERLINK("https://www.google.com/maps/search/" &amp; Table24[[#This Row],[Tên hẻm]], "Xem trên Google Maps")</f>
        <v>Xem trên Google Maps</v>
      </c>
      <c r="T227" s="16" t="str">
        <f>"Hẻm "&amp;Table24[[#This Row],[Hẻm]]&amp;" "&amp;Table24[[#This Row],[Tuyến đường]]&amp;", Phường "&amp;Table24[[#This Row],[Phường]]&amp;", Quận "&amp;Table24[[#This Row],[Quận]]</f>
        <v>Hẻm 59 Lãnh Binh Thăng , Phường 12, Quận 11</v>
      </c>
      <c r="U227" s="36"/>
      <c r="V227" s="56" t="e">
        <f>HYPERLINK("https://www.google.com/maps/search/?api=1&amp;query=" &amp; _xlfn.ENCODEURL(Table24[[#This Row],[Tên hẻm]]), "Link Google Map")</f>
        <v>#VALUE!</v>
      </c>
    </row>
    <row r="228" spans="1:22" ht="47.25" hidden="1">
      <c r="A228" s="11">
        <v>249</v>
      </c>
      <c r="B228" s="16">
        <v>194</v>
      </c>
      <c r="C228" s="16" t="s">
        <v>4724</v>
      </c>
      <c r="D228" s="11">
        <v>11</v>
      </c>
      <c r="E228" s="11">
        <v>10</v>
      </c>
      <c r="F228" s="11" t="s">
        <v>4019</v>
      </c>
      <c r="G228" s="17">
        <v>4</v>
      </c>
      <c r="H228" s="11"/>
      <c r="I228" s="11"/>
      <c r="J228" s="11" t="s">
        <v>4724</v>
      </c>
      <c r="K228" s="11" t="s">
        <v>5205</v>
      </c>
      <c r="L228" s="11">
        <v>4</v>
      </c>
      <c r="M228" s="31" t="s">
        <v>5206</v>
      </c>
      <c r="N228" s="11"/>
      <c r="O228" s="11"/>
      <c r="P228" s="11" t="s">
        <v>5191</v>
      </c>
      <c r="Q228" s="19"/>
      <c r="R228" s="19"/>
      <c r="S228" s="23" t="str">
        <f>HYPERLINK("https://www.google.com/maps/search/" &amp; Table24[[#This Row],[Tên hẻm]], "Xem trên Google Maps")</f>
        <v>Xem trên Google Maps</v>
      </c>
      <c r="T228" s="16" t="str">
        <f>"Hẻm "&amp;Table24[[#This Row],[Hẻm]]&amp;" "&amp;Table24[[#This Row],[Tuyến đường]]&amp;", Phường "&amp;Table24[[#This Row],[Phường]]&amp;", Quận "&amp;Table24[[#This Row],[Quận]]</f>
        <v>Hẻm 194 Lạc Long Quân , Phường 10, Quận 11</v>
      </c>
      <c r="U228" s="36"/>
      <c r="V228" s="56" t="e">
        <f>HYPERLINK("https://www.google.com/maps/search/?api=1&amp;query=" &amp; _xlfn.ENCODEURL(Table24[[#This Row],[Tên hẻm]]), "Link Google Map")</f>
        <v>#VALUE!</v>
      </c>
    </row>
    <row r="229" spans="1:22" ht="47.25" hidden="1">
      <c r="A229" s="11">
        <v>250</v>
      </c>
      <c r="B229" s="16">
        <v>168</v>
      </c>
      <c r="C229" s="16" t="s">
        <v>4724</v>
      </c>
      <c r="D229" s="11">
        <v>11</v>
      </c>
      <c r="E229" s="11">
        <v>3</v>
      </c>
      <c r="F229" s="11" t="s">
        <v>3870</v>
      </c>
      <c r="G229" s="17">
        <v>4</v>
      </c>
      <c r="H229" s="11"/>
      <c r="I229" s="11"/>
      <c r="J229" s="11" t="s">
        <v>4724</v>
      </c>
      <c r="K229" s="11" t="s">
        <v>5195</v>
      </c>
      <c r="L229" s="11">
        <v>5</v>
      </c>
      <c r="M229" s="31" t="s">
        <v>5207</v>
      </c>
      <c r="N229" s="11"/>
      <c r="O229" s="11"/>
      <c r="P229" s="11" t="s">
        <v>5191</v>
      </c>
      <c r="Q229" s="19"/>
      <c r="R229" s="19"/>
      <c r="S229" s="23" t="str">
        <f>HYPERLINK("https://www.google.com/maps/search/" &amp; Table24[[#This Row],[Tên hẻm]], "Xem trên Google Maps")</f>
        <v>Xem trên Google Maps</v>
      </c>
      <c r="T229" s="16" t="str">
        <f>"Hẻm "&amp;Table24[[#This Row],[Hẻm]]&amp;" "&amp;Table24[[#This Row],[Tuyến đường]]&amp;", Phường "&amp;Table24[[#This Row],[Phường]]&amp;", Quận "&amp;Table24[[#This Row],[Quận]]</f>
        <v>Hẻm 168 Lạc Long Quân , Phường 3, Quận 11</v>
      </c>
      <c r="U229" s="36"/>
      <c r="V229" s="56" t="e">
        <f>HYPERLINK("https://www.google.com/maps/search/?api=1&amp;query=" &amp; _xlfn.ENCODEURL(Table24[[#This Row],[Tên hẻm]]), "Link Google Map")</f>
        <v>#VALUE!</v>
      </c>
    </row>
    <row r="230" spans="1:22" ht="47.25" hidden="1">
      <c r="A230" s="10">
        <v>251</v>
      </c>
      <c r="B230" s="14">
        <v>62</v>
      </c>
      <c r="C230" s="14" t="s">
        <v>5208</v>
      </c>
      <c r="D230" s="10">
        <v>11</v>
      </c>
      <c r="E230" s="10">
        <v>8</v>
      </c>
      <c r="F230" s="10" t="s">
        <v>3921</v>
      </c>
      <c r="G230" s="15" t="s">
        <v>5209</v>
      </c>
      <c r="H230" s="10"/>
      <c r="I230" s="10"/>
      <c r="J230" s="10" t="s">
        <v>5208</v>
      </c>
      <c r="K230" s="10" t="s">
        <v>5195</v>
      </c>
      <c r="L230" s="10">
        <v>4</v>
      </c>
      <c r="M230" s="30" t="s">
        <v>5210</v>
      </c>
      <c r="N230" s="10"/>
      <c r="O230" s="10"/>
      <c r="P230" s="10" t="s">
        <v>5191</v>
      </c>
      <c r="Q230" s="18"/>
      <c r="R230" s="18"/>
      <c r="S230" s="71" t="str">
        <f>HYPERLINK("https://www.google.com/maps/search/" &amp; Table24[[#This Row],[Tên hẻm]], "Xem trên Google Maps")</f>
        <v>Xem trên Google Maps</v>
      </c>
      <c r="T230" s="14" t="str">
        <f>"Hẻm "&amp;Table24[[#This Row],[Hẻm]]&amp;" "&amp;Table24[[#This Row],[Tuyến đường]]&amp;", Phường "&amp;Table24[[#This Row],[Phường]]&amp;", Quận "&amp;Table24[[#This Row],[Quận]]</f>
        <v>Hẻm 62 Xóm Đất , Phường 8, Quận 11</v>
      </c>
      <c r="U230" s="175"/>
      <c r="V230" s="56" t="e">
        <f>HYPERLINK("https://www.google.com/maps/search/?api=1&amp;query=" &amp; _xlfn.ENCODEURL(Table24[[#This Row],[Tên hẻm]]), "Link Google Map")</f>
        <v>#VALUE!</v>
      </c>
    </row>
    <row r="231" spans="1:22" ht="47.25" hidden="1">
      <c r="A231" s="11">
        <v>252</v>
      </c>
      <c r="B231" s="16">
        <v>62</v>
      </c>
      <c r="C231" s="16" t="s">
        <v>5208</v>
      </c>
      <c r="D231" s="11">
        <v>11</v>
      </c>
      <c r="E231" s="11">
        <v>8</v>
      </c>
      <c r="F231" s="11" t="s">
        <v>3921</v>
      </c>
      <c r="G231" s="17" t="s">
        <v>5209</v>
      </c>
      <c r="H231" s="11"/>
      <c r="I231" s="11"/>
      <c r="J231" s="11" t="s">
        <v>5208</v>
      </c>
      <c r="K231" s="11" t="s">
        <v>5195</v>
      </c>
      <c r="L231" s="11">
        <v>4</v>
      </c>
      <c r="M231" s="31" t="s">
        <v>5211</v>
      </c>
      <c r="N231" s="11"/>
      <c r="O231" s="11"/>
      <c r="P231" s="11" t="s">
        <v>5191</v>
      </c>
      <c r="Q231" s="19"/>
      <c r="R231" s="19"/>
      <c r="S231" s="23" t="str">
        <f>HYPERLINK("https://www.google.com/maps/search/" &amp; Table24[[#This Row],[Tên hẻm]], "Xem trên Google Maps")</f>
        <v>Xem trên Google Maps</v>
      </c>
      <c r="T231" s="16" t="str">
        <f>"Hẻm "&amp;Table24[[#This Row],[Hẻm]]&amp;" "&amp;Table24[[#This Row],[Tuyến đường]]&amp;", Phường "&amp;Table24[[#This Row],[Phường]]&amp;", Quận "&amp;Table24[[#This Row],[Quận]]</f>
        <v>Hẻm 62 Xóm Đất , Phường 8, Quận 11</v>
      </c>
      <c r="U231" s="36"/>
      <c r="V231" s="56" t="e">
        <f>HYPERLINK("https://www.google.com/maps/search/?api=1&amp;query=" &amp; _xlfn.ENCODEURL(Table24[[#This Row],[Tên hẻm]]), "Link Google Map")</f>
        <v>#VALUE!</v>
      </c>
    </row>
    <row r="232" spans="1:22" ht="47.25" hidden="1">
      <c r="A232" s="11">
        <v>253</v>
      </c>
      <c r="B232" s="16">
        <v>15</v>
      </c>
      <c r="C232" s="16" t="s">
        <v>5212</v>
      </c>
      <c r="D232" s="11">
        <v>11</v>
      </c>
      <c r="E232" s="11">
        <v>3</v>
      </c>
      <c r="F232" s="11" t="s">
        <v>5213</v>
      </c>
      <c r="G232" s="17">
        <v>4</v>
      </c>
      <c r="H232" s="11"/>
      <c r="I232" s="11"/>
      <c r="J232" s="11" t="s">
        <v>5214</v>
      </c>
      <c r="K232" s="11" t="s">
        <v>5215</v>
      </c>
      <c r="L232" s="11">
        <v>36</v>
      </c>
      <c r="M232" s="31" t="s">
        <v>5216</v>
      </c>
      <c r="N232" s="11"/>
      <c r="O232" s="11"/>
      <c r="P232" s="11" t="s">
        <v>5217</v>
      </c>
      <c r="Q232" s="19"/>
      <c r="R232" s="19"/>
      <c r="S232" s="23" t="str">
        <f>HYPERLINK("https://www.google.com/maps/search/" &amp; Table24[[#This Row],[Tên hẻm]], "Xem trên Google Maps")</f>
        <v>Xem trên Google Maps</v>
      </c>
      <c r="T232" s="16" t="str">
        <f>"Hẻm "&amp;Table24[[#This Row],[Hẻm]]&amp;" "&amp;Table24[[#This Row],[Tuyến đường]]&amp;", Phường "&amp;Table24[[#This Row],[Phường]]&amp;", Quận "&amp;Table24[[#This Row],[Quận]]</f>
        <v>Hẻm 15 Hoà Bình, Phường 3, Quận 11</v>
      </c>
      <c r="U232" s="36"/>
      <c r="V232" s="56" t="e">
        <f>HYPERLINK("https://www.google.com/maps/search/?api=1&amp;query=" &amp; _xlfn.ENCODEURL(Table24[[#This Row],[Tên hẻm]]), "Link Google Map")</f>
        <v>#VALUE!</v>
      </c>
    </row>
    <row r="233" spans="1:22" ht="47.25" hidden="1">
      <c r="A233" s="11">
        <v>254</v>
      </c>
      <c r="B233" s="16" t="s">
        <v>5218</v>
      </c>
      <c r="C233" s="16" t="s">
        <v>5218</v>
      </c>
      <c r="D233" s="11" t="s">
        <v>5219</v>
      </c>
      <c r="E233" s="11">
        <v>1</v>
      </c>
      <c r="F233" s="11" t="s">
        <v>5220</v>
      </c>
      <c r="G233" s="17">
        <v>5</v>
      </c>
      <c r="H233" s="11"/>
      <c r="I233" s="11"/>
      <c r="J233" s="11" t="s">
        <v>5221</v>
      </c>
      <c r="K233" s="11" t="s">
        <v>5222</v>
      </c>
      <c r="L233" s="11">
        <v>5</v>
      </c>
      <c r="M233" s="31" t="s">
        <v>5223</v>
      </c>
      <c r="N233" s="11"/>
      <c r="O233" s="11"/>
      <c r="P233" s="11" t="s">
        <v>5224</v>
      </c>
      <c r="Q233" s="19"/>
      <c r="R233" s="19"/>
      <c r="S233" s="23" t="str">
        <f>HYPERLINK("https://www.google.com/maps/search/" &amp; Table24[[#This Row],[Tên hẻm]], "Xem trên Google Maps")</f>
        <v>Xem trên Google Maps</v>
      </c>
      <c r="T233" s="16" t="str">
        <f>"Hẻm "&amp;Table24[[#This Row],[Hẻm]]&amp;" "&amp;Table24[[#This Row],[Tuyến đường]]&amp;", Phường "&amp;Table24[[#This Row],[Phường]]&amp;", Quận "&amp;Table24[[#This Row],[Quận]]</f>
        <v xml:space="preserve">Hẻm Đường 16 kdc miếu nổi  Đường 16 kdc miếu nổi , Phường 1, Quận Bình thạnh </v>
      </c>
      <c r="U233" s="36"/>
      <c r="V233" s="56" t="e">
        <f>HYPERLINK("https://www.google.com/maps/search/?api=1&amp;query=" &amp; _xlfn.ENCODEURL(Table24[[#This Row],[Tên hẻm]]), "Link Google Map")</f>
        <v>#VALUE!</v>
      </c>
    </row>
    <row r="234" spans="1:22" ht="47.25" hidden="1">
      <c r="A234" s="11">
        <v>255</v>
      </c>
      <c r="B234" s="16">
        <v>59</v>
      </c>
      <c r="C234" s="16" t="s">
        <v>5225</v>
      </c>
      <c r="D234" s="11">
        <v>1</v>
      </c>
      <c r="E234" s="11" t="s">
        <v>5226</v>
      </c>
      <c r="F234" s="11" t="s">
        <v>5227</v>
      </c>
      <c r="G234" s="17">
        <v>5</v>
      </c>
      <c r="H234" s="11"/>
      <c r="I234" s="11"/>
      <c r="J234" s="11" t="s">
        <v>5228</v>
      </c>
      <c r="K234" s="11" t="s">
        <v>5229</v>
      </c>
      <c r="L234" s="11">
        <v>8</v>
      </c>
      <c r="M234" s="31" t="s">
        <v>5230</v>
      </c>
      <c r="N234" s="11"/>
      <c r="O234" s="11"/>
      <c r="P234" s="11" t="s">
        <v>5231</v>
      </c>
      <c r="Q234" s="19"/>
      <c r="R234" s="19"/>
      <c r="S234" s="23" t="str">
        <f>HYPERLINK("https://www.google.com/maps/search/" &amp; Table24[[#This Row],[Tên hẻm]], "Xem trên Google Maps")</f>
        <v>Xem trên Google Maps</v>
      </c>
      <c r="T234" s="16" t="str">
        <f>"Hẻm "&amp;Table24[[#This Row],[Hẻm]]&amp;" "&amp;Table24[[#This Row],[Tuyến đường]]&amp;", Phường "&amp;Table24[[#This Row],[Phường]]&amp;", Quận "&amp;Table24[[#This Row],[Quận]]</f>
        <v>Hẻm 59 Phạm Viết Chánh, Phường NGUYỄN CƯ TRINH, Quận 1</v>
      </c>
      <c r="U234" s="36"/>
      <c r="V234" s="56" t="e">
        <f>HYPERLINK("https://www.google.com/maps/search/?api=1&amp;query=" &amp; _xlfn.ENCODEURL(Table24[[#This Row],[Tên hẻm]]), "Link Google Map")</f>
        <v>#VALUE!</v>
      </c>
    </row>
    <row r="235" spans="1:22" ht="47.25" hidden="1">
      <c r="A235" s="11">
        <v>256</v>
      </c>
      <c r="B235" s="16" t="s">
        <v>5232</v>
      </c>
      <c r="C235" s="16" t="s">
        <v>5233</v>
      </c>
      <c r="D235" s="11" t="s">
        <v>5219</v>
      </c>
      <c r="E235" s="11">
        <v>1</v>
      </c>
      <c r="F235" s="11" t="s">
        <v>5234</v>
      </c>
      <c r="G235" s="17">
        <v>3</v>
      </c>
      <c r="H235" s="11"/>
      <c r="I235" s="11"/>
      <c r="J235" s="11" t="s">
        <v>5235</v>
      </c>
      <c r="K235" s="11" t="s">
        <v>5236</v>
      </c>
      <c r="L235" s="11">
        <v>1</v>
      </c>
      <c r="M235" s="31" t="s">
        <v>5237</v>
      </c>
      <c r="N235" s="11"/>
      <c r="O235" s="11"/>
      <c r="P235" s="11" t="s">
        <v>5224</v>
      </c>
      <c r="Q235" s="19"/>
      <c r="R235" s="19"/>
      <c r="S235" s="23" t="str">
        <f>HYPERLINK("https://www.google.com/maps/search/" &amp; Table24[[#This Row],[Tên hẻm]], "Xem trên Google Maps")</f>
        <v>Xem trên Google Maps</v>
      </c>
      <c r="T235" s="16" t="str">
        <f>"Hẻm "&amp;Table24[[#This Row],[Hẻm]]&amp;" "&amp;Table24[[#This Row],[Tuyến đường]]&amp;", Phường "&amp;Table24[[#This Row],[Phường]]&amp;", Quận "&amp;Table24[[#This Row],[Quận]]</f>
        <v xml:space="preserve">Hẻm Hẻm 33 vạn kiếp Hẻm 33 vạn kiếp , Phường 1, Quận Bình thạnh </v>
      </c>
      <c r="U235" s="36"/>
      <c r="V235" s="56" t="e">
        <f>HYPERLINK("https://www.google.com/maps/search/?api=1&amp;query=" &amp; _xlfn.ENCODEURL(Table24[[#This Row],[Tên hẻm]]), "Link Google Map")</f>
        <v>#VALUE!</v>
      </c>
    </row>
    <row r="236" spans="1:22" ht="47.25" hidden="1">
      <c r="A236" s="11">
        <v>257</v>
      </c>
      <c r="B236" s="16">
        <v>39</v>
      </c>
      <c r="C236" s="16" t="s">
        <v>4420</v>
      </c>
      <c r="D236" s="11" t="s">
        <v>4398</v>
      </c>
      <c r="E236" s="11">
        <v>15</v>
      </c>
      <c r="F236" s="11" t="s">
        <v>5238</v>
      </c>
      <c r="G236" s="17" t="s">
        <v>4840</v>
      </c>
      <c r="H236" s="11"/>
      <c r="I236" s="11"/>
      <c r="J236" s="11" t="s">
        <v>5239</v>
      </c>
      <c r="K236" s="11" t="s">
        <v>5240</v>
      </c>
      <c r="L236" s="11">
        <v>2</v>
      </c>
      <c r="M236" s="31" t="s">
        <v>5241</v>
      </c>
      <c r="N236" s="11"/>
      <c r="O236" s="11"/>
      <c r="P236" s="11" t="s">
        <v>4837</v>
      </c>
      <c r="Q236" s="19"/>
      <c r="R236" s="19"/>
      <c r="S236" s="23" t="str">
        <f>HYPERLINK("https://www.google.com/maps/search/" &amp; Table24[[#This Row],[Tên hẻm]], "Xem trên Google Maps")</f>
        <v>Xem trên Google Maps</v>
      </c>
      <c r="T236" s="16" t="str">
        <f>"Hẻm "&amp;Table24[[#This Row],[Hẻm]]&amp;" "&amp;Table24[[#This Row],[Tuyến đường]]&amp;", Phường "&amp;Table24[[#This Row],[Phường]]&amp;", Quận "&amp;Table24[[#This Row],[Quận]]</f>
        <v xml:space="preserve">Hẻm 39 Nguyễn Trọng Tuyển , Phường 15, Quận Phú Nhuận </v>
      </c>
      <c r="U236" s="36"/>
      <c r="V236" s="56" t="e">
        <f>HYPERLINK("https://www.google.com/maps/search/?api=1&amp;query=" &amp; _xlfn.ENCODEURL(Table24[[#This Row],[Tên hẻm]]), "Link Google Map")</f>
        <v>#VALUE!</v>
      </c>
    </row>
    <row r="237" spans="1:22" ht="47.25" hidden="1">
      <c r="A237" s="11">
        <v>258</v>
      </c>
      <c r="B237" s="16">
        <v>121</v>
      </c>
      <c r="C237" s="16" t="s">
        <v>5242</v>
      </c>
      <c r="D237" s="11">
        <v>1</v>
      </c>
      <c r="E237" s="11" t="s">
        <v>5243</v>
      </c>
      <c r="F237" s="11" t="s">
        <v>5244</v>
      </c>
      <c r="G237" s="17">
        <v>3</v>
      </c>
      <c r="H237" s="11"/>
      <c r="I237" s="11"/>
      <c r="J237" s="11" t="s">
        <v>5245</v>
      </c>
      <c r="K237" s="11" t="s">
        <v>5246</v>
      </c>
      <c r="L237" s="11">
        <v>5</v>
      </c>
      <c r="M237" s="31" t="s">
        <v>5247</v>
      </c>
      <c r="N237" s="11"/>
      <c r="O237" s="11"/>
      <c r="P237" s="11" t="s">
        <v>5231</v>
      </c>
      <c r="Q237" s="19"/>
      <c r="R237" s="19"/>
      <c r="S237" s="23" t="str">
        <f>HYPERLINK("https://www.google.com/maps/search/" &amp; Table24[[#This Row],[Tên hẻm]], "Xem trên Google Maps")</f>
        <v>Xem trên Google Maps</v>
      </c>
      <c r="T237" s="16" t="str">
        <f>"Hẻm "&amp;Table24[[#This Row],[Hẻm]]&amp;" "&amp;Table24[[#This Row],[Tuyến đường]]&amp;", Phường "&amp;Table24[[#This Row],[Phường]]&amp;", Quận "&amp;Table24[[#This Row],[Quận]]</f>
        <v>Hẻm 121 Lê Thị Riêng, Phường BẾN THÀNH, Quận 1</v>
      </c>
      <c r="U237" s="36"/>
      <c r="V237" s="56" t="e">
        <f>HYPERLINK("https://www.google.com/maps/search/?api=1&amp;query=" &amp; _xlfn.ENCODEURL(Table24[[#This Row],[Tên hẻm]]), "Link Google Map")</f>
        <v>#VALUE!</v>
      </c>
    </row>
    <row r="238" spans="1:22" ht="47.25" hidden="1">
      <c r="A238" s="11">
        <v>259</v>
      </c>
      <c r="B238" s="16">
        <v>207</v>
      </c>
      <c r="C238" s="16" t="s">
        <v>4420</v>
      </c>
      <c r="D238" s="11" t="s">
        <v>4398</v>
      </c>
      <c r="E238" s="11">
        <v>8</v>
      </c>
      <c r="F238" s="11" t="s">
        <v>5248</v>
      </c>
      <c r="G238" s="17">
        <v>3</v>
      </c>
      <c r="H238" s="11"/>
      <c r="I238" s="11"/>
      <c r="J238" s="11" t="s">
        <v>5249</v>
      </c>
      <c r="K238" s="11" t="s">
        <v>5250</v>
      </c>
      <c r="L238" s="11">
        <v>2</v>
      </c>
      <c r="M238" s="31" t="s">
        <v>5251</v>
      </c>
      <c r="N238" s="11"/>
      <c r="O238" s="11"/>
      <c r="P238" s="11" t="s">
        <v>4837</v>
      </c>
      <c r="Q238" s="19"/>
      <c r="R238" s="19"/>
      <c r="S238" s="23" t="str">
        <f>HYPERLINK("https://www.google.com/maps/search/" &amp; Table24[[#This Row],[Tên hẻm]], "Xem trên Google Maps")</f>
        <v>Xem trên Google Maps</v>
      </c>
      <c r="T238" s="16" t="str">
        <f>"Hẻm "&amp;Table24[[#This Row],[Hẻm]]&amp;" "&amp;Table24[[#This Row],[Tuyến đường]]&amp;", Phường "&amp;Table24[[#This Row],[Phường]]&amp;", Quận "&amp;Table24[[#This Row],[Quận]]</f>
        <v xml:space="preserve">Hẻm 207 Nguyễn Trọng Tuyển , Phường 8, Quận Phú Nhuận </v>
      </c>
      <c r="U238" s="36"/>
      <c r="V238" s="56" t="e">
        <f>HYPERLINK("https://www.google.com/maps/search/?api=1&amp;query=" &amp; _xlfn.ENCODEURL(Table24[[#This Row],[Tên hẻm]]), "Link Google Map")</f>
        <v>#VALUE!</v>
      </c>
    </row>
    <row r="239" spans="1:22" ht="47.25" hidden="1">
      <c r="A239" s="11">
        <v>260</v>
      </c>
      <c r="B239" s="16">
        <v>21</v>
      </c>
      <c r="C239" s="16" t="s">
        <v>5252</v>
      </c>
      <c r="D239" s="11" t="s">
        <v>4398</v>
      </c>
      <c r="E239" s="11">
        <v>8</v>
      </c>
      <c r="F239" s="11" t="s">
        <v>5253</v>
      </c>
      <c r="G239" s="17">
        <v>3</v>
      </c>
      <c r="H239" s="11"/>
      <c r="I239" s="11"/>
      <c r="J239" s="11" t="s">
        <v>5254</v>
      </c>
      <c r="K239" s="11" t="s">
        <v>5255</v>
      </c>
      <c r="L239" s="11">
        <v>2</v>
      </c>
      <c r="M239" s="31" t="s">
        <v>5256</v>
      </c>
      <c r="N239" s="11"/>
      <c r="O239" s="11"/>
      <c r="P239" s="11" t="s">
        <v>4837</v>
      </c>
      <c r="Q239" s="19"/>
      <c r="R239" s="19"/>
      <c r="S239" s="23" t="str">
        <f>HYPERLINK("https://www.google.com/maps/search/" &amp; Table24[[#This Row],[Tên hẻm]], "Xem trên Google Maps")</f>
        <v>Xem trên Google Maps</v>
      </c>
      <c r="T239" s="16" t="str">
        <f>"Hẻm "&amp;Table24[[#This Row],[Hẻm]]&amp;" "&amp;Table24[[#This Row],[Tuyến đường]]&amp;", Phường "&amp;Table24[[#This Row],[Phường]]&amp;", Quận "&amp;Table24[[#This Row],[Quận]]</f>
        <v xml:space="preserve">Hẻm 21 Nguyễn Thị Huỳnh , Phường 8, Quận Phú Nhuận </v>
      </c>
      <c r="U239" s="36"/>
      <c r="V239" s="56" t="e">
        <f>HYPERLINK("https://www.google.com/maps/search/?api=1&amp;query=" &amp; _xlfn.ENCODEURL(Table24[[#This Row],[Tên hẻm]]), "Link Google Map")</f>
        <v>#VALUE!</v>
      </c>
    </row>
    <row r="240" spans="1:22" ht="47.25" hidden="1">
      <c r="A240" s="11">
        <v>261</v>
      </c>
      <c r="B240" s="16">
        <v>149</v>
      </c>
      <c r="C240" s="16" t="s">
        <v>5257</v>
      </c>
      <c r="D240" s="11" t="s">
        <v>4398</v>
      </c>
      <c r="E240" s="11">
        <v>8</v>
      </c>
      <c r="F240" s="11" t="s">
        <v>5258</v>
      </c>
      <c r="G240" s="17" t="s">
        <v>4367</v>
      </c>
      <c r="H240" s="11"/>
      <c r="I240" s="11"/>
      <c r="J240" s="11" t="s">
        <v>5259</v>
      </c>
      <c r="K240" s="11" t="s">
        <v>5260</v>
      </c>
      <c r="L240" s="11">
        <v>2</v>
      </c>
      <c r="M240" s="31" t="s">
        <v>5261</v>
      </c>
      <c r="N240" s="11"/>
      <c r="O240" s="11"/>
      <c r="P240" s="11" t="s">
        <v>4837</v>
      </c>
      <c r="Q240" s="19"/>
      <c r="R240" s="19"/>
      <c r="S240" s="23" t="str">
        <f>HYPERLINK("https://www.google.com/maps/search/" &amp; Table24[[#This Row],[Tên hẻm]], "Xem trên Google Maps")</f>
        <v>Xem trên Google Maps</v>
      </c>
      <c r="T240" s="16" t="str">
        <f>"Hẻm "&amp;Table24[[#This Row],[Hẻm]]&amp;" "&amp;Table24[[#This Row],[Tuyến đường]]&amp;", Phường "&amp;Table24[[#This Row],[Phường]]&amp;", Quận "&amp;Table24[[#This Row],[Quận]]</f>
        <v xml:space="preserve">Hẻm 149 Trần Huy Liệu , Phường 8, Quận Phú Nhuận </v>
      </c>
      <c r="U240" s="36"/>
      <c r="V240" s="56" t="e">
        <f>HYPERLINK("https://www.google.com/maps/search/?api=1&amp;query=" &amp; _xlfn.ENCODEURL(Table24[[#This Row],[Tên hẻm]]), "Link Google Map")</f>
        <v>#VALUE!</v>
      </c>
    </row>
    <row r="241" spans="1:22" ht="47.25" hidden="1">
      <c r="A241" s="11">
        <v>262</v>
      </c>
      <c r="B241" s="16">
        <v>251</v>
      </c>
      <c r="C241" s="16" t="s">
        <v>5262</v>
      </c>
      <c r="D241" s="11" t="s">
        <v>4398</v>
      </c>
      <c r="E241" s="11">
        <v>10</v>
      </c>
      <c r="F241" s="11" t="s">
        <v>5263</v>
      </c>
      <c r="G241" s="17" t="s">
        <v>4371</v>
      </c>
      <c r="H241" s="11"/>
      <c r="I241" s="11"/>
      <c r="J241" s="11" t="s">
        <v>5264</v>
      </c>
      <c r="K241" s="11" t="s">
        <v>5265</v>
      </c>
      <c r="L241" s="11">
        <v>5</v>
      </c>
      <c r="M241" s="31" t="s">
        <v>5266</v>
      </c>
      <c r="N241" s="11"/>
      <c r="O241" s="11"/>
      <c r="P241" s="11" t="s">
        <v>4837</v>
      </c>
      <c r="Q241" s="19"/>
      <c r="R241" s="19"/>
      <c r="S241" s="23" t="str">
        <f>HYPERLINK("https://www.google.com/maps/search/" &amp; Table24[[#This Row],[Tên hẻm]], "Xem trên Google Maps")</f>
        <v>Xem trên Google Maps</v>
      </c>
      <c r="T241" s="16" t="str">
        <f>"Hẻm "&amp;Table24[[#This Row],[Hẻm]]&amp;" "&amp;Table24[[#This Row],[Tuyến đường]]&amp;", Phường "&amp;Table24[[#This Row],[Phường]]&amp;", Quận "&amp;Table24[[#This Row],[Quận]]</f>
        <v xml:space="preserve">Hẻm 251 Nguyễn Văn Trỗi, Phường 10, Quận Phú Nhuận </v>
      </c>
      <c r="U241" s="36"/>
      <c r="V241" s="56" t="e">
        <f>HYPERLINK("https://www.google.com/maps/search/?api=1&amp;query=" &amp; _xlfn.ENCODEURL(Table24[[#This Row],[Tên hẻm]]), "Link Google Map")</f>
        <v>#VALUE!</v>
      </c>
    </row>
    <row r="242" spans="1:22" ht="47.25" hidden="1">
      <c r="A242" s="11">
        <v>263</v>
      </c>
      <c r="B242" s="16">
        <v>243</v>
      </c>
      <c r="C242" s="16" t="s">
        <v>4962</v>
      </c>
      <c r="D242" s="11" t="s">
        <v>4398</v>
      </c>
      <c r="E242" s="11">
        <v>15</v>
      </c>
      <c r="F242" s="11" t="s">
        <v>5267</v>
      </c>
      <c r="G242" s="17" t="s">
        <v>4367</v>
      </c>
      <c r="H242" s="11"/>
      <c r="I242" s="11"/>
      <c r="J242" s="11" t="s">
        <v>5268</v>
      </c>
      <c r="K242" s="11" t="s">
        <v>5269</v>
      </c>
      <c r="L242" s="11">
        <v>3</v>
      </c>
      <c r="M242" s="31" t="s">
        <v>5270</v>
      </c>
      <c r="N242" s="11"/>
      <c r="O242" s="11"/>
      <c r="P242" s="11" t="s">
        <v>4837</v>
      </c>
      <c r="Q242" s="19"/>
      <c r="R242" s="19"/>
      <c r="S242" s="23" t="str">
        <f>HYPERLINK("https://www.google.com/maps/search/" &amp; Table24[[#This Row],[Tên hẻm]], "Xem trên Google Maps")</f>
        <v>Xem trên Google Maps</v>
      </c>
      <c r="T242" s="16" t="str">
        <f>"Hẻm "&amp;Table24[[#This Row],[Hẻm]]&amp;" "&amp;Table24[[#This Row],[Tuyến đường]]&amp;", Phường "&amp;Table24[[#This Row],[Phường]]&amp;", Quận "&amp;Table24[[#This Row],[Quận]]</f>
        <v xml:space="preserve">Hẻm 243 Phan Đinh Phùng, Phường 15, Quận Phú Nhuận </v>
      </c>
      <c r="U242" s="36"/>
      <c r="V242" s="56" t="e">
        <f>HYPERLINK("https://www.google.com/maps/search/?api=1&amp;query=" &amp; _xlfn.ENCODEURL(Table24[[#This Row],[Tên hẻm]]), "Link Google Map")</f>
        <v>#VALUE!</v>
      </c>
    </row>
    <row r="243" spans="1:22" ht="47.25" hidden="1">
      <c r="A243" s="11">
        <v>264</v>
      </c>
      <c r="B243" s="16">
        <v>197</v>
      </c>
      <c r="C243" s="16" t="s">
        <v>5271</v>
      </c>
      <c r="D243" s="11" t="s">
        <v>4398</v>
      </c>
      <c r="E243" s="11">
        <v>8</v>
      </c>
      <c r="F243" s="11" t="s">
        <v>5272</v>
      </c>
      <c r="G243" s="17">
        <v>4</v>
      </c>
      <c r="H243" s="11"/>
      <c r="I243" s="11"/>
      <c r="J243" s="11" t="s">
        <v>5273</v>
      </c>
      <c r="K243" s="11" t="s">
        <v>5274</v>
      </c>
      <c r="L243" s="11">
        <v>3</v>
      </c>
      <c r="M243" s="31" t="s">
        <v>5275</v>
      </c>
      <c r="N243" s="11"/>
      <c r="O243" s="11"/>
      <c r="P243" s="11" t="s">
        <v>4837</v>
      </c>
      <c r="Q243" s="19"/>
      <c r="R243" s="19"/>
      <c r="S243" s="23" t="str">
        <f>HYPERLINK("https://www.google.com/maps/search/" &amp; Table24[[#This Row],[Tên hẻm]], "Xem trên Google Maps")</f>
        <v>Xem trên Google Maps</v>
      </c>
      <c r="T243" s="16" t="str">
        <f>"Hẻm "&amp;Table24[[#This Row],[Hẻm]]&amp;" "&amp;Table24[[#This Row],[Tuyến đường]]&amp;", Phường "&amp;Table24[[#This Row],[Phường]]&amp;", Quận "&amp;Table24[[#This Row],[Quận]]</f>
        <v xml:space="preserve">Hẻm 197 Hoàng Văn Thụ , Phường 8, Quận Phú Nhuận </v>
      </c>
      <c r="U243" s="36"/>
      <c r="V243" s="56" t="e">
        <f>HYPERLINK("https://www.google.com/maps/search/?api=1&amp;query=" &amp; _xlfn.ENCODEURL(Table24[[#This Row],[Tên hẻm]]), "Link Google Map")</f>
        <v>#VALUE!</v>
      </c>
    </row>
    <row r="244" spans="1:22" ht="47.25" hidden="1">
      <c r="A244" s="11">
        <v>265</v>
      </c>
      <c r="B244" s="16">
        <v>98</v>
      </c>
      <c r="C244" s="16" t="s">
        <v>4405</v>
      </c>
      <c r="D244" s="11" t="s">
        <v>4398</v>
      </c>
      <c r="E244" s="11">
        <v>5</v>
      </c>
      <c r="F244" s="11" t="s">
        <v>5276</v>
      </c>
      <c r="G244" s="17">
        <v>5</v>
      </c>
      <c r="H244" s="11"/>
      <c r="I244" s="11"/>
      <c r="J244" s="11" t="s">
        <v>5277</v>
      </c>
      <c r="K244" s="11" t="s">
        <v>5278</v>
      </c>
      <c r="L244" s="11">
        <v>5</v>
      </c>
      <c r="M244" s="31" t="s">
        <v>5279</v>
      </c>
      <c r="N244" s="11"/>
      <c r="O244" s="11"/>
      <c r="P244" s="11" t="s">
        <v>4837</v>
      </c>
      <c r="Q244" s="19"/>
      <c r="R244" s="19"/>
      <c r="S244" s="23" t="str">
        <f>HYPERLINK("https://www.google.com/maps/search/" &amp; Table24[[#This Row],[Tên hẻm]], "Xem trên Google Maps")</f>
        <v>Xem trên Google Maps</v>
      </c>
      <c r="T244" s="16" t="str">
        <f>"Hẻm "&amp;Table24[[#This Row],[Hẻm]]&amp;" "&amp;Table24[[#This Row],[Tuyến đường]]&amp;", Phường "&amp;Table24[[#This Row],[Phường]]&amp;", Quận "&amp;Table24[[#This Row],[Quận]]</f>
        <v xml:space="preserve">Hẻm 98 Thích Quảng Đức , Phường 5, Quận Phú Nhuận </v>
      </c>
      <c r="U244" s="36"/>
      <c r="V244" s="56" t="e">
        <f>HYPERLINK("https://www.google.com/maps/search/?api=1&amp;query=" &amp; _xlfn.ENCODEURL(Table24[[#This Row],[Tên hẻm]]), "Link Google Map")</f>
        <v>#VALUE!</v>
      </c>
    </row>
    <row r="245" spans="1:22" ht="47.25" hidden="1">
      <c r="A245" s="11">
        <v>266</v>
      </c>
      <c r="B245" s="16">
        <v>544</v>
      </c>
      <c r="C245" s="16" t="s">
        <v>4987</v>
      </c>
      <c r="D245" s="11" t="s">
        <v>4398</v>
      </c>
      <c r="E245" s="11">
        <v>4</v>
      </c>
      <c r="F245" s="11" t="s">
        <v>5280</v>
      </c>
      <c r="G245" s="17">
        <v>5</v>
      </c>
      <c r="H245" s="11"/>
      <c r="I245" s="11"/>
      <c r="J245" s="11" t="s">
        <v>5281</v>
      </c>
      <c r="K245" s="11" t="s">
        <v>5282</v>
      </c>
      <c r="L245" s="11">
        <v>2</v>
      </c>
      <c r="M245" s="31" t="s">
        <v>5283</v>
      </c>
      <c r="N245" s="11"/>
      <c r="O245" s="11"/>
      <c r="P245" s="11" t="s">
        <v>4837</v>
      </c>
      <c r="Q245" s="19"/>
      <c r="R245" s="19"/>
      <c r="S245" s="23" t="str">
        <f>HYPERLINK("https://www.google.com/maps/search/" &amp; Table24[[#This Row],[Tên hẻm]], "Xem trên Google Maps")</f>
        <v>Xem trên Google Maps</v>
      </c>
      <c r="T245" s="16" t="str">
        <f>"Hẻm "&amp;Table24[[#This Row],[Hẻm]]&amp;" "&amp;Table24[[#This Row],[Tuyến đường]]&amp;", Phường "&amp;Table24[[#This Row],[Phường]]&amp;", Quận "&amp;Table24[[#This Row],[Quận]]</f>
        <v xml:space="preserve">Hẻm 544 Phan Xích Long , Phường 4, Quận Phú Nhuận </v>
      </c>
      <c r="U245" s="36"/>
      <c r="V245" s="56" t="e">
        <f>HYPERLINK("https://www.google.com/maps/search/?api=1&amp;query=" &amp; _xlfn.ENCODEURL(Table24[[#This Row],[Tên hẻm]]), "Link Google Map")</f>
        <v>#VALUE!</v>
      </c>
    </row>
    <row r="246" spans="1:22" ht="47.25" hidden="1">
      <c r="A246" s="11">
        <v>267</v>
      </c>
      <c r="B246" s="16">
        <v>429</v>
      </c>
      <c r="C246" s="16" t="s">
        <v>4987</v>
      </c>
      <c r="D246" s="11" t="s">
        <v>4398</v>
      </c>
      <c r="E246" s="11">
        <v>4</v>
      </c>
      <c r="F246" s="11" t="s">
        <v>5284</v>
      </c>
      <c r="G246" s="17" t="s">
        <v>4367</v>
      </c>
      <c r="H246" s="11"/>
      <c r="I246" s="11"/>
      <c r="J246" s="11" t="s">
        <v>5285</v>
      </c>
      <c r="K246" s="11" t="s">
        <v>5286</v>
      </c>
      <c r="L246" s="11">
        <v>3</v>
      </c>
      <c r="M246" s="31" t="s">
        <v>5287</v>
      </c>
      <c r="N246" s="11"/>
      <c r="O246" s="11"/>
      <c r="P246" s="11" t="s">
        <v>4837</v>
      </c>
      <c r="Q246" s="19"/>
      <c r="R246" s="19"/>
      <c r="S246" s="23" t="str">
        <f>HYPERLINK("https://www.google.com/maps/search/" &amp; Table24[[#This Row],[Tên hẻm]], "Xem trên Google Maps")</f>
        <v>Xem trên Google Maps</v>
      </c>
      <c r="T246" s="16" t="str">
        <f>"Hẻm "&amp;Table24[[#This Row],[Hẻm]]&amp;" "&amp;Table24[[#This Row],[Tuyến đường]]&amp;", Phường "&amp;Table24[[#This Row],[Phường]]&amp;", Quận "&amp;Table24[[#This Row],[Quận]]</f>
        <v xml:space="preserve">Hẻm 429 Phan Xích Long , Phường 4, Quận Phú Nhuận </v>
      </c>
      <c r="U246" s="36"/>
      <c r="V246" s="56" t="e">
        <f>HYPERLINK("https://www.google.com/maps/search/?api=1&amp;query=" &amp; _xlfn.ENCODEURL(Table24[[#This Row],[Tên hẻm]]), "Link Google Map")</f>
        <v>#VALUE!</v>
      </c>
    </row>
    <row r="247" spans="1:22" ht="47.25" hidden="1">
      <c r="A247" s="11">
        <v>268</v>
      </c>
      <c r="B247" s="16" t="s">
        <v>5001</v>
      </c>
      <c r="C247" s="16" t="s">
        <v>5002</v>
      </c>
      <c r="D247" s="11" t="s">
        <v>4398</v>
      </c>
      <c r="E247" s="11">
        <v>2</v>
      </c>
      <c r="F247" s="11" t="s">
        <v>5003</v>
      </c>
      <c r="G247" s="17">
        <v>4</v>
      </c>
      <c r="H247" s="11"/>
      <c r="I247" s="11"/>
      <c r="J247" s="11" t="s">
        <v>5288</v>
      </c>
      <c r="K247" s="11" t="s">
        <v>5005</v>
      </c>
      <c r="L247" s="11">
        <v>7</v>
      </c>
      <c r="M247" s="31" t="s">
        <v>5289</v>
      </c>
      <c r="N247" s="11"/>
      <c r="O247" s="11"/>
      <c r="P247" s="11" t="s">
        <v>4837</v>
      </c>
      <c r="Q247" s="19"/>
      <c r="R247" s="19"/>
      <c r="S247" s="23" t="str">
        <f>HYPERLINK("https://www.google.com/maps/search/" &amp; Table24[[#This Row],[Tên hẻm]], "Xem trên Google Maps")</f>
        <v>Xem trên Google Maps</v>
      </c>
      <c r="T247" s="16" t="str">
        <f>"Hẻm "&amp;Table24[[#This Row],[Hẻm]]&amp;" "&amp;Table24[[#This Row],[Tuyến đường]]&amp;", Phường "&amp;Table24[[#This Row],[Phường]]&amp;", Quận "&amp;Table24[[#This Row],[Quận]]</f>
        <v xml:space="preserve">Hẻm 142D Cô Giang, Phường 2, Quận Phú Nhuận </v>
      </c>
      <c r="U247" s="36"/>
      <c r="V247" s="56" t="e">
        <f>HYPERLINK("https://www.google.com/maps/search/?api=1&amp;query=" &amp; _xlfn.ENCODEURL(Table24[[#This Row],[Tên hẻm]]), "Link Google Map")</f>
        <v>#VALUE!</v>
      </c>
    </row>
    <row r="248" spans="1:22" ht="47.25" hidden="1">
      <c r="A248" s="11">
        <v>269</v>
      </c>
      <c r="B248" s="16">
        <v>134</v>
      </c>
      <c r="C248" s="16" t="s">
        <v>5290</v>
      </c>
      <c r="D248" s="11">
        <v>1</v>
      </c>
      <c r="E248" s="11" t="s">
        <v>5291</v>
      </c>
      <c r="F248" s="11" t="s">
        <v>5292</v>
      </c>
      <c r="G248" s="17" t="s">
        <v>4367</v>
      </c>
      <c r="H248" s="11"/>
      <c r="I248" s="11"/>
      <c r="J248" s="11" t="s">
        <v>5293</v>
      </c>
      <c r="K248" s="11" t="s">
        <v>5294</v>
      </c>
      <c r="L248" s="11">
        <v>7</v>
      </c>
      <c r="M248" s="31" t="s">
        <v>5295</v>
      </c>
      <c r="N248" s="11"/>
      <c r="O248" s="11"/>
      <c r="P248" s="11" t="s">
        <v>5231</v>
      </c>
      <c r="Q248" s="19"/>
      <c r="R248" s="19"/>
      <c r="S248" s="23" t="str">
        <f>HYPERLINK("https://www.google.com/maps/search/" &amp; Table24[[#This Row],[Tên hẻm]], "Xem trên Google Maps")</f>
        <v>Xem trên Google Maps</v>
      </c>
      <c r="T248" s="16" t="str">
        <f>"Hẻm "&amp;Table24[[#This Row],[Hẻm]]&amp;" "&amp;Table24[[#This Row],[Tuyến đường]]&amp;", Phường "&amp;Table24[[#This Row],[Phường]]&amp;", Quận "&amp;Table24[[#This Row],[Quận]]</f>
        <v>Hẻm 134 BÙI THỊ XUÂN, Phường PHẠM NGŨ LÃO, Quận 1</v>
      </c>
      <c r="U248" s="36"/>
      <c r="V248" s="56" t="e">
        <f>HYPERLINK("https://www.google.com/maps/search/?api=1&amp;query=" &amp; _xlfn.ENCODEURL(Table24[[#This Row],[Tên hẻm]]), "Link Google Map")</f>
        <v>#VALUE!</v>
      </c>
    </row>
    <row r="249" spans="1:22" ht="47.25" hidden="1">
      <c r="A249" s="11">
        <v>270</v>
      </c>
      <c r="B249" s="16">
        <v>25</v>
      </c>
      <c r="C249" s="16" t="s">
        <v>5296</v>
      </c>
      <c r="D249" s="11">
        <v>1</v>
      </c>
      <c r="E249" s="11" t="s">
        <v>5297</v>
      </c>
      <c r="F249" s="11" t="s">
        <v>5298</v>
      </c>
      <c r="G249" s="17">
        <v>4</v>
      </c>
      <c r="H249" s="11"/>
      <c r="I249" s="11"/>
      <c r="J249" s="11" t="s">
        <v>5299</v>
      </c>
      <c r="K249" s="11" t="s">
        <v>5300</v>
      </c>
      <c r="L249" s="11">
        <v>3</v>
      </c>
      <c r="M249" s="31" t="s">
        <v>5301</v>
      </c>
      <c r="N249" s="11"/>
      <c r="O249" s="11"/>
      <c r="P249" s="11" t="s">
        <v>5231</v>
      </c>
      <c r="Q249" s="19"/>
      <c r="R249" s="19"/>
      <c r="S249" s="23" t="str">
        <f>HYPERLINK("https://www.google.com/maps/search/" &amp; Table24[[#This Row],[Tên hẻm]], "Xem trên Google Maps")</f>
        <v>Xem trên Google Maps</v>
      </c>
      <c r="T249" s="16" t="str">
        <f>"Hẻm "&amp;Table24[[#This Row],[Hẻm]]&amp;" "&amp;Table24[[#This Row],[Tuyến đường]]&amp;", Phường "&amp;Table24[[#This Row],[Phường]]&amp;", Quận "&amp;Table24[[#This Row],[Quận]]</f>
        <v>Hẻm 25 TÔN THẤT TÙNG, Phường Phạm Ngũ Lão, Quận 1</v>
      </c>
      <c r="U249" s="36"/>
      <c r="V249" s="56" t="e">
        <f>HYPERLINK("https://www.google.com/maps/search/?api=1&amp;query=" &amp; _xlfn.ENCODEURL(Table24[[#This Row],[Tên hẻm]]), "Link Google Map")</f>
        <v>#VALUE!</v>
      </c>
    </row>
    <row r="250" spans="1:22" ht="47.25" hidden="1">
      <c r="A250" s="11">
        <v>271</v>
      </c>
      <c r="B250" s="16">
        <v>28</v>
      </c>
      <c r="C250" s="16" t="s">
        <v>5302</v>
      </c>
      <c r="D250" s="11">
        <v>1</v>
      </c>
      <c r="E250" s="11" t="s">
        <v>5243</v>
      </c>
      <c r="F250" s="11" t="s">
        <v>5303</v>
      </c>
      <c r="G250" s="17">
        <v>5</v>
      </c>
      <c r="H250" s="11"/>
      <c r="I250" s="11"/>
      <c r="J250" s="11" t="s">
        <v>5304</v>
      </c>
      <c r="K250" s="11" t="s">
        <v>5305</v>
      </c>
      <c r="L250" s="11">
        <v>2</v>
      </c>
      <c r="M250" s="31" t="s">
        <v>5306</v>
      </c>
      <c r="N250" s="11"/>
      <c r="O250" s="11"/>
      <c r="P250" s="11" t="s">
        <v>5231</v>
      </c>
      <c r="Q250" s="19"/>
      <c r="R250" s="19"/>
      <c r="S250" s="23" t="str">
        <f>HYPERLINK("https://www.google.com/maps/search/" &amp; Table24[[#This Row],[Tên hẻm]], "Xem trên Google Maps")</f>
        <v>Xem trên Google Maps</v>
      </c>
      <c r="T250" s="16" t="str">
        <f>"Hẻm "&amp;Table24[[#This Row],[Hẻm]]&amp;" "&amp;Table24[[#This Row],[Tuyến đường]]&amp;", Phường "&amp;Table24[[#This Row],[Phường]]&amp;", Quận "&amp;Table24[[#This Row],[Quận]]</f>
        <v>Hẻm 28 Tôn Thất Tùng, Phường BẾN THÀNH, Quận 1</v>
      </c>
      <c r="U250" s="36"/>
      <c r="V250" s="56" t="e">
        <f>HYPERLINK("https://www.google.com/maps/search/?api=1&amp;query=" &amp; _xlfn.ENCODEURL(Table24[[#This Row],[Tên hẻm]]), "Link Google Map")</f>
        <v>#VALUE!</v>
      </c>
    </row>
    <row r="251" spans="1:22" ht="47.25" hidden="1">
      <c r="A251" s="11">
        <v>272</v>
      </c>
      <c r="B251" s="16">
        <v>149</v>
      </c>
      <c r="C251" s="16" t="s">
        <v>5307</v>
      </c>
      <c r="D251" s="11">
        <v>1</v>
      </c>
      <c r="E251" s="11" t="s">
        <v>250</v>
      </c>
      <c r="F251" s="11" t="s">
        <v>5303</v>
      </c>
      <c r="G251" s="17" t="s">
        <v>4371</v>
      </c>
      <c r="H251" s="11"/>
      <c r="I251" s="11"/>
      <c r="J251" s="11" t="s">
        <v>5308</v>
      </c>
      <c r="K251" s="11" t="s">
        <v>5309</v>
      </c>
      <c r="L251" s="11">
        <v>4</v>
      </c>
      <c r="M251" s="31" t="s">
        <v>5310</v>
      </c>
      <c r="N251" s="11"/>
      <c r="O251" s="11"/>
      <c r="P251" s="11" t="s">
        <v>5311</v>
      </c>
      <c r="Q251" s="19"/>
      <c r="R251" s="19"/>
      <c r="S251" s="23" t="str">
        <f>HYPERLINK("https://www.google.com/maps/search/" &amp; Table24[[#This Row],[Tên hẻm]], "Xem trên Google Maps")</f>
        <v>Xem trên Google Maps</v>
      </c>
      <c r="T251" s="16" t="str">
        <f>"Hẻm "&amp;Table24[[#This Row],[Hẻm]]&amp;" "&amp;Table24[[#This Row],[Tuyến đường]]&amp;", Phường "&amp;Table24[[#This Row],[Phường]]&amp;", Quận "&amp;Table24[[#This Row],[Quận]]</f>
        <v>Hẻm 149 LÊ THỊ RIÊNG, Phường Bến Thành, Quận 1</v>
      </c>
      <c r="U251" s="36"/>
      <c r="V251" s="56" t="e">
        <f>HYPERLINK("https://www.google.com/maps/search/?api=1&amp;query=" &amp; _xlfn.ENCODEURL(Table24[[#This Row],[Tên hẻm]]), "Link Google Map")</f>
        <v>#VALUE!</v>
      </c>
    </row>
    <row r="252" spans="1:22" ht="47.25" hidden="1">
      <c r="A252" s="11">
        <v>273</v>
      </c>
      <c r="B252" s="16">
        <v>41</v>
      </c>
      <c r="C252" s="16" t="s">
        <v>5312</v>
      </c>
      <c r="D252" s="11">
        <v>1</v>
      </c>
      <c r="E252" s="11" t="s">
        <v>250</v>
      </c>
      <c r="F252" s="11" t="s">
        <v>5313</v>
      </c>
      <c r="G252" s="17">
        <v>5</v>
      </c>
      <c r="H252" s="11"/>
      <c r="I252" s="11"/>
      <c r="J252" s="11" t="s">
        <v>5314</v>
      </c>
      <c r="K252" s="11" t="s">
        <v>5315</v>
      </c>
      <c r="L252" s="11">
        <v>3</v>
      </c>
      <c r="M252" s="31" t="s">
        <v>5316</v>
      </c>
      <c r="N252" s="11"/>
      <c r="O252" s="11"/>
      <c r="P252" s="11" t="s">
        <v>5317</v>
      </c>
      <c r="Q252" s="19"/>
      <c r="R252" s="19"/>
      <c r="S252" s="23" t="str">
        <f>HYPERLINK("https://www.google.com/maps/search/" &amp; Table24[[#This Row],[Tên hẻm]], "Xem trên Google Maps")</f>
        <v>Xem trên Google Maps</v>
      </c>
      <c r="T252" s="16" t="str">
        <f>"Hẻm "&amp;Table24[[#This Row],[Hẻm]]&amp;" "&amp;Table24[[#This Row],[Tuyến đường]]&amp;", Phường "&amp;Table24[[#This Row],[Phường]]&amp;", Quận "&amp;Table24[[#This Row],[Quận]]</f>
        <v>Hẻm 41 Nguyễn Văn Tráng, Phường Bến Thành, Quận 1</v>
      </c>
      <c r="U252" s="36"/>
      <c r="V252" s="56" t="e">
        <f>HYPERLINK("https://www.google.com/maps/search/?api=1&amp;query=" &amp; _xlfn.ENCODEURL(Table24[[#This Row],[Tên hẻm]]), "Link Google Map")</f>
        <v>#VALUE!</v>
      </c>
    </row>
    <row r="253" spans="1:22" ht="47.25" hidden="1">
      <c r="A253" s="11">
        <v>274</v>
      </c>
      <c r="B253" s="16">
        <v>14</v>
      </c>
      <c r="C253" s="16" t="s">
        <v>5318</v>
      </c>
      <c r="D253" s="11" t="s">
        <v>522</v>
      </c>
      <c r="E253" s="11">
        <v>19</v>
      </c>
      <c r="F253" s="11" t="s">
        <v>5319</v>
      </c>
      <c r="G253" s="17">
        <v>4</v>
      </c>
      <c r="H253" s="11"/>
      <c r="I253" s="11"/>
      <c r="J253" s="11" t="s">
        <v>5320</v>
      </c>
      <c r="K253" s="11" t="s">
        <v>5321</v>
      </c>
      <c r="L253" s="11">
        <v>8</v>
      </c>
      <c r="M253" s="31" t="s">
        <v>5322</v>
      </c>
      <c r="N253" s="11"/>
      <c r="O253" s="11"/>
      <c r="P253" s="11" t="s">
        <v>5323</v>
      </c>
      <c r="Q253" s="19"/>
      <c r="R253" s="19"/>
      <c r="S253" s="23" t="str">
        <f>HYPERLINK("https://www.google.com/maps/search/" &amp; Table24[[#This Row],[Tên hẻm]], "Xem trên Google Maps")</f>
        <v>Xem trên Google Maps</v>
      </c>
      <c r="T253" s="16" t="str">
        <f>"Hẻm "&amp;Table24[[#This Row],[Hẻm]]&amp;" "&amp;Table24[[#This Row],[Tuyến đường]]&amp;", Phường "&amp;Table24[[#This Row],[Phường]]&amp;", Quận "&amp;Table24[[#This Row],[Quận]]</f>
        <v>Hẻm 14 Phạm viết Chánh, Phường 19, Quận Bình Thạnh</v>
      </c>
      <c r="U253" s="36"/>
      <c r="V253" s="56" t="e">
        <f>HYPERLINK("https://www.google.com/maps/search/?api=1&amp;query=" &amp; _xlfn.ENCODEURL(Table24[[#This Row],[Tên hẻm]]), "Link Google Map")</f>
        <v>#VALUE!</v>
      </c>
    </row>
    <row r="254" spans="1:22" ht="47.25" hidden="1">
      <c r="A254" s="11">
        <v>275</v>
      </c>
      <c r="B254" s="16">
        <v>34</v>
      </c>
      <c r="C254" s="16" t="s">
        <v>5324</v>
      </c>
      <c r="D254" s="11" t="s">
        <v>4412</v>
      </c>
      <c r="E254" s="11">
        <v>19</v>
      </c>
      <c r="F254" s="11" t="s">
        <v>5325</v>
      </c>
      <c r="G254" s="17">
        <v>4</v>
      </c>
      <c r="H254" s="11"/>
      <c r="I254" s="11"/>
      <c r="J254" s="11" t="s">
        <v>5326</v>
      </c>
      <c r="K254" s="11" t="s">
        <v>5327</v>
      </c>
      <c r="L254" s="11">
        <v>3</v>
      </c>
      <c r="M254" s="31" t="s">
        <v>5328</v>
      </c>
      <c r="N254" s="11"/>
      <c r="O254" s="11"/>
      <c r="P254" s="11" t="s">
        <v>5323</v>
      </c>
      <c r="Q254" s="19"/>
      <c r="R254" s="19"/>
      <c r="S254" s="23" t="str">
        <f>HYPERLINK("https://www.google.com/maps/search/" &amp; Table24[[#This Row],[Tên hẻm]], "Xem trên Google Maps")</f>
        <v>Xem trên Google Maps</v>
      </c>
      <c r="T254" s="16" t="str">
        <f>"Hẻm "&amp;Table24[[#This Row],[Hẻm]]&amp;" "&amp;Table24[[#This Row],[Tuyến đường]]&amp;", Phường "&amp;Table24[[#This Row],[Phường]]&amp;", Quận "&amp;Table24[[#This Row],[Quận]]</f>
        <v xml:space="preserve">Hẻm 34 Mê Linh , Phường 19, Quận Bình Thạnh </v>
      </c>
      <c r="U254" s="36"/>
      <c r="V254" s="56" t="e">
        <f>HYPERLINK("https://www.google.com/maps/search/?api=1&amp;query=" &amp; _xlfn.ENCODEURL(Table24[[#This Row],[Tên hẻm]]), "Link Google Map")</f>
        <v>#VALUE!</v>
      </c>
    </row>
    <row r="255" spans="1:22" ht="47.25" hidden="1">
      <c r="A255" s="11">
        <v>276</v>
      </c>
      <c r="B255" s="16">
        <v>150</v>
      </c>
      <c r="C255" s="16" t="s">
        <v>5329</v>
      </c>
      <c r="D255" s="11">
        <v>1</v>
      </c>
      <c r="E255" s="11" t="s">
        <v>250</v>
      </c>
      <c r="F255" s="11" t="s">
        <v>5330</v>
      </c>
      <c r="G255" s="17" t="s">
        <v>5331</v>
      </c>
      <c r="H255" s="11"/>
      <c r="I255" s="11"/>
      <c r="J255" s="11" t="s">
        <v>5332</v>
      </c>
      <c r="K255" s="11" t="s">
        <v>5333</v>
      </c>
      <c r="L255" s="11">
        <v>5</v>
      </c>
      <c r="M255" s="31" t="s">
        <v>5334</v>
      </c>
      <c r="N255" s="11"/>
      <c r="O255" s="11"/>
      <c r="P255" s="11" t="s">
        <v>5231</v>
      </c>
      <c r="Q255" s="19"/>
      <c r="R255" s="19"/>
      <c r="S255" s="23" t="str">
        <f>HYPERLINK("https://www.google.com/maps/search/" &amp; Table24[[#This Row],[Tên hẻm]], "Xem trên Google Maps")</f>
        <v>Xem trên Google Maps</v>
      </c>
      <c r="T255" s="16" t="str">
        <f>"Hẻm "&amp;Table24[[#This Row],[Hẻm]]&amp;" "&amp;Table24[[#This Row],[Tuyến đường]]&amp;", Phường "&amp;Table24[[#This Row],[Phường]]&amp;", Quận "&amp;Table24[[#This Row],[Quận]]</f>
        <v>Hẻm 150 NGUYỄN Trãi, Phường Bến Thành, Quận 1</v>
      </c>
      <c r="U255" s="36"/>
      <c r="V255" s="56" t="e">
        <f>HYPERLINK("https://www.google.com/maps/search/?api=1&amp;query=" &amp; _xlfn.ENCODEURL(Table24[[#This Row],[Tên hẻm]]), "Link Google Map")</f>
        <v>#VALUE!</v>
      </c>
    </row>
    <row r="256" spans="1:22" ht="47.25" hidden="1">
      <c r="A256" s="11">
        <v>277</v>
      </c>
      <c r="B256" s="16">
        <v>387</v>
      </c>
      <c r="C256" s="16" t="s">
        <v>5335</v>
      </c>
      <c r="D256" s="11">
        <v>11</v>
      </c>
      <c r="E256" s="11">
        <v>2</v>
      </c>
      <c r="F256" s="11" t="s">
        <v>3897</v>
      </c>
      <c r="G256" s="17">
        <v>5</v>
      </c>
      <c r="H256" s="11"/>
      <c r="I256" s="11"/>
      <c r="J256" s="11" t="s">
        <v>5335</v>
      </c>
      <c r="K256" s="11" t="s">
        <v>5195</v>
      </c>
      <c r="L256" s="11">
        <v>3</v>
      </c>
      <c r="M256" s="31" t="s">
        <v>5336</v>
      </c>
      <c r="N256" s="11"/>
      <c r="O256" s="11"/>
      <c r="P256" s="11" t="s">
        <v>5191</v>
      </c>
      <c r="Q256" s="19"/>
      <c r="R256" s="19"/>
      <c r="S256" s="23" t="str">
        <f>HYPERLINK("https://www.google.com/maps/search/" &amp; Table24[[#This Row],[Tên hẻm]], "Xem trên Google Maps")</f>
        <v>Xem trên Google Maps</v>
      </c>
      <c r="T256" s="16" t="str">
        <f>"Hẻm "&amp;Table24[[#This Row],[Hẻm]]&amp;" "&amp;Table24[[#This Row],[Tuyến đường]]&amp;", Phường "&amp;Table24[[#This Row],[Phường]]&amp;", Quận "&amp;Table24[[#This Row],[Quận]]</f>
        <v>Hẻm 387 Hàn Hải Nguyên , Phường 2, Quận 11</v>
      </c>
      <c r="U256" s="36"/>
      <c r="V256" s="56" t="e">
        <f>HYPERLINK("https://www.google.com/maps/search/?api=1&amp;query=" &amp; _xlfn.ENCODEURL(Table24[[#This Row],[Tên hẻm]]), "Link Google Map")</f>
        <v>#VALUE!</v>
      </c>
    </row>
    <row r="257" spans="1:22" ht="47.25" hidden="1">
      <c r="A257" s="11">
        <v>278</v>
      </c>
      <c r="B257" s="16">
        <v>73</v>
      </c>
      <c r="C257" s="16" t="s">
        <v>5337</v>
      </c>
      <c r="D257" s="11">
        <v>11</v>
      </c>
      <c r="E257" s="11">
        <v>1</v>
      </c>
      <c r="F257" s="11" t="s">
        <v>5338</v>
      </c>
      <c r="G257" s="17">
        <v>4</v>
      </c>
      <c r="H257" s="11"/>
      <c r="I257" s="11"/>
      <c r="J257" s="11" t="s">
        <v>5339</v>
      </c>
      <c r="K257" s="11" t="s">
        <v>5195</v>
      </c>
      <c r="L257" s="11">
        <v>3</v>
      </c>
      <c r="M257" s="31" t="s">
        <v>5340</v>
      </c>
      <c r="N257" s="11"/>
      <c r="O257" s="11"/>
      <c r="P257" s="11" t="s">
        <v>5191</v>
      </c>
      <c r="Q257" s="19"/>
      <c r="R257" s="19"/>
      <c r="S257" s="23" t="str">
        <f>HYPERLINK("https://www.google.com/maps/search/" &amp; Table24[[#This Row],[Tên hẻm]], "Xem trên Google Maps")</f>
        <v>Xem trên Google Maps</v>
      </c>
      <c r="T257" s="16" t="str">
        <f>"Hẻm "&amp;Table24[[#This Row],[Hẻm]]&amp;" "&amp;Table24[[#This Row],[Tuyến đường]]&amp;", Phường "&amp;Table24[[#This Row],[Phường]]&amp;", Quận "&amp;Table24[[#This Row],[Quận]]</f>
        <v>Hẻm 73 Hồng Bàng , Phường 1, Quận 11</v>
      </c>
      <c r="U257" s="36"/>
      <c r="V257" s="56" t="e">
        <f>HYPERLINK("https://www.google.com/maps/search/?api=1&amp;query=" &amp; _xlfn.ENCODEURL(Table24[[#This Row],[Tên hẻm]]), "Link Google Map")</f>
        <v>#VALUE!</v>
      </c>
    </row>
    <row r="258" spans="1:22" ht="47.25" hidden="1">
      <c r="A258" s="11">
        <v>279</v>
      </c>
      <c r="B258" s="16">
        <v>174</v>
      </c>
      <c r="C258" s="16" t="s">
        <v>5183</v>
      </c>
      <c r="D258" s="11">
        <v>11</v>
      </c>
      <c r="E258" s="11">
        <v>8</v>
      </c>
      <c r="F258" s="11" t="s">
        <v>5341</v>
      </c>
      <c r="G258" s="17" t="s">
        <v>5209</v>
      </c>
      <c r="H258" s="11"/>
      <c r="I258" s="11"/>
      <c r="J258" s="11" t="s">
        <v>5342</v>
      </c>
      <c r="K258" s="11" t="s">
        <v>5343</v>
      </c>
      <c r="L258" s="11">
        <v>4</v>
      </c>
      <c r="M258" s="31" t="s">
        <v>5344</v>
      </c>
      <c r="N258" s="11"/>
      <c r="O258" s="11"/>
      <c r="P258" s="11" t="s">
        <v>5191</v>
      </c>
      <c r="Q258" s="19"/>
      <c r="R258" s="19"/>
      <c r="S258" s="23" t="str">
        <f>HYPERLINK("https://www.google.com/maps/search/" &amp; Table24[[#This Row],[Tên hẻm]], "Xem trên Google Maps")</f>
        <v>Xem trên Google Maps</v>
      </c>
      <c r="T258" s="16" t="str">
        <f>"Hẻm "&amp;Table24[[#This Row],[Hẻm]]&amp;" "&amp;Table24[[#This Row],[Tuyến đường]]&amp;", Phường "&amp;Table24[[#This Row],[Phường]]&amp;", Quận "&amp;Table24[[#This Row],[Quận]]</f>
        <v>Hẻm 174 Thái Phiên, Phường 8, Quận 11</v>
      </c>
      <c r="U258" s="36"/>
      <c r="V258" s="56" t="e">
        <f>HYPERLINK("https://www.google.com/maps/search/?api=1&amp;query=" &amp; _xlfn.ENCODEURL(Table24[[#This Row],[Tên hẻm]]), "Link Google Map")</f>
        <v>#VALUE!</v>
      </c>
    </row>
    <row r="259" spans="1:22" ht="47.25" hidden="1">
      <c r="A259" s="11">
        <v>280</v>
      </c>
      <c r="B259" s="16" t="s">
        <v>5345</v>
      </c>
      <c r="C259" s="16" t="s">
        <v>4731</v>
      </c>
      <c r="D259" s="11">
        <v>11</v>
      </c>
      <c r="E259" s="11">
        <v>8</v>
      </c>
      <c r="F259" s="11" t="s">
        <v>5341</v>
      </c>
      <c r="G259" s="17" t="s">
        <v>5209</v>
      </c>
      <c r="H259" s="11"/>
      <c r="I259" s="11"/>
      <c r="J259" s="11" t="s">
        <v>5346</v>
      </c>
      <c r="K259" s="11" t="s">
        <v>5343</v>
      </c>
      <c r="L259" s="11">
        <v>5</v>
      </c>
      <c r="M259" s="31" t="s">
        <v>5347</v>
      </c>
      <c r="N259" s="11"/>
      <c r="O259" s="11"/>
      <c r="P259" s="11" t="s">
        <v>5191</v>
      </c>
      <c r="Q259" s="19"/>
      <c r="R259" s="19"/>
      <c r="S259" s="23" t="str">
        <f>HYPERLINK("https://www.google.com/maps/search/" &amp; Table24[[#This Row],[Tên hẻm]], "Xem trên Google Maps")</f>
        <v>Xem trên Google Maps</v>
      </c>
      <c r="T259" s="16" t="str">
        <f>"Hẻm "&amp;Table24[[#This Row],[Hẻm]]&amp;" "&amp;Table24[[#This Row],[Tuyến đường]]&amp;", Phường "&amp;Table24[[#This Row],[Phường]]&amp;", Quận "&amp;Table24[[#This Row],[Quận]]</f>
        <v>Hẻm 174/53 Thái Phiên , Phường 8, Quận 11</v>
      </c>
      <c r="U259" s="36"/>
      <c r="V259" s="56" t="e">
        <f>HYPERLINK("https://www.google.com/maps/search/?api=1&amp;query=" &amp; _xlfn.ENCODEURL(Table24[[#This Row],[Tên hẻm]]), "Link Google Map")</f>
        <v>#VALUE!</v>
      </c>
    </row>
    <row r="260" spans="1:22" ht="47.25" hidden="1">
      <c r="A260" s="11">
        <v>281</v>
      </c>
      <c r="B260" s="16" t="s">
        <v>5348</v>
      </c>
      <c r="C260" s="16" t="s">
        <v>4731</v>
      </c>
      <c r="D260" s="11">
        <v>11</v>
      </c>
      <c r="E260" s="11">
        <v>8</v>
      </c>
      <c r="F260" s="11" t="s">
        <v>5341</v>
      </c>
      <c r="G260" s="17">
        <v>3</v>
      </c>
      <c r="H260" s="11"/>
      <c r="I260" s="11"/>
      <c r="J260" s="11" t="s">
        <v>5342</v>
      </c>
      <c r="K260" s="11" t="s">
        <v>5343</v>
      </c>
      <c r="L260" s="11">
        <v>3</v>
      </c>
      <c r="M260" s="31" t="s">
        <v>5349</v>
      </c>
      <c r="N260" s="11"/>
      <c r="O260" s="11"/>
      <c r="P260" s="11" t="s">
        <v>5191</v>
      </c>
      <c r="Q260" s="19"/>
      <c r="R260" s="19"/>
      <c r="S260" s="23" t="str">
        <f>HYPERLINK("https://www.google.com/maps/search/" &amp; Table24[[#This Row],[Tên hẻm]], "Xem trên Google Maps")</f>
        <v>Xem trên Google Maps</v>
      </c>
      <c r="T260" s="16" t="str">
        <f>"Hẻm "&amp;Table24[[#This Row],[Hẻm]]&amp;" "&amp;Table24[[#This Row],[Tuyến đường]]&amp;", Phường "&amp;Table24[[#This Row],[Phường]]&amp;", Quận "&amp;Table24[[#This Row],[Quận]]</f>
        <v>Hẻm 174/42 Thái Phiên , Phường 8, Quận 11</v>
      </c>
      <c r="U260" s="36"/>
      <c r="V260" s="56" t="e">
        <f>HYPERLINK("https://www.google.com/maps/search/?api=1&amp;query=" &amp; _xlfn.ENCODEURL(Table24[[#This Row],[Tên hẻm]]), "Link Google Map")</f>
        <v>#VALUE!</v>
      </c>
    </row>
    <row r="261" spans="1:22" ht="47.25" hidden="1">
      <c r="A261" s="11">
        <v>282</v>
      </c>
      <c r="B261" s="16" t="s">
        <v>5350</v>
      </c>
      <c r="C261" s="16" t="s">
        <v>4731</v>
      </c>
      <c r="D261" s="11">
        <v>11</v>
      </c>
      <c r="E261" s="11">
        <v>8</v>
      </c>
      <c r="F261" s="11" t="s">
        <v>5341</v>
      </c>
      <c r="G261" s="17">
        <v>3</v>
      </c>
      <c r="H261" s="11"/>
      <c r="I261" s="11"/>
      <c r="J261" s="11" t="s">
        <v>5346</v>
      </c>
      <c r="K261" s="11" t="s">
        <v>5351</v>
      </c>
      <c r="L261" s="11">
        <v>2</v>
      </c>
      <c r="M261" s="31" t="s">
        <v>5352</v>
      </c>
      <c r="N261" s="11"/>
      <c r="O261" s="11"/>
      <c r="P261" s="11" t="s">
        <v>5191</v>
      </c>
      <c r="Q261" s="19"/>
      <c r="R261" s="19"/>
      <c r="S261" s="23" t="str">
        <f>HYPERLINK("https://www.google.com/maps/search/" &amp; Table24[[#This Row],[Tên hẻm]], "Xem trên Google Maps")</f>
        <v>Xem trên Google Maps</v>
      </c>
      <c r="T261" s="16" t="str">
        <f>"Hẻm "&amp;Table24[[#This Row],[Hẻm]]&amp;" "&amp;Table24[[#This Row],[Tuyến đường]]&amp;", Phường "&amp;Table24[[#This Row],[Phường]]&amp;", Quận "&amp;Table24[[#This Row],[Quận]]</f>
        <v>Hẻm 174/30 Thái Phiên , Phường 8, Quận 11</v>
      </c>
      <c r="U261" s="36"/>
      <c r="V261" s="56" t="e">
        <f>HYPERLINK("https://www.google.com/maps/search/?api=1&amp;query=" &amp; _xlfn.ENCODEURL(Table24[[#This Row],[Tên hẻm]]), "Link Google Map")</f>
        <v>#VALUE!</v>
      </c>
    </row>
    <row r="262" spans="1:22" ht="47.25" hidden="1">
      <c r="A262" s="11">
        <v>283</v>
      </c>
      <c r="B262" s="16">
        <v>198</v>
      </c>
      <c r="C262" s="16" t="s">
        <v>4890</v>
      </c>
      <c r="D262" s="11">
        <v>11</v>
      </c>
      <c r="E262" s="11">
        <v>14</v>
      </c>
      <c r="F262" s="11" t="s">
        <v>3639</v>
      </c>
      <c r="G262" s="17">
        <v>3</v>
      </c>
      <c r="H262" s="11"/>
      <c r="I262" s="11"/>
      <c r="J262" s="11" t="s">
        <v>5353</v>
      </c>
      <c r="K262" s="11" t="s">
        <v>5343</v>
      </c>
      <c r="L262" s="11">
        <v>3</v>
      </c>
      <c r="M262" s="31" t="s">
        <v>5354</v>
      </c>
      <c r="N262" s="11"/>
      <c r="O262" s="11"/>
      <c r="P262" s="11" t="s">
        <v>5191</v>
      </c>
      <c r="Q262" s="19"/>
      <c r="R262" s="19"/>
      <c r="S262" s="23" t="str">
        <f>HYPERLINK("https://www.google.com/maps/search/" &amp; Table24[[#This Row],[Tên hẻm]], "Xem trên Google Maps")</f>
        <v>Xem trên Google Maps</v>
      </c>
      <c r="T262" s="16" t="str">
        <f>"Hẻm "&amp;Table24[[#This Row],[Hẻm]]&amp;" "&amp;Table24[[#This Row],[Tuyến đường]]&amp;", Phường "&amp;Table24[[#This Row],[Phường]]&amp;", Quận "&amp;Table24[[#This Row],[Quận]]</f>
        <v>Hẻm 198 Bình Thới , Phường 14, Quận 11</v>
      </c>
      <c r="U262" s="36"/>
      <c r="V262" s="56" t="e">
        <f>HYPERLINK("https://www.google.com/maps/search/?api=1&amp;query=" &amp; _xlfn.ENCODEURL(Table24[[#This Row],[Tên hẻm]]), "Link Google Map")</f>
        <v>#VALUE!</v>
      </c>
    </row>
    <row r="263" spans="1:22" ht="47.25" hidden="1">
      <c r="A263" s="11">
        <v>284</v>
      </c>
      <c r="B263" s="16" t="s">
        <v>5355</v>
      </c>
      <c r="C263" s="16" t="s">
        <v>5356</v>
      </c>
      <c r="D263" s="11">
        <v>1</v>
      </c>
      <c r="E263" s="11" t="s">
        <v>5357</v>
      </c>
      <c r="F263" s="11" t="s">
        <v>5358</v>
      </c>
      <c r="G263" s="17" t="s">
        <v>4954</v>
      </c>
      <c r="H263" s="11"/>
      <c r="I263" s="11"/>
      <c r="J263" s="11" t="s">
        <v>5359</v>
      </c>
      <c r="K263" s="11" t="s">
        <v>5360</v>
      </c>
      <c r="L263" s="11">
        <v>11</v>
      </c>
      <c r="M263" s="31" t="s">
        <v>5361</v>
      </c>
      <c r="N263" s="11"/>
      <c r="O263" s="11"/>
      <c r="P263" s="11" t="s">
        <v>5317</v>
      </c>
      <c r="Q263" s="19"/>
      <c r="R263" s="19"/>
      <c r="S263" s="23" t="str">
        <f>HYPERLINK("https://www.google.com/maps/search/" &amp; Table24[[#This Row],[Tên hẻm]], "Xem trên Google Maps")</f>
        <v>Xem trên Google Maps</v>
      </c>
      <c r="T263" s="16" t="str">
        <f>"Hẻm "&amp;Table24[[#This Row],[Hẻm]]&amp;" "&amp;Table24[[#This Row],[Tuyến đường]]&amp;", Phường "&amp;Table24[[#This Row],[Phường]]&amp;", Quận "&amp;Table24[[#This Row],[Quận]]</f>
        <v>Hẻm Số 4 Nguyễn Cảnh Chân, Phường Nguyễn Cư Trinh, Quận 1</v>
      </c>
      <c r="U263" s="36"/>
      <c r="V263" s="56" t="e">
        <f>HYPERLINK("https://www.google.com/maps/search/?api=1&amp;query=" &amp; _xlfn.ENCODEURL(Table24[[#This Row],[Tên hẻm]]), "Link Google Map")</f>
        <v>#VALUE!</v>
      </c>
    </row>
    <row r="264" spans="1:22" ht="47.25" hidden="1">
      <c r="A264" s="11">
        <v>285</v>
      </c>
      <c r="B264" s="16" t="s">
        <v>5362</v>
      </c>
      <c r="C264" s="16" t="s">
        <v>5324</v>
      </c>
      <c r="D264" s="11" t="s">
        <v>522</v>
      </c>
      <c r="E264" s="11">
        <v>19</v>
      </c>
      <c r="F264" s="11" t="s">
        <v>5363</v>
      </c>
      <c r="G264" s="17">
        <v>4</v>
      </c>
      <c r="H264" s="11"/>
      <c r="I264" s="11"/>
      <c r="J264" s="11" t="s">
        <v>5364</v>
      </c>
      <c r="K264" s="11" t="s">
        <v>5365</v>
      </c>
      <c r="L264" s="11">
        <v>1</v>
      </c>
      <c r="M264" s="31" t="s">
        <v>5366</v>
      </c>
      <c r="N264" s="11"/>
      <c r="O264" s="11"/>
      <c r="P264" s="11" t="s">
        <v>5323</v>
      </c>
      <c r="Q264" s="19"/>
      <c r="R264" s="19"/>
      <c r="S264" s="23" t="str">
        <f>HYPERLINK("https://www.google.com/maps/search/" &amp; Table24[[#This Row],[Tên hẻm]], "Xem trên Google Maps")</f>
        <v>Xem trên Google Maps</v>
      </c>
      <c r="T264" s="16" t="str">
        <f>"Hẻm "&amp;Table24[[#This Row],[Hẻm]]&amp;" "&amp;Table24[[#This Row],[Tuyến đường]]&amp;", Phường "&amp;Table24[[#This Row],[Phường]]&amp;", Quận "&amp;Table24[[#This Row],[Quận]]</f>
        <v>Hẻm 35 Mê Linh  Mê Linh , Phường 19, Quận Bình Thạnh</v>
      </c>
      <c r="U264" s="36"/>
      <c r="V264" s="56" t="e">
        <f>HYPERLINK("https://www.google.com/maps/search/?api=1&amp;query=" &amp; _xlfn.ENCODEURL(Table24[[#This Row],[Tên hẻm]]), "Link Google Map")</f>
        <v>#VALUE!</v>
      </c>
    </row>
    <row r="265" spans="1:22" ht="47.25" hidden="1">
      <c r="A265" s="11">
        <v>286</v>
      </c>
      <c r="B265" s="16" t="s">
        <v>5367</v>
      </c>
      <c r="C265" s="16" t="s">
        <v>5368</v>
      </c>
      <c r="D265" s="11" t="s">
        <v>4412</v>
      </c>
      <c r="E265" s="11">
        <v>12</v>
      </c>
      <c r="F265" s="11" t="s">
        <v>5369</v>
      </c>
      <c r="G265" s="17">
        <v>4</v>
      </c>
      <c r="H265" s="11"/>
      <c r="I265" s="11"/>
      <c r="J265" s="11" t="s">
        <v>5370</v>
      </c>
      <c r="K265" s="11" t="s">
        <v>5371</v>
      </c>
      <c r="L265" s="11">
        <v>3</v>
      </c>
      <c r="M265" s="31" t="s">
        <v>5372</v>
      </c>
      <c r="N265" s="11"/>
      <c r="O265" s="11"/>
      <c r="P265" s="11" t="s">
        <v>5323</v>
      </c>
      <c r="Q265" s="19"/>
      <c r="R265" s="19"/>
      <c r="S265" s="23" t="str">
        <f>HYPERLINK("https://www.google.com/maps/search/" &amp; Table24[[#This Row],[Tên hẻm]], "Xem trên Google Maps")</f>
        <v>Xem trên Google Maps</v>
      </c>
      <c r="T265" s="16" t="str">
        <f>"Hẻm "&amp;Table24[[#This Row],[Hẻm]]&amp;" "&amp;Table24[[#This Row],[Tuyến đường]]&amp;", Phường "&amp;Table24[[#This Row],[Phường]]&amp;", Quận "&amp;Table24[[#This Row],[Quận]]</f>
        <v xml:space="preserve">Hẻm Hẻm 159 Phan Văn Trị Phan Văn Trị, Phường 12, Quận Bình Thạnh </v>
      </c>
      <c r="U265" s="36"/>
      <c r="V265" s="56" t="e">
        <f>HYPERLINK("https://www.google.com/maps/search/?api=1&amp;query=" &amp; _xlfn.ENCODEURL(Table24[[#This Row],[Tên hẻm]]), "Link Google Map")</f>
        <v>#VALUE!</v>
      </c>
    </row>
    <row r="266" spans="1:22" ht="47.25" hidden="1">
      <c r="A266" s="11">
        <v>287</v>
      </c>
      <c r="B266" s="16" t="s">
        <v>5373</v>
      </c>
      <c r="C266" s="16" t="s">
        <v>5368</v>
      </c>
      <c r="D266" s="11" t="s">
        <v>522</v>
      </c>
      <c r="E266" s="11">
        <v>12</v>
      </c>
      <c r="F266" s="11" t="s">
        <v>5374</v>
      </c>
      <c r="G266" s="17">
        <v>4</v>
      </c>
      <c r="H266" s="11"/>
      <c r="I266" s="11"/>
      <c r="J266" s="11" t="s">
        <v>5375</v>
      </c>
      <c r="K266" s="11" t="s">
        <v>5376</v>
      </c>
      <c r="L266" s="11">
        <v>2</v>
      </c>
      <c r="M266" s="31" t="s">
        <v>5377</v>
      </c>
      <c r="N266" s="11"/>
      <c r="O266" s="11"/>
      <c r="P266" s="11" t="s">
        <v>5323</v>
      </c>
      <c r="Q266" s="19"/>
      <c r="R266" s="19"/>
      <c r="S266" s="23" t="str">
        <f>HYPERLINK("https://www.google.com/maps/search/" &amp; Table24[[#This Row],[Tên hẻm]], "Xem trên Google Maps")</f>
        <v>Xem trên Google Maps</v>
      </c>
      <c r="T266" s="16" t="str">
        <f>"Hẻm "&amp;Table24[[#This Row],[Hẻm]]&amp;" "&amp;Table24[[#This Row],[Tuyến đường]]&amp;", Phường "&amp;Table24[[#This Row],[Phường]]&amp;", Quận "&amp;Table24[[#This Row],[Quận]]</f>
        <v>Hẻm Hẻm 235 Phan Văn Trị Phan Văn Trị, Phường 12, Quận Bình Thạnh</v>
      </c>
      <c r="U266" s="36"/>
      <c r="V266" s="56" t="e">
        <f>HYPERLINK("https://www.google.com/maps/search/?api=1&amp;query=" &amp; _xlfn.ENCODEURL(Table24[[#This Row],[Tên hẻm]]), "Link Google Map")</f>
        <v>#VALUE!</v>
      </c>
    </row>
    <row r="267" spans="1:22" ht="47.25" hidden="1">
      <c r="A267" s="11">
        <v>288</v>
      </c>
      <c r="B267" s="16" t="s">
        <v>5378</v>
      </c>
      <c r="C267" s="16" t="s">
        <v>5368</v>
      </c>
      <c r="D267" s="11" t="s">
        <v>522</v>
      </c>
      <c r="E267" s="11">
        <v>12</v>
      </c>
      <c r="F267" s="11" t="s">
        <v>5369</v>
      </c>
      <c r="G267" s="17">
        <v>4</v>
      </c>
      <c r="H267" s="11"/>
      <c r="I267" s="11"/>
      <c r="J267" s="11" t="s">
        <v>5379</v>
      </c>
      <c r="K267" s="11" t="s">
        <v>5380</v>
      </c>
      <c r="L267" s="11">
        <v>4</v>
      </c>
      <c r="M267" s="31" t="s">
        <v>5381</v>
      </c>
      <c r="N267" s="11"/>
      <c r="O267" s="11"/>
      <c r="P267" s="11" t="s">
        <v>5323</v>
      </c>
      <c r="Q267" s="19"/>
      <c r="R267" s="19"/>
      <c r="S267" s="23" t="str">
        <f>HYPERLINK("https://www.google.com/maps/search/" &amp; Table24[[#This Row],[Tên hẻm]], "Xem trên Google Maps")</f>
        <v>Xem trên Google Maps</v>
      </c>
      <c r="T267" s="16" t="str">
        <f>"Hẻm "&amp;Table24[[#This Row],[Hẻm]]&amp;" "&amp;Table24[[#This Row],[Tuyến đường]]&amp;", Phường "&amp;Table24[[#This Row],[Phường]]&amp;", Quận "&amp;Table24[[#This Row],[Quận]]</f>
        <v>Hẻm Hẻm 116 Phan Văn Trị Phan Văn Trị, Phường 12, Quận Bình Thạnh</v>
      </c>
      <c r="U267" s="36"/>
      <c r="V267" s="56" t="e">
        <f>HYPERLINK("https://www.google.com/maps/search/?api=1&amp;query=" &amp; _xlfn.ENCODEURL(Table24[[#This Row],[Tên hẻm]]), "Link Google Map")</f>
        <v>#VALUE!</v>
      </c>
    </row>
    <row r="268" spans="1:22" ht="47.25" hidden="1">
      <c r="A268" s="11">
        <v>289</v>
      </c>
      <c r="B268" s="16" t="s">
        <v>5382</v>
      </c>
      <c r="C268" s="16" t="s">
        <v>5383</v>
      </c>
      <c r="D268" s="11" t="s">
        <v>522</v>
      </c>
      <c r="E268" s="11">
        <v>22</v>
      </c>
      <c r="F268" s="11" t="s">
        <v>5384</v>
      </c>
      <c r="G268" s="17">
        <v>4</v>
      </c>
      <c r="H268" s="11"/>
      <c r="I268" s="11"/>
      <c r="J268" s="11" t="s">
        <v>5385</v>
      </c>
      <c r="K268" s="11" t="s">
        <v>5386</v>
      </c>
      <c r="L268" s="11">
        <v>2</v>
      </c>
      <c r="M268" s="31" t="s">
        <v>5387</v>
      </c>
      <c r="N268" s="11"/>
      <c r="O268" s="11"/>
      <c r="P268" s="11" t="s">
        <v>5323</v>
      </c>
      <c r="Q268" s="19"/>
      <c r="R268" s="19"/>
      <c r="S268" s="23" t="str">
        <f>HYPERLINK("https://www.google.com/maps/search/" &amp; Table24[[#This Row],[Tên hẻm]], "Xem trên Google Maps")</f>
        <v>Xem trên Google Maps</v>
      </c>
      <c r="T268" s="16" t="str">
        <f>"Hẻm "&amp;Table24[[#This Row],[Hẻm]]&amp;" "&amp;Table24[[#This Row],[Tuyến đường]]&amp;", Phường "&amp;Table24[[#This Row],[Phường]]&amp;", Quận "&amp;Table24[[#This Row],[Quận]]</f>
        <v>Hẻm Hẻm 5 Ngô Tất Tố Ngô Tất Tố (nd), Phường 22, Quận Bình Thạnh</v>
      </c>
      <c r="U268" s="36"/>
      <c r="V268" s="56" t="e">
        <f>HYPERLINK("https://www.google.com/maps/search/?api=1&amp;query=" &amp; _xlfn.ENCODEURL(Table24[[#This Row],[Tên hẻm]]), "Link Google Map")</f>
        <v>#VALUE!</v>
      </c>
    </row>
    <row r="269" spans="1:22" ht="47.25" hidden="1">
      <c r="A269" s="11">
        <v>290</v>
      </c>
      <c r="B269" s="16" t="s">
        <v>5388</v>
      </c>
      <c r="C269" s="16" t="s">
        <v>5383</v>
      </c>
      <c r="D269" s="11" t="s">
        <v>522</v>
      </c>
      <c r="E269" s="11">
        <v>22</v>
      </c>
      <c r="F269" s="11" t="s">
        <v>5384</v>
      </c>
      <c r="G269" s="17">
        <v>4</v>
      </c>
      <c r="H269" s="11"/>
      <c r="I269" s="11"/>
      <c r="J269" s="11" t="s">
        <v>5389</v>
      </c>
      <c r="K269" s="11" t="s">
        <v>5390</v>
      </c>
      <c r="L269" s="11">
        <v>2</v>
      </c>
      <c r="M269" s="31" t="s">
        <v>5391</v>
      </c>
      <c r="N269" s="11"/>
      <c r="O269" s="11"/>
      <c r="P269" s="11" t="s">
        <v>5323</v>
      </c>
      <c r="Q269" s="19"/>
      <c r="R269" s="19"/>
      <c r="S269" s="23" t="str">
        <f>HYPERLINK("https://www.google.com/maps/search/" &amp; Table24[[#This Row],[Tên hẻm]], "Xem trên Google Maps")</f>
        <v>Xem trên Google Maps</v>
      </c>
      <c r="T269" s="16" t="str">
        <f>"Hẻm "&amp;Table24[[#This Row],[Hẻm]]&amp;" "&amp;Table24[[#This Row],[Tuyến đường]]&amp;", Phường "&amp;Table24[[#This Row],[Phường]]&amp;", Quận "&amp;Table24[[#This Row],[Quận]]</f>
        <v>Hẻm Hẻm 202 Ngô Tất Tố Ngô Tất Tố (nd), Phường 22, Quận Bình Thạnh</v>
      </c>
      <c r="U269" s="36"/>
      <c r="V269" s="56" t="e">
        <f>HYPERLINK("https://www.google.com/maps/search/?api=1&amp;query=" &amp; _xlfn.ENCODEURL(Table24[[#This Row],[Tên hẻm]]), "Link Google Map")</f>
        <v>#VALUE!</v>
      </c>
    </row>
    <row r="270" spans="1:22" ht="47.25" hidden="1">
      <c r="A270" s="11">
        <v>291</v>
      </c>
      <c r="B270" s="16" t="s">
        <v>5392</v>
      </c>
      <c r="C270" s="16" t="s">
        <v>5383</v>
      </c>
      <c r="D270" s="11" t="s">
        <v>522</v>
      </c>
      <c r="E270" s="11">
        <v>22</v>
      </c>
      <c r="F270" s="11" t="s">
        <v>5384</v>
      </c>
      <c r="G270" s="17">
        <v>4</v>
      </c>
      <c r="H270" s="11"/>
      <c r="I270" s="11"/>
      <c r="J270" s="11" t="s">
        <v>5393</v>
      </c>
      <c r="K270" s="11" t="s">
        <v>5394</v>
      </c>
      <c r="L270" s="11">
        <v>2</v>
      </c>
      <c r="M270" s="31" t="s">
        <v>5395</v>
      </c>
      <c r="N270" s="11"/>
      <c r="O270" s="11"/>
      <c r="P270" s="11" t="s">
        <v>5323</v>
      </c>
      <c r="Q270" s="19"/>
      <c r="R270" s="19"/>
      <c r="S270" s="23" t="str">
        <f>HYPERLINK("https://www.google.com/maps/search/" &amp; Table24[[#This Row],[Tên hẻm]], "Xem trên Google Maps")</f>
        <v>Xem trên Google Maps</v>
      </c>
      <c r="T270" s="16" t="str">
        <f>"Hẻm "&amp;Table24[[#This Row],[Hẻm]]&amp;" "&amp;Table24[[#This Row],[Tuyến đường]]&amp;", Phường "&amp;Table24[[#This Row],[Phường]]&amp;", Quận "&amp;Table24[[#This Row],[Quận]]</f>
        <v>Hẻm 204 Ngô Tất Tố Ngô Tất Tố (nd), Phường 22, Quận Bình Thạnh</v>
      </c>
      <c r="U270" s="36"/>
      <c r="V270" s="56" t="e">
        <f>HYPERLINK("https://www.google.com/maps/search/?api=1&amp;query=" &amp; _xlfn.ENCODEURL(Table24[[#This Row],[Tên hẻm]]), "Link Google Map")</f>
        <v>#VALUE!</v>
      </c>
    </row>
    <row r="271" spans="1:22" ht="47.25" hidden="1">
      <c r="A271" s="11">
        <v>292</v>
      </c>
      <c r="B271" s="16" t="s">
        <v>5396</v>
      </c>
      <c r="C271" s="16" t="s">
        <v>5383</v>
      </c>
      <c r="D271" s="11" t="s">
        <v>522</v>
      </c>
      <c r="E271" s="11">
        <v>22</v>
      </c>
      <c r="F271" s="11" t="s">
        <v>5384</v>
      </c>
      <c r="G271" s="17">
        <v>4</v>
      </c>
      <c r="H271" s="11"/>
      <c r="I271" s="11"/>
      <c r="J271" s="11" t="s">
        <v>5397</v>
      </c>
      <c r="K271" s="11" t="s">
        <v>5398</v>
      </c>
      <c r="L271" s="11">
        <v>3</v>
      </c>
      <c r="M271" s="31" t="s">
        <v>5399</v>
      </c>
      <c r="N271" s="11"/>
      <c r="O271" s="11"/>
      <c r="P271" s="11" t="s">
        <v>5323</v>
      </c>
      <c r="Q271" s="19"/>
      <c r="R271" s="19"/>
      <c r="S271" s="23" t="str">
        <f>HYPERLINK("https://www.google.com/maps/search/" &amp; Table24[[#This Row],[Tên hẻm]], "Xem trên Google Maps")</f>
        <v>Xem trên Google Maps</v>
      </c>
      <c r="T271" s="16" t="str">
        <f>"Hẻm "&amp;Table24[[#This Row],[Hẻm]]&amp;" "&amp;Table24[[#This Row],[Tuyến đường]]&amp;", Phường "&amp;Table24[[#This Row],[Phường]]&amp;", Quận "&amp;Table24[[#This Row],[Quận]]</f>
        <v>Hẻm Hẻm 212 Ngô Tất Tố Ngô Tất Tố (nd), Phường 22, Quận Bình Thạnh</v>
      </c>
      <c r="U271" s="36"/>
      <c r="V271" s="56" t="e">
        <f>HYPERLINK("https://www.google.com/maps/search/?api=1&amp;query=" &amp; _xlfn.ENCODEURL(Table24[[#This Row],[Tên hẻm]]), "Link Google Map")</f>
        <v>#VALUE!</v>
      </c>
    </row>
    <row r="272" spans="1:22" ht="47.25" hidden="1">
      <c r="A272" s="11">
        <v>293</v>
      </c>
      <c r="B272" s="16" t="s">
        <v>5400</v>
      </c>
      <c r="C272" s="16" t="s">
        <v>5383</v>
      </c>
      <c r="D272" s="11" t="s">
        <v>522</v>
      </c>
      <c r="E272" s="11">
        <v>22</v>
      </c>
      <c r="F272" s="11" t="s">
        <v>5384</v>
      </c>
      <c r="G272" s="17">
        <v>4</v>
      </c>
      <c r="H272" s="11"/>
      <c r="I272" s="11"/>
      <c r="J272" s="11" t="s">
        <v>5401</v>
      </c>
      <c r="K272" s="11" t="s">
        <v>5402</v>
      </c>
      <c r="L272" s="11">
        <v>2</v>
      </c>
      <c r="M272" s="31" t="s">
        <v>5403</v>
      </c>
      <c r="N272" s="11"/>
      <c r="O272" s="11"/>
      <c r="P272" s="11" t="s">
        <v>5323</v>
      </c>
      <c r="Q272" s="19"/>
      <c r="R272" s="19"/>
      <c r="S272" s="23" t="str">
        <f>HYPERLINK("https://www.google.com/maps/search/" &amp; Table24[[#This Row],[Tên hẻm]], "Xem trên Google Maps")</f>
        <v>Xem trên Google Maps</v>
      </c>
      <c r="T272" s="16" t="str">
        <f>"Hẻm "&amp;Table24[[#This Row],[Hẻm]]&amp;" "&amp;Table24[[#This Row],[Tuyến đường]]&amp;", Phường "&amp;Table24[[#This Row],[Phường]]&amp;", Quận "&amp;Table24[[#This Row],[Quận]]</f>
        <v>Hẻm 214 Ngô Tất Tố Ngô Tất Tố (nd), Phường 22, Quận Bình Thạnh</v>
      </c>
      <c r="U272" s="36"/>
      <c r="V272" s="56" t="e">
        <f>HYPERLINK("https://www.google.com/maps/search/?api=1&amp;query=" &amp; _xlfn.ENCODEURL(Table24[[#This Row],[Tên hẻm]]), "Link Google Map")</f>
        <v>#VALUE!</v>
      </c>
    </row>
    <row r="273" spans="1:22" ht="47.25" hidden="1">
      <c r="A273" s="11">
        <v>294</v>
      </c>
      <c r="B273" s="16" t="s">
        <v>5404</v>
      </c>
      <c r="C273" s="16" t="s">
        <v>5405</v>
      </c>
      <c r="D273" s="11" t="s">
        <v>522</v>
      </c>
      <c r="E273" s="11">
        <v>22</v>
      </c>
      <c r="F273" s="11" t="s">
        <v>5384</v>
      </c>
      <c r="G273" s="17">
        <v>4</v>
      </c>
      <c r="H273" s="11"/>
      <c r="I273" s="11"/>
      <c r="J273" s="11" t="s">
        <v>5383</v>
      </c>
      <c r="K273" s="11" t="s">
        <v>5406</v>
      </c>
      <c r="L273" s="11">
        <v>1</v>
      </c>
      <c r="M273" s="31" t="s">
        <v>5407</v>
      </c>
      <c r="N273" s="11"/>
      <c r="O273" s="11"/>
      <c r="P273" s="11" t="s">
        <v>5323</v>
      </c>
      <c r="Q273" s="19"/>
      <c r="R273" s="19"/>
      <c r="S273" s="23" t="str">
        <f>HYPERLINK("https://www.google.com/maps/search/" &amp; Table24[[#This Row],[Tên hẻm]], "Xem trên Google Maps")</f>
        <v>Xem trên Google Maps</v>
      </c>
      <c r="T273" s="16" t="str">
        <f>"Hẻm "&amp;Table24[[#This Row],[Hẻm]]&amp;" "&amp;Table24[[#This Row],[Tuyến đường]]&amp;", Phường "&amp;Table24[[#This Row],[Phường]]&amp;", Quận "&amp;Table24[[#This Row],[Quận]]</f>
        <v>Hẻm 71 Phú Mỹ (nd) Phú Mỹ (nd), Phường 22, Quận Bình Thạnh</v>
      </c>
      <c r="U273" s="36"/>
      <c r="V273" s="56" t="e">
        <f>HYPERLINK("https://www.google.com/maps/search/?api=1&amp;query=" &amp; _xlfn.ENCODEURL(Table24[[#This Row],[Tên hẻm]]), "Link Google Map")</f>
        <v>#VALUE!</v>
      </c>
    </row>
    <row r="274" spans="1:22" ht="47.25" hidden="1">
      <c r="A274" s="11">
        <v>295</v>
      </c>
      <c r="B274" s="16">
        <v>553</v>
      </c>
      <c r="C274" s="16" t="s">
        <v>5408</v>
      </c>
      <c r="D274" s="11">
        <v>1</v>
      </c>
      <c r="E274" s="11" t="s">
        <v>5409</v>
      </c>
      <c r="F274" s="11" t="s">
        <v>5410</v>
      </c>
      <c r="G274" s="17" t="s">
        <v>5411</v>
      </c>
      <c r="H274" s="11"/>
      <c r="I274" s="11"/>
      <c r="J274" s="11" t="s">
        <v>5412</v>
      </c>
      <c r="K274" s="11" t="s">
        <v>5413</v>
      </c>
      <c r="L274" s="11">
        <v>5</v>
      </c>
      <c r="M274" s="31" t="s">
        <v>5414</v>
      </c>
      <c r="N274" s="11"/>
      <c r="O274" s="11"/>
      <c r="P274" s="11" t="s">
        <v>5317</v>
      </c>
      <c r="Q274" s="19"/>
      <c r="R274" s="19"/>
      <c r="S274" s="23" t="str">
        <f>HYPERLINK("https://www.google.com/maps/search/" &amp; Table24[[#This Row],[Tên hẻm]], "Xem trên Google Maps")</f>
        <v>Xem trên Google Maps</v>
      </c>
      <c r="T274" s="16" t="str">
        <f>"Hẻm "&amp;Table24[[#This Row],[Hẻm]]&amp;" "&amp;Table24[[#This Row],[Tuyến đường]]&amp;", Phường "&amp;Table24[[#This Row],[Phường]]&amp;", Quận "&amp;Table24[[#This Row],[Quận]]</f>
        <v>Hẻm 553 Trần Hưng Đạo, Phường Cầu Kho, Quận 1</v>
      </c>
      <c r="U274" s="36"/>
      <c r="V274" s="56" t="e">
        <f>HYPERLINK("https://www.google.com/maps/search/?api=1&amp;query=" &amp; _xlfn.ENCODEURL(Table24[[#This Row],[Tên hẻm]]), "Link Google Map")</f>
        <v>#VALUE!</v>
      </c>
    </row>
    <row r="275" spans="1:22" ht="47.25" hidden="1">
      <c r="A275" s="11">
        <v>296</v>
      </c>
      <c r="B275" s="16" t="s">
        <v>5415</v>
      </c>
      <c r="C275" s="16" t="s">
        <v>5415</v>
      </c>
      <c r="D275" s="11" t="s">
        <v>5219</v>
      </c>
      <c r="E275" s="11">
        <v>2</v>
      </c>
      <c r="F275" s="11" t="s">
        <v>5416</v>
      </c>
      <c r="G275" s="17" t="s">
        <v>4954</v>
      </c>
      <c r="H275" s="11"/>
      <c r="I275" s="11"/>
      <c r="J275" s="11" t="s">
        <v>5417</v>
      </c>
      <c r="K275" s="11" t="s">
        <v>5418</v>
      </c>
      <c r="L275" s="11">
        <v>2</v>
      </c>
      <c r="M275" s="31" t="s">
        <v>5419</v>
      </c>
      <c r="N275" s="11"/>
      <c r="O275" s="11"/>
      <c r="P275" s="11" t="s">
        <v>5224</v>
      </c>
      <c r="Q275" s="19"/>
      <c r="R275" s="19"/>
      <c r="S275" s="23" t="str">
        <f>HYPERLINK("https://www.google.com/maps/search/" &amp; Table24[[#This Row],[Tên hẻm]], "Xem trên Google Maps")</f>
        <v>Xem trên Google Maps</v>
      </c>
      <c r="T275" s="16" t="str">
        <f>"Hẻm "&amp;Table24[[#This Row],[Hẻm]]&amp;" "&amp;Table24[[#This Row],[Tuyến đường]]&amp;", Phường "&amp;Table24[[#This Row],[Phường]]&amp;", Quận "&amp;Table24[[#This Row],[Quận]]</f>
        <v xml:space="preserve">Hẻm Hẻm 60 vũ tùng  Hẻm 60 vũ tùng , Phường 2, Quận Bình thạnh </v>
      </c>
      <c r="U275" s="36"/>
      <c r="V275" s="56" t="e">
        <f>HYPERLINK("https://www.google.com/maps/search/?api=1&amp;query=" &amp; _xlfn.ENCODEURL(Table24[[#This Row],[Tên hẻm]]), "Link Google Map")</f>
        <v>#VALUE!</v>
      </c>
    </row>
    <row r="276" spans="1:22" ht="47.25" hidden="1">
      <c r="A276" s="11">
        <v>297</v>
      </c>
      <c r="B276" s="16" t="s">
        <v>5420</v>
      </c>
      <c r="C276" s="16" t="s">
        <v>5421</v>
      </c>
      <c r="D276" s="11" t="s">
        <v>5219</v>
      </c>
      <c r="E276" s="11">
        <v>14</v>
      </c>
      <c r="F276" s="11" t="s">
        <v>5422</v>
      </c>
      <c r="G276" s="17">
        <v>3</v>
      </c>
      <c r="H276" s="11"/>
      <c r="I276" s="11"/>
      <c r="J276" s="11" t="s">
        <v>5423</v>
      </c>
      <c r="K276" s="11" t="s">
        <v>5424</v>
      </c>
      <c r="L276" s="11">
        <v>2</v>
      </c>
      <c r="M276" s="31" t="s">
        <v>5425</v>
      </c>
      <c r="N276" s="11"/>
      <c r="O276" s="11"/>
      <c r="P276" s="11" t="s">
        <v>5224</v>
      </c>
      <c r="Q276" s="19"/>
      <c r="R276" s="19"/>
      <c r="S276" s="23" t="str">
        <f>HYPERLINK("https://www.google.com/maps/search/" &amp; Table24[[#This Row],[Tên hẻm]], "Xem trên Google Maps")</f>
        <v>Xem trên Google Maps</v>
      </c>
      <c r="T276" s="16" t="str">
        <f>"Hẻm "&amp;Table24[[#This Row],[Hẻm]]&amp;" "&amp;Table24[[#This Row],[Tuyến đường]]&amp;", Phường "&amp;Table24[[#This Row],[Phường]]&amp;", Quận "&amp;Table24[[#This Row],[Quận]]</f>
        <v xml:space="preserve">Hẻm 14 Nguyễn Huy lượng  Hẻm 14 Nguyễn Huy lượng , Phường 14, Quận Bình thạnh </v>
      </c>
      <c r="U276" s="36"/>
      <c r="V276" s="56" t="e">
        <f>HYPERLINK("https://www.google.com/maps/search/?api=1&amp;query=" &amp; _xlfn.ENCODEURL(Table24[[#This Row],[Tên hẻm]]), "Link Google Map")</f>
        <v>#VALUE!</v>
      </c>
    </row>
    <row r="277" spans="1:22" ht="47.25" hidden="1">
      <c r="A277" s="11">
        <v>298</v>
      </c>
      <c r="B277" s="16" t="s">
        <v>5426</v>
      </c>
      <c r="C277" s="16" t="s">
        <v>5427</v>
      </c>
      <c r="D277" s="11" t="s">
        <v>5219</v>
      </c>
      <c r="E277" s="11">
        <v>14</v>
      </c>
      <c r="F277" s="11" t="s">
        <v>5428</v>
      </c>
      <c r="G277" s="17">
        <v>3</v>
      </c>
      <c r="H277" s="11"/>
      <c r="I277" s="11"/>
      <c r="J277" s="11" t="s">
        <v>5429</v>
      </c>
      <c r="K277" s="11" t="s">
        <v>5430</v>
      </c>
      <c r="L277" s="11">
        <v>2</v>
      </c>
      <c r="M277" s="31" t="s">
        <v>5431</v>
      </c>
      <c r="N277" s="11"/>
      <c r="O277" s="11"/>
      <c r="P277" s="11" t="s">
        <v>5224</v>
      </c>
      <c r="Q277" s="19"/>
      <c r="R277" s="19"/>
      <c r="S277" s="23" t="str">
        <f>HYPERLINK("https://www.google.com/maps/search/" &amp; Table24[[#This Row],[Tên hẻm]], "Xem trên Google Maps")</f>
        <v>Xem trên Google Maps</v>
      </c>
      <c r="T277" s="16" t="str">
        <f>"Hẻm "&amp;Table24[[#This Row],[Hẻm]]&amp;" "&amp;Table24[[#This Row],[Tuyến đường]]&amp;", Phường "&amp;Table24[[#This Row],[Phường]]&amp;", Quận "&amp;Table24[[#This Row],[Quận]]</f>
        <v xml:space="preserve">Hẻm 194 lê quang định  Hẻm 194 lê quang định , Phường 14, Quận Bình thạnh </v>
      </c>
      <c r="U277" s="36"/>
      <c r="V277" s="56" t="e">
        <f>HYPERLINK("https://www.google.com/maps/search/?api=1&amp;query=" &amp; _xlfn.ENCODEURL(Table24[[#This Row],[Tên hẻm]]), "Link Google Map")</f>
        <v>#VALUE!</v>
      </c>
    </row>
    <row r="278" spans="1:22" ht="47.25" hidden="1">
      <c r="A278" s="11">
        <v>299</v>
      </c>
      <c r="B278" s="16" t="s">
        <v>5432</v>
      </c>
      <c r="C278" s="16" t="s">
        <v>5433</v>
      </c>
      <c r="D278" s="11" t="s">
        <v>5219</v>
      </c>
      <c r="E278" s="11">
        <v>11</v>
      </c>
      <c r="F278" s="11" t="s">
        <v>5434</v>
      </c>
      <c r="G278" s="17" t="s">
        <v>4367</v>
      </c>
      <c r="H278" s="11"/>
      <c r="I278" s="11"/>
      <c r="J278" s="11" t="s">
        <v>5435</v>
      </c>
      <c r="K278" s="11" t="s">
        <v>5436</v>
      </c>
      <c r="L278" s="11">
        <v>2</v>
      </c>
      <c r="M278" s="31" t="s">
        <v>5437</v>
      </c>
      <c r="N278" s="11"/>
      <c r="O278" s="11"/>
      <c r="P278" s="11" t="s">
        <v>5224</v>
      </c>
      <c r="Q278" s="19"/>
      <c r="R278" s="19"/>
      <c r="S278" s="23" t="str">
        <f>HYPERLINK("https://www.google.com/maps/search/" &amp; Table24[[#This Row],[Tên hẻm]], "Xem trên Google Maps")</f>
        <v>Xem trên Google Maps</v>
      </c>
      <c r="T278" s="16" t="str">
        <f>"Hẻm "&amp;Table24[[#This Row],[Hẻm]]&amp;" "&amp;Table24[[#This Row],[Tuyến đường]]&amp;", Phường "&amp;Table24[[#This Row],[Phường]]&amp;", Quận "&amp;Table24[[#This Row],[Quận]]</f>
        <v xml:space="preserve">Hẻm 366 lê quang định  Lê Quang Định , Phường 11, Quận Bình thạnh </v>
      </c>
      <c r="U278" s="36"/>
      <c r="V278" s="56" t="e">
        <f>HYPERLINK("https://www.google.com/maps/search/?api=1&amp;query=" &amp; _xlfn.ENCODEURL(Table24[[#This Row],[Tên hẻm]]), "Link Google Map")</f>
        <v>#VALUE!</v>
      </c>
    </row>
    <row r="279" spans="1:22" ht="47.25" hidden="1">
      <c r="A279" s="11">
        <v>300</v>
      </c>
      <c r="B279" s="16">
        <v>518</v>
      </c>
      <c r="C279" s="16" t="s">
        <v>5438</v>
      </c>
      <c r="D279" s="11">
        <v>1</v>
      </c>
      <c r="E279" s="11" t="s">
        <v>5409</v>
      </c>
      <c r="F279" s="11" t="s">
        <v>5439</v>
      </c>
      <c r="G279" s="17" t="s">
        <v>4993</v>
      </c>
      <c r="H279" s="11"/>
      <c r="I279" s="11"/>
      <c r="J279" s="11" t="s">
        <v>5440</v>
      </c>
      <c r="K279" s="11" t="s">
        <v>5441</v>
      </c>
      <c r="L279" s="11">
        <v>3</v>
      </c>
      <c r="M279" s="31" t="s">
        <v>5442</v>
      </c>
      <c r="N279" s="11"/>
      <c r="O279" s="11"/>
      <c r="P279" s="11" t="s">
        <v>5317</v>
      </c>
      <c r="Q279" s="19"/>
      <c r="R279" s="19"/>
      <c r="S279" s="23" t="str">
        <f>HYPERLINK("https://www.google.com/maps/search/" &amp; Table24[[#This Row],[Tên hẻm]], "Xem trên Google Maps")</f>
        <v>Xem trên Google Maps</v>
      </c>
      <c r="T279" s="16" t="str">
        <f>"Hẻm "&amp;Table24[[#This Row],[Hẻm]]&amp;" "&amp;Table24[[#This Row],[Tuyến đường]]&amp;", Phường "&amp;Table24[[#This Row],[Phường]]&amp;", Quận "&amp;Table24[[#This Row],[Quận]]</f>
        <v>Hẻm 518 Võ văn Kiệt, Phường Cầu Kho, Quận 1</v>
      </c>
      <c r="U279" s="36"/>
      <c r="V279" s="56" t="e">
        <f>HYPERLINK("https://www.google.com/maps/search/?api=1&amp;query=" &amp; _xlfn.ENCODEURL(Table24[[#This Row],[Tên hẻm]]), "Link Google Map")</f>
        <v>#VALUE!</v>
      </c>
    </row>
    <row r="280" spans="1:22" ht="47.25" hidden="1">
      <c r="A280" s="11">
        <v>301</v>
      </c>
      <c r="B280" s="16" t="s">
        <v>5443</v>
      </c>
      <c r="C280" s="16" t="s">
        <v>5444</v>
      </c>
      <c r="D280" s="11" t="s">
        <v>4398</v>
      </c>
      <c r="E280" s="11">
        <v>7</v>
      </c>
      <c r="F280" s="11" t="s">
        <v>5445</v>
      </c>
      <c r="G280" s="17">
        <v>3</v>
      </c>
      <c r="H280" s="11"/>
      <c r="I280" s="11"/>
      <c r="J280" s="11" t="s">
        <v>5446</v>
      </c>
      <c r="K280" s="11" t="s">
        <v>5447</v>
      </c>
      <c r="L280" s="11">
        <v>3</v>
      </c>
      <c r="M280" s="31" t="s">
        <v>5448</v>
      </c>
      <c r="N280" s="11"/>
      <c r="O280" s="11"/>
      <c r="P280" s="11" t="s">
        <v>4837</v>
      </c>
      <c r="Q280" s="19"/>
      <c r="R280" s="19"/>
      <c r="S280" s="23" t="str">
        <f>HYPERLINK("https://www.google.com/maps/search/" &amp; Table24[[#This Row],[Tên hẻm]], "Xem trên Google Maps")</f>
        <v>Xem trên Google Maps</v>
      </c>
      <c r="T280" s="16" t="str">
        <f>"Hẻm "&amp;Table24[[#This Row],[Hẻm]]&amp;" "&amp;Table24[[#This Row],[Tuyến đường]]&amp;", Phường "&amp;Table24[[#This Row],[Phường]]&amp;", Quận "&amp;Table24[[#This Row],[Quận]]</f>
        <v xml:space="preserve">Hẻm 76/47 Phan Tây Hồ , Phường 7, Quận Phú Nhuận </v>
      </c>
      <c r="U280" s="36"/>
      <c r="V280" s="56" t="e">
        <f>HYPERLINK("https://www.google.com/maps/search/?api=1&amp;query=" &amp; _xlfn.ENCODEURL(Table24[[#This Row],[Tên hẻm]]), "Link Google Map")</f>
        <v>#VALUE!</v>
      </c>
    </row>
    <row r="281" spans="1:22" ht="47.25" hidden="1">
      <c r="A281" s="11">
        <v>302</v>
      </c>
      <c r="B281" s="16">
        <v>391</v>
      </c>
      <c r="C281" s="16" t="s">
        <v>5408</v>
      </c>
      <c r="D281" s="11">
        <v>1</v>
      </c>
      <c r="E281" s="11" t="s">
        <v>5409</v>
      </c>
      <c r="F281" s="11" t="s">
        <v>5449</v>
      </c>
      <c r="G281" s="17" t="s">
        <v>4371</v>
      </c>
      <c r="H281" s="11"/>
      <c r="I281" s="11"/>
      <c r="J281" s="11" t="s">
        <v>5450</v>
      </c>
      <c r="K281" s="11" t="s">
        <v>5451</v>
      </c>
      <c r="L281" s="11">
        <v>6</v>
      </c>
      <c r="M281" s="31" t="s">
        <v>5452</v>
      </c>
      <c r="N281" s="11"/>
      <c r="O281" s="11"/>
      <c r="P281" s="11" t="s">
        <v>5317</v>
      </c>
      <c r="Q281" s="19"/>
      <c r="R281" s="19"/>
      <c r="S281" s="23" t="str">
        <f>HYPERLINK("https://www.google.com/maps/search/" &amp; Table24[[#This Row],[Tên hẻm]], "Xem trên Google Maps")</f>
        <v>Xem trên Google Maps</v>
      </c>
      <c r="T281" s="16" t="str">
        <f>"Hẻm "&amp;Table24[[#This Row],[Hẻm]]&amp;" "&amp;Table24[[#This Row],[Tuyến đường]]&amp;", Phường "&amp;Table24[[#This Row],[Phường]]&amp;", Quận "&amp;Table24[[#This Row],[Quận]]</f>
        <v>Hẻm 391 Trần Hưng Đạo, Phường Cầu Kho, Quận 1</v>
      </c>
      <c r="U281" s="36"/>
      <c r="V281" s="56" t="e">
        <f>HYPERLINK("https://www.google.com/maps/search/?api=1&amp;query=" &amp; _xlfn.ENCODEURL(Table24[[#This Row],[Tên hẻm]]), "Link Google Map")</f>
        <v>#VALUE!</v>
      </c>
    </row>
    <row r="282" spans="1:22" ht="47.25" hidden="1">
      <c r="A282" s="11">
        <v>303</v>
      </c>
      <c r="B282" s="16" t="s">
        <v>5453</v>
      </c>
      <c r="C282" s="16" t="s">
        <v>5454</v>
      </c>
      <c r="D282" s="11">
        <v>11</v>
      </c>
      <c r="E282" s="11">
        <v>5</v>
      </c>
      <c r="F282" s="11" t="s">
        <v>3646</v>
      </c>
      <c r="G282" s="17" t="s">
        <v>4788</v>
      </c>
      <c r="H282" s="11"/>
      <c r="I282" s="11"/>
      <c r="J282" s="11" t="s">
        <v>5455</v>
      </c>
      <c r="K282" s="11" t="s">
        <v>5456</v>
      </c>
      <c r="L282" s="11">
        <v>4</v>
      </c>
      <c r="M282" s="31" t="s">
        <v>5457</v>
      </c>
      <c r="N282" s="11"/>
      <c r="O282" s="11"/>
      <c r="P282" s="11" t="s">
        <v>4861</v>
      </c>
      <c r="Q282" s="19"/>
      <c r="R282" s="19"/>
      <c r="S282" s="23" t="str">
        <f>HYPERLINK("https://www.google.com/maps/search/" &amp; Table24[[#This Row],[Tên hẻm]], "Xem trên Google Maps")</f>
        <v>Xem trên Google Maps</v>
      </c>
      <c r="T282" s="16" t="str">
        <f>"Hẻm "&amp;Table24[[#This Row],[Hẻm]]&amp;" "&amp;Table24[[#This Row],[Tuyến đường]]&amp;", Phường "&amp;Table24[[#This Row],[Phường]]&amp;", Quận "&amp;Table24[[#This Row],[Quận]]</f>
        <v>Hẻm Hẻm 51 Ông ích Khiêm  Ông Ích Khiêm , Phường 5, Quận 11</v>
      </c>
      <c r="U282" s="36"/>
      <c r="V282" s="56" t="e">
        <f>HYPERLINK("https://www.google.com/maps/search/?api=1&amp;query=" &amp; _xlfn.ENCODEURL(Table24[[#This Row],[Tên hẻm]]), "Link Google Map")</f>
        <v>#VALUE!</v>
      </c>
    </row>
    <row r="283" spans="1:22" ht="47.25" hidden="1">
      <c r="A283" s="11">
        <v>304</v>
      </c>
      <c r="B283" s="16">
        <v>19</v>
      </c>
      <c r="C283" s="16" t="s">
        <v>5458</v>
      </c>
      <c r="D283" s="11" t="s">
        <v>4398</v>
      </c>
      <c r="E283" s="11">
        <v>7</v>
      </c>
      <c r="F283" s="11" t="s">
        <v>5459</v>
      </c>
      <c r="G283" s="17">
        <v>3</v>
      </c>
      <c r="H283" s="11"/>
      <c r="I283" s="11"/>
      <c r="J283" s="11" t="s">
        <v>5460</v>
      </c>
      <c r="K283" s="11" t="s">
        <v>5461</v>
      </c>
      <c r="L283" s="11">
        <v>5</v>
      </c>
      <c r="M283" s="31" t="s">
        <v>5462</v>
      </c>
      <c r="N283" s="11"/>
      <c r="O283" s="11"/>
      <c r="P283" s="11" t="s">
        <v>4837</v>
      </c>
      <c r="Q283" s="19"/>
      <c r="R283" s="19"/>
      <c r="S283" s="23" t="str">
        <f>HYPERLINK("https://www.google.com/maps/search/" &amp; Table24[[#This Row],[Tên hẻm]], "Xem trên Google Maps")</f>
        <v>Xem trên Google Maps</v>
      </c>
      <c r="T283" s="16" t="str">
        <f>"Hẻm "&amp;Table24[[#This Row],[Hẻm]]&amp;" "&amp;Table24[[#This Row],[Tuyến đường]]&amp;", Phường "&amp;Table24[[#This Row],[Phường]]&amp;", Quận "&amp;Table24[[#This Row],[Quận]]</f>
        <v xml:space="preserve">Hẻm 19 Cầm Bá Thước , Phường 7, Quận Phú Nhuận </v>
      </c>
      <c r="U283" s="36"/>
      <c r="V283" s="56" t="e">
        <f>HYPERLINK("https://www.google.com/maps/search/?api=1&amp;query=" &amp; _xlfn.ENCODEURL(Table24[[#This Row],[Tên hẻm]]), "Link Google Map")</f>
        <v>#VALUE!</v>
      </c>
    </row>
    <row r="284" spans="1:22" ht="47.25" hidden="1">
      <c r="A284" s="11">
        <v>305</v>
      </c>
      <c r="B284" s="16" t="s">
        <v>5463</v>
      </c>
      <c r="C284" s="16" t="s">
        <v>5464</v>
      </c>
      <c r="D284" s="11">
        <v>11</v>
      </c>
      <c r="E284" s="11">
        <v>8</v>
      </c>
      <c r="F284" s="11" t="s">
        <v>5465</v>
      </c>
      <c r="G284" s="17" t="s">
        <v>4788</v>
      </c>
      <c r="H284" s="11"/>
      <c r="I284" s="11"/>
      <c r="J284" s="11" t="s">
        <v>5466</v>
      </c>
      <c r="K284" s="11" t="s">
        <v>5467</v>
      </c>
      <c r="L284" s="11">
        <v>3</v>
      </c>
      <c r="M284" s="31" t="s">
        <v>5468</v>
      </c>
      <c r="N284" s="11"/>
      <c r="O284" s="11"/>
      <c r="P284" s="11" t="s">
        <v>4861</v>
      </c>
      <c r="Q284" s="19"/>
      <c r="R284" s="19"/>
      <c r="S284" s="23" t="str">
        <f>HYPERLINK("https://www.google.com/maps/search/" &amp; Table24[[#This Row],[Tên hẻm]], "Xem trên Google Maps")</f>
        <v>Xem trên Google Maps</v>
      </c>
      <c r="T284" s="16" t="str">
        <f>"Hẻm "&amp;Table24[[#This Row],[Hẻm]]&amp;" "&amp;Table24[[#This Row],[Tuyến đường]]&amp;", Phường "&amp;Table24[[#This Row],[Phường]]&amp;", Quận "&amp;Table24[[#This Row],[Quận]]</f>
        <v>Hẻm Hẻm 32 Đường số 3 CXBT Đường số 3 CXBT, Phường 8, Quận 11</v>
      </c>
      <c r="U284" s="36"/>
      <c r="V284" s="56" t="e">
        <f>HYPERLINK("https://www.google.com/maps/search/?api=1&amp;query=" &amp; _xlfn.ENCODEURL(Table24[[#This Row],[Tên hẻm]]), "Link Google Map")</f>
        <v>#VALUE!</v>
      </c>
    </row>
    <row r="285" spans="1:22" ht="47.25" hidden="1">
      <c r="A285" s="11">
        <v>306</v>
      </c>
      <c r="B285" s="16" t="s">
        <v>5469</v>
      </c>
      <c r="C285" s="16" t="s">
        <v>5470</v>
      </c>
      <c r="D285" s="11">
        <v>11</v>
      </c>
      <c r="E285" s="11">
        <v>5</v>
      </c>
      <c r="F285" s="11" t="s">
        <v>5471</v>
      </c>
      <c r="G285" s="17" t="s">
        <v>4772</v>
      </c>
      <c r="H285" s="11"/>
      <c r="I285" s="11"/>
      <c r="J285" s="11" t="s">
        <v>5472</v>
      </c>
      <c r="K285" s="11" t="s">
        <v>5473</v>
      </c>
      <c r="L285" s="11">
        <v>6</v>
      </c>
      <c r="M285" s="31" t="s">
        <v>5474</v>
      </c>
      <c r="N285" s="11"/>
      <c r="O285" s="11"/>
      <c r="P285" s="11" t="s">
        <v>4861</v>
      </c>
      <c r="Q285" s="19"/>
      <c r="R285" s="19"/>
      <c r="S285" s="23" t="str">
        <f>HYPERLINK("https://www.google.com/maps/search/" &amp; Table24[[#This Row],[Tên hẻm]], "Xem trên Google Maps")</f>
        <v>Xem trên Google Maps</v>
      </c>
      <c r="T285" s="16" t="str">
        <f>"Hẻm "&amp;Table24[[#This Row],[Hẻm]]&amp;" "&amp;Table24[[#This Row],[Tuyến đường]]&amp;", Phường "&amp;Table24[[#This Row],[Phường]]&amp;", Quận "&amp;Table24[[#This Row],[Quận]]</f>
        <v>Hẻm Hẻm 416 lạc Long Quân  Hẻm 416 Lạc Long Quân , Phường 5, Quận 11</v>
      </c>
      <c r="U285" s="36"/>
      <c r="V285" s="56" t="e">
        <f>HYPERLINK("https://www.google.com/maps/search/?api=1&amp;query=" &amp; _xlfn.ENCODEURL(Table24[[#This Row],[Tên hẻm]]), "Link Google Map")</f>
        <v>#VALUE!</v>
      </c>
    </row>
    <row r="286" spans="1:22" ht="47.25" hidden="1">
      <c r="A286" s="11">
        <v>307</v>
      </c>
      <c r="B286" s="16" t="s">
        <v>5475</v>
      </c>
      <c r="C286" s="16" t="s">
        <v>4724</v>
      </c>
      <c r="D286" s="11">
        <v>11</v>
      </c>
      <c r="E286" s="11">
        <v>5</v>
      </c>
      <c r="F286" s="11" t="s">
        <v>5476</v>
      </c>
      <c r="G286" s="17" t="s">
        <v>4772</v>
      </c>
      <c r="H286" s="11"/>
      <c r="I286" s="11"/>
      <c r="J286" s="11" t="s">
        <v>5477</v>
      </c>
      <c r="K286" s="11" t="s">
        <v>5478</v>
      </c>
      <c r="L286" s="11">
        <v>7</v>
      </c>
      <c r="M286" s="31" t="s">
        <v>5479</v>
      </c>
      <c r="N286" s="11"/>
      <c r="O286" s="11"/>
      <c r="P286" s="11" t="s">
        <v>4861</v>
      </c>
      <c r="Q286" s="19"/>
      <c r="R286" s="19"/>
      <c r="S286" s="23" t="str">
        <f>HYPERLINK("https://www.google.com/maps/search/" &amp; Table24[[#This Row],[Tên hẻm]], "Xem trên Google Maps")</f>
        <v>Xem trên Google Maps</v>
      </c>
      <c r="T286" s="16" t="str">
        <f>"Hẻm "&amp;Table24[[#This Row],[Hẻm]]&amp;" "&amp;Table24[[#This Row],[Tuyến đường]]&amp;", Phường "&amp;Table24[[#This Row],[Phường]]&amp;", Quận "&amp;Table24[[#This Row],[Quận]]</f>
        <v>Hẻm Hẻm 480 lạc Long Quân  Lạc Long Quân , Phường 5, Quận 11</v>
      </c>
      <c r="U286" s="36"/>
      <c r="V286" s="56" t="e">
        <f>HYPERLINK("https://www.google.com/maps/search/?api=1&amp;query=" &amp; _xlfn.ENCODEURL(Table24[[#This Row],[Tên hẻm]]), "Link Google Map")</f>
        <v>#VALUE!</v>
      </c>
    </row>
    <row r="287" spans="1:22" ht="47.25" hidden="1">
      <c r="A287" s="11">
        <v>308</v>
      </c>
      <c r="B287" s="16" t="s">
        <v>5480</v>
      </c>
      <c r="C287" s="16" t="s">
        <v>5481</v>
      </c>
      <c r="D287" s="11" t="s">
        <v>5157</v>
      </c>
      <c r="E287" s="11" t="s">
        <v>5482</v>
      </c>
      <c r="F287" s="11" t="s">
        <v>5483</v>
      </c>
      <c r="G287" s="17" t="s">
        <v>5168</v>
      </c>
      <c r="H287" s="11"/>
      <c r="I287" s="11"/>
      <c r="J287" s="11" t="s">
        <v>5484</v>
      </c>
      <c r="K287" s="11" t="s">
        <v>5485</v>
      </c>
      <c r="L287" s="11" t="s">
        <v>5486</v>
      </c>
      <c r="M287" s="31" t="s">
        <v>5487</v>
      </c>
      <c r="N287" s="11"/>
      <c r="O287" s="11"/>
      <c r="P287" s="11" t="s">
        <v>5164</v>
      </c>
      <c r="Q287" s="19"/>
      <c r="R287" s="19"/>
      <c r="S287" s="23" t="str">
        <f>HYPERLINK("https://www.google.com/maps/search/" &amp; Table24[[#This Row],[Tên hẻm]], "Xem trên Google Maps")</f>
        <v>Xem trên Google Maps</v>
      </c>
      <c r="T287" s="16" t="str">
        <f>"Hẻm "&amp;Table24[[#This Row],[Hẻm]]&amp;" "&amp;Table24[[#This Row],[Tuyến đường]]&amp;", Phường "&amp;Table24[[#This Row],[Phường]]&amp;", Quận "&amp;Table24[[#This Row],[Quận]]</f>
        <v xml:space="preserve">Hẻm Hẻm 190 sư vạn hạnh  Sư vạn Hạnh , Phường Phường 9 , Quận Quận 5 </v>
      </c>
      <c r="U287" s="36"/>
      <c r="V287" s="56" t="e">
        <f>HYPERLINK("https://www.google.com/maps/search/?api=1&amp;query=" &amp; _xlfn.ENCODEURL(Table24[[#This Row],[Tên hẻm]]), "Link Google Map")</f>
        <v>#VALUE!</v>
      </c>
    </row>
    <row r="288" spans="1:22" ht="47.25" hidden="1">
      <c r="A288" s="11">
        <v>309</v>
      </c>
      <c r="B288" s="16" t="s">
        <v>5488</v>
      </c>
      <c r="C288" s="16" t="s">
        <v>5489</v>
      </c>
      <c r="D288" s="11" t="s">
        <v>5157</v>
      </c>
      <c r="E288" s="11" t="s">
        <v>5490</v>
      </c>
      <c r="F288" s="11" t="s">
        <v>5491</v>
      </c>
      <c r="G288" s="17" t="s">
        <v>4892</v>
      </c>
      <c r="H288" s="11"/>
      <c r="I288" s="11"/>
      <c r="J288" s="11" t="s">
        <v>5492</v>
      </c>
      <c r="K288" s="11" t="s">
        <v>5493</v>
      </c>
      <c r="L288" s="11" t="s">
        <v>5494</v>
      </c>
      <c r="M288" s="31" t="s">
        <v>5495</v>
      </c>
      <c r="N288" s="11"/>
      <c r="O288" s="11"/>
      <c r="P288" s="11" t="s">
        <v>5164</v>
      </c>
      <c r="Q288" s="19"/>
      <c r="R288" s="19"/>
      <c r="S288" s="23" t="str">
        <f>HYPERLINK("https://www.google.com/maps/search/" &amp; Table24[[#This Row],[Tên hẻm]], "Xem trên Google Maps")</f>
        <v>Xem trên Google Maps</v>
      </c>
      <c r="T288" s="16" t="str">
        <f>"Hẻm "&amp;Table24[[#This Row],[Hẻm]]&amp;" "&amp;Table24[[#This Row],[Tuyến đường]]&amp;", Phường "&amp;Table24[[#This Row],[Phường]]&amp;", Quận "&amp;Table24[[#This Row],[Quận]]</f>
        <v xml:space="preserve">Hẻm Hẻm 197 cao đạt Cao đạt, Phường Phường 1, Quận Quận 5 </v>
      </c>
      <c r="U288" s="36"/>
      <c r="V288" s="56" t="e">
        <f>HYPERLINK("https://www.google.com/maps/search/?api=1&amp;query=" &amp; _xlfn.ENCODEURL(Table24[[#This Row],[Tên hẻm]]), "Link Google Map")</f>
        <v>#VALUE!</v>
      </c>
    </row>
    <row r="289" spans="1:22" ht="47.25" hidden="1">
      <c r="A289" s="11">
        <v>310</v>
      </c>
      <c r="B289" s="16" t="s">
        <v>5496</v>
      </c>
      <c r="C289" s="16" t="s">
        <v>5497</v>
      </c>
      <c r="D289" s="11">
        <v>11</v>
      </c>
      <c r="E289" s="11">
        <v>5</v>
      </c>
      <c r="F289" s="11" t="s">
        <v>5498</v>
      </c>
      <c r="G289" s="17" t="s">
        <v>4788</v>
      </c>
      <c r="H289" s="11"/>
      <c r="I289" s="11"/>
      <c r="J289" s="11" t="s">
        <v>5499</v>
      </c>
      <c r="K289" s="11" t="s">
        <v>5500</v>
      </c>
      <c r="L289" s="11">
        <v>6</v>
      </c>
      <c r="M289" s="31" t="s">
        <v>5501</v>
      </c>
      <c r="N289" s="11"/>
      <c r="O289" s="11"/>
      <c r="P289" s="11" t="s">
        <v>4861</v>
      </c>
      <c r="Q289" s="19"/>
      <c r="R289" s="19"/>
      <c r="S289" s="23" t="str">
        <f>HYPERLINK("https://www.google.com/maps/search/" &amp; Table24[[#This Row],[Tên hẻm]], "Xem trên Google Maps")</f>
        <v>Xem trên Google Maps</v>
      </c>
      <c r="T289" s="16" t="str">
        <f>"Hẻm "&amp;Table24[[#This Row],[Hẻm]]&amp;" "&amp;Table24[[#This Row],[Tuyến đường]]&amp;", Phường "&amp;Table24[[#This Row],[Phường]]&amp;", Quận "&amp;Table24[[#This Row],[Quận]]</f>
        <v>Hẻm Hẻm A Cư Xá Phú Thọ Hòa  CXPT Hòa , Phường 5, Quận 11</v>
      </c>
      <c r="U289" s="36"/>
      <c r="V289" s="56" t="e">
        <f>HYPERLINK("https://www.google.com/maps/search/?api=1&amp;query=" &amp; _xlfn.ENCODEURL(Table24[[#This Row],[Tên hẻm]]), "Link Google Map")</f>
        <v>#VALUE!</v>
      </c>
    </row>
    <row r="290" spans="1:22" ht="47.25" hidden="1">
      <c r="A290" s="11">
        <v>311</v>
      </c>
      <c r="B290" s="16" t="s">
        <v>5502</v>
      </c>
      <c r="C290" s="16" t="s">
        <v>5356</v>
      </c>
      <c r="D290" s="11">
        <v>1</v>
      </c>
      <c r="E290" s="11" t="s">
        <v>5409</v>
      </c>
      <c r="F290" s="11" t="s">
        <v>5439</v>
      </c>
      <c r="G290" s="17">
        <v>5</v>
      </c>
      <c r="H290" s="11"/>
      <c r="I290" s="11"/>
      <c r="J290" s="11" t="s">
        <v>5503</v>
      </c>
      <c r="K290" s="11" t="s">
        <v>5504</v>
      </c>
      <c r="L290" s="11">
        <v>4</v>
      </c>
      <c r="M290" s="31" t="s">
        <v>5505</v>
      </c>
      <c r="N290" s="11"/>
      <c r="O290" s="11"/>
      <c r="P290" s="11" t="s">
        <v>5317</v>
      </c>
      <c r="Q290" s="19"/>
      <c r="R290" s="19"/>
      <c r="S290" s="23" t="str">
        <f>HYPERLINK("https://www.google.com/maps/search/" &amp; Table24[[#This Row],[Tên hẻm]], "Xem trên Google Maps")</f>
        <v>Xem trên Google Maps</v>
      </c>
      <c r="T290" s="16" t="str">
        <f>"Hẻm "&amp;Table24[[#This Row],[Hẻm]]&amp;" "&amp;Table24[[#This Row],[Tuyến đường]]&amp;", Phường "&amp;Table24[[#This Row],[Phường]]&amp;", Quận "&amp;Table24[[#This Row],[Quận]]</f>
        <v>Hẻm TK29 Nguyễn Cảnh Chân, Phường Cầu Kho, Quận 1</v>
      </c>
      <c r="U290" s="36"/>
      <c r="V290" s="56" t="e">
        <f>HYPERLINK("https://www.google.com/maps/search/?api=1&amp;query=" &amp; _xlfn.ENCODEURL(Table24[[#This Row],[Tên hẻm]]), "Link Google Map")</f>
        <v>#VALUE!</v>
      </c>
    </row>
    <row r="291" spans="1:22" ht="47.25" hidden="1">
      <c r="A291" s="11">
        <v>312</v>
      </c>
      <c r="B291" s="16" t="s">
        <v>5506</v>
      </c>
      <c r="C291" s="16" t="s">
        <v>5507</v>
      </c>
      <c r="D291" s="11">
        <v>11</v>
      </c>
      <c r="E291" s="11">
        <v>5</v>
      </c>
      <c r="F291" s="11" t="s">
        <v>5508</v>
      </c>
      <c r="G291" s="17" t="s">
        <v>4772</v>
      </c>
      <c r="H291" s="11"/>
      <c r="I291" s="11"/>
      <c r="J291" s="11" t="s">
        <v>5509</v>
      </c>
      <c r="K291" s="11" t="s">
        <v>5510</v>
      </c>
      <c r="L291" s="11">
        <v>4</v>
      </c>
      <c r="M291" s="31" t="s">
        <v>5511</v>
      </c>
      <c r="N291" s="11"/>
      <c r="O291" s="11"/>
      <c r="P291" s="11" t="s">
        <v>4861</v>
      </c>
      <c r="Q291" s="19"/>
      <c r="R291" s="19"/>
      <c r="S291" s="23" t="str">
        <f>HYPERLINK("https://www.google.com/maps/search/" &amp; Table24[[#This Row],[Tên hẻm]], "Xem trên Google Maps")</f>
        <v>Xem trên Google Maps</v>
      </c>
      <c r="T291" s="16" t="str">
        <f>"Hẻm "&amp;Table24[[#This Row],[Hẻm]]&amp;" "&amp;Table24[[#This Row],[Tuyến đường]]&amp;", Phường "&amp;Table24[[#This Row],[Phường]]&amp;", Quận "&amp;Table24[[#This Row],[Quận]]</f>
        <v>Hẻm Hẻm 341/6A2 lạc Long Quân  Hẻm 341 LLQ, Phường 5, Quận 11</v>
      </c>
      <c r="U291" s="36"/>
      <c r="V291" s="56" t="e">
        <f>HYPERLINK("https://www.google.com/maps/search/?api=1&amp;query=" &amp; _xlfn.ENCODEURL(Table24[[#This Row],[Tên hẻm]]), "Link Google Map")</f>
        <v>#VALUE!</v>
      </c>
    </row>
    <row r="292" spans="1:22" ht="47.25" hidden="1">
      <c r="A292" s="11">
        <v>313</v>
      </c>
      <c r="B292" s="16" t="s">
        <v>5512</v>
      </c>
      <c r="C292" s="16" t="s">
        <v>5513</v>
      </c>
      <c r="D292" s="11" t="s">
        <v>5157</v>
      </c>
      <c r="E292" s="11" t="s">
        <v>5482</v>
      </c>
      <c r="F292" s="11" t="s">
        <v>5514</v>
      </c>
      <c r="G292" s="17" t="s">
        <v>5515</v>
      </c>
      <c r="H292" s="11"/>
      <c r="I292" s="11"/>
      <c r="J292" s="11" t="s">
        <v>5516</v>
      </c>
      <c r="K292" s="11" t="s">
        <v>5517</v>
      </c>
      <c r="L292" s="11" t="s">
        <v>5518</v>
      </c>
      <c r="M292" s="31" t="s">
        <v>5519</v>
      </c>
      <c r="N292" s="11"/>
      <c r="O292" s="11"/>
      <c r="P292" s="11" t="s">
        <v>5164</v>
      </c>
      <c r="Q292" s="19"/>
      <c r="R292" s="19"/>
      <c r="S292" s="23" t="str">
        <f>HYPERLINK("https://www.google.com/maps/search/" &amp; Table24[[#This Row],[Tên hẻm]], "Xem trên Google Maps")</f>
        <v>Xem trên Google Maps</v>
      </c>
      <c r="T292" s="16" t="str">
        <f>"Hẻm "&amp;Table24[[#This Row],[Hẻm]]&amp;" "&amp;Table24[[#This Row],[Tuyến đường]]&amp;", Phường "&amp;Table24[[#This Row],[Phường]]&amp;", Quận "&amp;Table24[[#This Row],[Quận]]</f>
        <v xml:space="preserve">Hẻm Hẻm 57 trần nhân tôn  Trần Nhân tôn , Phường Phường 9 , Quận Quận 5 </v>
      </c>
      <c r="U292" s="36"/>
      <c r="V292" s="56" t="e">
        <f>HYPERLINK("https://www.google.com/maps/search/?api=1&amp;query=" &amp; _xlfn.ENCODEURL(Table24[[#This Row],[Tên hẻm]]), "Link Google Map")</f>
        <v>#VALUE!</v>
      </c>
    </row>
    <row r="293" spans="1:22" ht="47.25" hidden="1">
      <c r="A293" s="11">
        <v>314</v>
      </c>
      <c r="B293" s="16" t="s">
        <v>5520</v>
      </c>
      <c r="C293" s="16" t="s">
        <v>5521</v>
      </c>
      <c r="D293" s="11" t="s">
        <v>5219</v>
      </c>
      <c r="E293" s="11">
        <v>14</v>
      </c>
      <c r="F293" s="11" t="s">
        <v>5522</v>
      </c>
      <c r="G293" s="17">
        <v>4</v>
      </c>
      <c r="H293" s="11"/>
      <c r="I293" s="11"/>
      <c r="J293" s="11" t="s">
        <v>5523</v>
      </c>
      <c r="K293" s="11" t="s">
        <v>5524</v>
      </c>
      <c r="L293" s="11">
        <v>3</v>
      </c>
      <c r="M293" s="31" t="s">
        <v>5525</v>
      </c>
      <c r="N293" s="11"/>
      <c r="O293" s="11"/>
      <c r="P293" s="11" t="s">
        <v>5224</v>
      </c>
      <c r="Q293" s="19"/>
      <c r="R293" s="19"/>
      <c r="S293" s="23" t="str">
        <f>HYPERLINK("https://www.google.com/maps/search/" &amp; Table24[[#This Row],[Tên hẻm]], "Xem trên Google Maps")</f>
        <v>Xem trên Google Maps</v>
      </c>
      <c r="T293" s="16" t="str">
        <f>"Hẻm "&amp;Table24[[#This Row],[Hẻm]]&amp;" "&amp;Table24[[#This Row],[Tuyến đường]]&amp;", Phường "&amp;Table24[[#This Row],[Phường]]&amp;", Quận "&amp;Table24[[#This Row],[Quận]]</f>
        <v xml:space="preserve">Hẻm 124 trần văn kỷ p14 bình thạnh  Trần Văn Kỷ , Phường 14, Quận Bình thạnh </v>
      </c>
      <c r="U293" s="36"/>
      <c r="V293" s="56" t="e">
        <f>HYPERLINK("https://www.google.com/maps/search/?api=1&amp;query=" &amp; _xlfn.ENCODEURL(Table24[[#This Row],[Tên hẻm]]), "Link Google Map")</f>
        <v>#VALUE!</v>
      </c>
    </row>
    <row r="294" spans="1:22" ht="47.25" hidden="1">
      <c r="A294" s="11">
        <v>315</v>
      </c>
      <c r="B294" s="16" t="s">
        <v>5526</v>
      </c>
      <c r="C294" s="16" t="s">
        <v>5527</v>
      </c>
      <c r="D294" s="11" t="s">
        <v>5157</v>
      </c>
      <c r="E294" s="11" t="s">
        <v>5528</v>
      </c>
      <c r="F294" s="11" t="s">
        <v>1016</v>
      </c>
      <c r="G294" s="17" t="s">
        <v>4788</v>
      </c>
      <c r="H294" s="11"/>
      <c r="I294" s="11"/>
      <c r="J294" s="11" t="s">
        <v>5529</v>
      </c>
      <c r="K294" s="11" t="s">
        <v>5530</v>
      </c>
      <c r="L294" s="11" t="s">
        <v>5531</v>
      </c>
      <c r="M294" s="31" t="s">
        <v>5532</v>
      </c>
      <c r="N294" s="11"/>
      <c r="O294" s="11"/>
      <c r="P294" s="11" t="s">
        <v>5164</v>
      </c>
      <c r="Q294" s="19"/>
      <c r="R294" s="19"/>
      <c r="S294" s="23" t="str">
        <f>HYPERLINK("https://www.google.com/maps/search/" &amp; Table24[[#This Row],[Tên hẻm]], "Xem trên Google Maps")</f>
        <v>Xem trên Google Maps</v>
      </c>
      <c r="T294" s="16" t="str">
        <f>"Hẻm "&amp;Table24[[#This Row],[Hẻm]]&amp;" "&amp;Table24[[#This Row],[Tuyến đường]]&amp;", Phường "&amp;Table24[[#This Row],[Phường]]&amp;", Quận "&amp;Table24[[#This Row],[Quận]]</f>
        <v xml:space="preserve">Hẻm Hẻm 149 Nguyễn Tri Phương , Phường Phường 8, Quận Quận 5 </v>
      </c>
      <c r="U294" s="36"/>
      <c r="V294" s="56" t="e">
        <f>HYPERLINK("https://www.google.com/maps/search/?api=1&amp;query=" &amp; _xlfn.ENCODEURL(Table24[[#This Row],[Tên hẻm]]), "Link Google Map")</f>
        <v>#VALUE!</v>
      </c>
    </row>
    <row r="295" spans="1:22" ht="47.25" hidden="1">
      <c r="A295" s="11">
        <v>316</v>
      </c>
      <c r="B295" s="16" t="s">
        <v>5533</v>
      </c>
      <c r="C295" s="16" t="s">
        <v>5356</v>
      </c>
      <c r="D295" s="11">
        <v>1</v>
      </c>
      <c r="E295" s="11" t="s">
        <v>5409</v>
      </c>
      <c r="F295" s="11" t="s">
        <v>5449</v>
      </c>
      <c r="G295" s="17" t="s">
        <v>4371</v>
      </c>
      <c r="H295" s="11"/>
      <c r="I295" s="11"/>
      <c r="J295" s="11" t="s">
        <v>5534</v>
      </c>
      <c r="K295" s="11" t="s">
        <v>5535</v>
      </c>
      <c r="L295" s="11">
        <v>5</v>
      </c>
      <c r="M295" s="31" t="s">
        <v>5536</v>
      </c>
      <c r="N295" s="11"/>
      <c r="O295" s="11"/>
      <c r="P295" s="11" t="s">
        <v>5537</v>
      </c>
      <c r="Q295" s="19"/>
      <c r="R295" s="19"/>
      <c r="S295" s="23" t="str">
        <f>HYPERLINK("https://www.google.com/maps/search/" &amp; Table24[[#This Row],[Tên hẻm]], "Xem trên Google Maps")</f>
        <v>Xem trên Google Maps</v>
      </c>
      <c r="T295" s="16" t="str">
        <f>"Hẻm "&amp;Table24[[#This Row],[Hẻm]]&amp;" "&amp;Table24[[#This Row],[Tuyến đường]]&amp;", Phường "&amp;Table24[[#This Row],[Phường]]&amp;", Quận "&amp;Table24[[#This Row],[Quận]]</f>
        <v>Hẻm TK28 Nguyễn Cảnh Chân, Phường Cầu Kho, Quận 1</v>
      </c>
      <c r="U295" s="36"/>
      <c r="V295" s="56" t="e">
        <f>HYPERLINK("https://www.google.com/maps/search/?api=1&amp;query=" &amp; _xlfn.ENCODEURL(Table24[[#This Row],[Tên hẻm]]), "Link Google Map")</f>
        <v>#VALUE!</v>
      </c>
    </row>
    <row r="296" spans="1:22" ht="47.25" hidden="1">
      <c r="A296" s="11">
        <v>317</v>
      </c>
      <c r="B296" s="16" t="s">
        <v>5538</v>
      </c>
      <c r="C296" s="16" t="s">
        <v>5539</v>
      </c>
      <c r="D296" s="11" t="s">
        <v>5157</v>
      </c>
      <c r="E296" s="11" t="s">
        <v>5540</v>
      </c>
      <c r="F296" s="11" t="s">
        <v>1449</v>
      </c>
      <c r="G296" s="17" t="s">
        <v>4772</v>
      </c>
      <c r="H296" s="11"/>
      <c r="I296" s="11"/>
      <c r="J296" s="11" t="s">
        <v>5541</v>
      </c>
      <c r="K296" s="11" t="s">
        <v>5542</v>
      </c>
      <c r="L296" s="11" t="s">
        <v>5543</v>
      </c>
      <c r="M296" s="31" t="s">
        <v>5544</v>
      </c>
      <c r="N296" s="11"/>
      <c r="O296" s="11"/>
      <c r="P296" s="11" t="s">
        <v>5164</v>
      </c>
      <c r="Q296" s="19"/>
      <c r="R296" s="19"/>
      <c r="S296" s="23" t="str">
        <f>HYPERLINK("https://www.google.com/maps/search/" &amp; Table24[[#This Row],[Tên hẻm]], "Xem trên Google Maps")</f>
        <v>Xem trên Google Maps</v>
      </c>
      <c r="T296" s="16" t="str">
        <f>"Hẻm "&amp;Table24[[#This Row],[Hẻm]]&amp;" "&amp;Table24[[#This Row],[Tuyến đường]]&amp;", Phường "&amp;Table24[[#This Row],[Phường]]&amp;", Quận "&amp;Table24[[#This Row],[Quận]]</f>
        <v xml:space="preserve">Hẻm Hẻm 129 Nguyễn Trãi , Phường Phường 5, Quận Quận 5 </v>
      </c>
      <c r="U296" s="36"/>
      <c r="V296" s="56" t="e">
        <f>HYPERLINK("https://www.google.com/maps/search/?api=1&amp;query=" &amp; _xlfn.ENCODEURL(Table24[[#This Row],[Tên hẻm]]), "Link Google Map")</f>
        <v>#VALUE!</v>
      </c>
    </row>
    <row r="297" spans="1:22" ht="47.25" hidden="1">
      <c r="A297" s="11">
        <v>318</v>
      </c>
      <c r="B297" s="16" t="s">
        <v>5545</v>
      </c>
      <c r="C297" s="16" t="s">
        <v>5356</v>
      </c>
      <c r="D297" s="11">
        <v>1</v>
      </c>
      <c r="E297" s="11" t="s">
        <v>5409</v>
      </c>
      <c r="F297" s="11" t="s">
        <v>5439</v>
      </c>
      <c r="G297" s="17">
        <v>5</v>
      </c>
      <c r="H297" s="11"/>
      <c r="I297" s="11"/>
      <c r="J297" s="11" t="s">
        <v>5546</v>
      </c>
      <c r="K297" s="11" t="s">
        <v>5547</v>
      </c>
      <c r="L297" s="11">
        <v>4</v>
      </c>
      <c r="M297" s="31" t="s">
        <v>5548</v>
      </c>
      <c r="N297" s="11"/>
      <c r="O297" s="11"/>
      <c r="P297" s="11" t="s">
        <v>5317</v>
      </c>
      <c r="Q297" s="19"/>
      <c r="R297" s="19"/>
      <c r="S297" s="23" t="str">
        <f>HYPERLINK("https://www.google.com/maps/search/" &amp; Table24[[#This Row],[Tên hẻm]], "Xem trên Google Maps")</f>
        <v>Xem trên Google Maps</v>
      </c>
      <c r="T297" s="16" t="str">
        <f>"Hẻm "&amp;Table24[[#This Row],[Hẻm]]&amp;" "&amp;Table24[[#This Row],[Tuyến đường]]&amp;", Phường "&amp;Table24[[#This Row],[Phường]]&amp;", Quận "&amp;Table24[[#This Row],[Quận]]</f>
        <v>Hẻm Tk 26  Nguyễn Cảnh Chân, Phường Cầu Kho, Quận 1</v>
      </c>
      <c r="U297" s="36"/>
      <c r="V297" s="56" t="e">
        <f>HYPERLINK("https://www.google.com/maps/search/?api=1&amp;query=" &amp; _xlfn.ENCODEURL(Table24[[#This Row],[Tên hẻm]]), "Link Google Map")</f>
        <v>#VALUE!</v>
      </c>
    </row>
    <row r="298" spans="1:22" ht="47.25" hidden="1">
      <c r="A298" s="11">
        <v>319</v>
      </c>
      <c r="B298" s="16" t="s">
        <v>5549</v>
      </c>
      <c r="C298" s="16" t="s">
        <v>5550</v>
      </c>
      <c r="D298" s="11" t="s">
        <v>5157</v>
      </c>
      <c r="E298" s="11" t="s">
        <v>5490</v>
      </c>
      <c r="F298" s="11" t="s">
        <v>5551</v>
      </c>
      <c r="G298" s="17" t="s">
        <v>4772</v>
      </c>
      <c r="H298" s="11"/>
      <c r="I298" s="11"/>
      <c r="J298" s="11" t="s">
        <v>5552</v>
      </c>
      <c r="K298" s="11" t="s">
        <v>5553</v>
      </c>
      <c r="L298" s="11" t="s">
        <v>5554</v>
      </c>
      <c r="M298" s="31" t="s">
        <v>5555</v>
      </c>
      <c r="N298" s="11"/>
      <c r="O298" s="11"/>
      <c r="P298" s="11" t="s">
        <v>5164</v>
      </c>
      <c r="Q298" s="19"/>
      <c r="R298" s="19"/>
      <c r="S298" s="23" t="str">
        <f>HYPERLINK("https://www.google.com/maps/search/" &amp; Table24[[#This Row],[Tên hẻm]], "Xem trên Google Maps")</f>
        <v>Xem trên Google Maps</v>
      </c>
      <c r="T298" s="16" t="str">
        <f>"Hẻm "&amp;Table24[[#This Row],[Hẻm]]&amp;" "&amp;Table24[[#This Row],[Tuyến đường]]&amp;", Phường "&amp;Table24[[#This Row],[Phường]]&amp;", Quận "&amp;Table24[[#This Row],[Quận]]</f>
        <v xml:space="preserve">Hẻm Hẻm 204 cao đạt  Cao đạt , Phường Phường 1, Quận Quận 5 </v>
      </c>
      <c r="U298" s="36"/>
      <c r="V298" s="56" t="e">
        <f>HYPERLINK("https://www.google.com/maps/search/?api=1&amp;query=" &amp; _xlfn.ENCODEURL(Table24[[#This Row],[Tên hẻm]]), "Link Google Map")</f>
        <v>#VALUE!</v>
      </c>
    </row>
    <row r="299" spans="1:22" ht="47.25" hidden="1">
      <c r="A299" s="11">
        <v>320</v>
      </c>
      <c r="B299" s="16" t="s">
        <v>5556</v>
      </c>
      <c r="C299" s="16" t="s">
        <v>5550</v>
      </c>
      <c r="D299" s="11" t="s">
        <v>5157</v>
      </c>
      <c r="E299" s="11" t="s">
        <v>5490</v>
      </c>
      <c r="F299" s="11" t="s">
        <v>5557</v>
      </c>
      <c r="G299" s="17" t="s">
        <v>4772</v>
      </c>
      <c r="H299" s="11"/>
      <c r="I299" s="11"/>
      <c r="J299" s="11" t="s">
        <v>5558</v>
      </c>
      <c r="K299" s="11" t="s">
        <v>5559</v>
      </c>
      <c r="L299" s="11" t="s">
        <v>5531</v>
      </c>
      <c r="M299" s="31" t="s">
        <v>5560</v>
      </c>
      <c r="N299" s="11"/>
      <c r="O299" s="11"/>
      <c r="P299" s="11" t="s">
        <v>5164</v>
      </c>
      <c r="Q299" s="19"/>
      <c r="R299" s="19"/>
      <c r="S299" s="23" t="str">
        <f>HYPERLINK("https://www.google.com/maps/search/" &amp; Table24[[#This Row],[Tên hẻm]], "Xem trên Google Maps")</f>
        <v>Xem trên Google Maps</v>
      </c>
      <c r="T299" s="16" t="str">
        <f>"Hẻm "&amp;Table24[[#This Row],[Hẻm]]&amp;" "&amp;Table24[[#This Row],[Tuyến đường]]&amp;", Phường "&amp;Table24[[#This Row],[Phường]]&amp;", Quận "&amp;Table24[[#This Row],[Quận]]</f>
        <v xml:space="preserve">Hẻm Hẻm 188 cao đạt  Cao đạt , Phường Phường 1, Quận Quận 5 </v>
      </c>
      <c r="U299" s="36"/>
      <c r="V299" s="56" t="e">
        <f>HYPERLINK("https://www.google.com/maps/search/?api=1&amp;query=" &amp; _xlfn.ENCODEURL(Table24[[#This Row],[Tên hẻm]]), "Link Google Map")</f>
        <v>#VALUE!</v>
      </c>
    </row>
    <row r="300" spans="1:22" ht="47.25" hidden="1">
      <c r="A300" s="11">
        <v>321</v>
      </c>
      <c r="B300" s="16" t="s">
        <v>5561</v>
      </c>
      <c r="C300" s="16" t="s">
        <v>5562</v>
      </c>
      <c r="D300" s="11" t="s">
        <v>4398</v>
      </c>
      <c r="E300" s="11">
        <v>11</v>
      </c>
      <c r="F300" s="11" t="s">
        <v>5563</v>
      </c>
      <c r="G300" s="17">
        <v>3</v>
      </c>
      <c r="H300" s="11"/>
      <c r="I300" s="11"/>
      <c r="J300" s="11" t="s">
        <v>5564</v>
      </c>
      <c r="K300" s="11" t="s">
        <v>5565</v>
      </c>
      <c r="L300" s="11">
        <v>11</v>
      </c>
      <c r="M300" s="31" t="s">
        <v>5566</v>
      </c>
      <c r="N300" s="11"/>
      <c r="O300" s="11"/>
      <c r="P300" s="11" t="s">
        <v>4837</v>
      </c>
      <c r="Q300" s="19"/>
      <c r="R300" s="19"/>
      <c r="S300" s="23" t="str">
        <f>HYPERLINK("https://www.google.com/maps/search/" &amp; Table24[[#This Row],[Tên hẻm]], "Xem trên Google Maps")</f>
        <v>Xem trên Google Maps</v>
      </c>
      <c r="T300" s="16" t="str">
        <f>"Hẻm "&amp;Table24[[#This Row],[Hẻm]]&amp;" "&amp;Table24[[#This Row],[Tuyến đường]]&amp;", Phường "&amp;Table24[[#This Row],[Phường]]&amp;", Quận "&amp;Table24[[#This Row],[Quận]]</f>
        <v xml:space="preserve">Hẻm Mai Văn Ngọc  Mai Văn Ngọc, Phường 11, Quận Phú Nhuận </v>
      </c>
      <c r="U300" s="36"/>
      <c r="V300" s="56" t="e">
        <f>HYPERLINK("https://www.google.com/maps/search/?api=1&amp;query=" &amp; _xlfn.ENCODEURL(Table24[[#This Row],[Tên hẻm]]), "Link Google Map")</f>
        <v>#VALUE!</v>
      </c>
    </row>
    <row r="301" spans="1:22" ht="47.25" hidden="1">
      <c r="A301" s="11">
        <v>322</v>
      </c>
      <c r="B301" s="16">
        <v>694</v>
      </c>
      <c r="C301" s="16" t="s">
        <v>5567</v>
      </c>
      <c r="D301" s="11" t="s">
        <v>4398</v>
      </c>
      <c r="E301" s="11">
        <v>4</v>
      </c>
      <c r="F301" s="11" t="s">
        <v>5568</v>
      </c>
      <c r="G301" s="172">
        <v>45720</v>
      </c>
      <c r="H301" s="11"/>
      <c r="I301" s="11"/>
      <c r="J301" s="11" t="s">
        <v>5569</v>
      </c>
      <c r="K301" s="11" t="s">
        <v>5570</v>
      </c>
      <c r="L301" s="11">
        <v>10</v>
      </c>
      <c r="M301" s="31" t="s">
        <v>5571</v>
      </c>
      <c r="N301" s="11"/>
      <c r="O301" s="11"/>
      <c r="P301" s="11" t="s">
        <v>4837</v>
      </c>
      <c r="Q301" s="19"/>
      <c r="R301" s="19"/>
      <c r="S301" s="23" t="str">
        <f>HYPERLINK("https://www.google.com/maps/search/" &amp; Table24[[#This Row],[Tên hẻm]], "Xem trên Google Maps")</f>
        <v>Xem trên Google Maps</v>
      </c>
      <c r="T301" s="16" t="str">
        <f>"Hẻm "&amp;Table24[[#This Row],[Hẻm]]&amp;" "&amp;Table24[[#This Row],[Tuyến đường]]&amp;", Phường "&amp;Table24[[#This Row],[Phường]]&amp;", Quận "&amp;Table24[[#This Row],[Quận]]</f>
        <v xml:space="preserve">Hẻm 694 Nguyễn Kiệm, Phường 4, Quận Phú Nhuận </v>
      </c>
      <c r="U301" s="36"/>
      <c r="V301" s="56" t="e">
        <f>HYPERLINK("https://www.google.com/maps/search/?api=1&amp;query=" &amp; _xlfn.ENCODEURL(Table24[[#This Row],[Tên hẻm]]), "Link Google Map")</f>
        <v>#VALUE!</v>
      </c>
    </row>
    <row r="302" spans="1:22" ht="47.25" hidden="1">
      <c r="A302" s="11">
        <v>323</v>
      </c>
      <c r="B302" s="16">
        <v>102</v>
      </c>
      <c r="C302" s="16" t="s">
        <v>4405</v>
      </c>
      <c r="D302" s="11" t="s">
        <v>4398</v>
      </c>
      <c r="E302" s="11">
        <v>5</v>
      </c>
      <c r="F302" s="11" t="s">
        <v>5276</v>
      </c>
      <c r="G302" s="172">
        <v>45720</v>
      </c>
      <c r="H302" s="11"/>
      <c r="I302" s="11"/>
      <c r="J302" s="11" t="s">
        <v>5572</v>
      </c>
      <c r="K302" s="11" t="s">
        <v>5573</v>
      </c>
      <c r="L302" s="11">
        <v>3</v>
      </c>
      <c r="M302" s="31" t="s">
        <v>5574</v>
      </c>
      <c r="N302" s="11"/>
      <c r="O302" s="11"/>
      <c r="P302" s="11" t="s">
        <v>5575</v>
      </c>
      <c r="Q302" s="19"/>
      <c r="R302" s="19"/>
      <c r="S302" s="23" t="str">
        <f>HYPERLINK("https://www.google.com/maps/search/" &amp; Table24[[#This Row],[Tên hẻm]], "Xem trên Google Maps")</f>
        <v>Xem trên Google Maps</v>
      </c>
      <c r="T302" s="16" t="str">
        <f>"Hẻm "&amp;Table24[[#This Row],[Hẻm]]&amp;" "&amp;Table24[[#This Row],[Tuyến đường]]&amp;", Phường "&amp;Table24[[#This Row],[Phường]]&amp;", Quận "&amp;Table24[[#This Row],[Quận]]</f>
        <v xml:space="preserve">Hẻm 102 Thích Quảng Đức , Phường 5, Quận Phú Nhuận </v>
      </c>
      <c r="U302" s="36"/>
      <c r="V302" s="56" t="e">
        <f>HYPERLINK("https://www.google.com/maps/search/?api=1&amp;query=" &amp; _xlfn.ENCODEURL(Table24[[#This Row],[Tên hẻm]]), "Link Google Map")</f>
        <v>#VALUE!</v>
      </c>
    </row>
    <row r="303" spans="1:22" ht="47.25" hidden="1">
      <c r="A303" s="11">
        <v>324</v>
      </c>
      <c r="B303" s="16" t="s">
        <v>5576</v>
      </c>
      <c r="C303" s="16" t="s">
        <v>5577</v>
      </c>
      <c r="D303" s="11" t="s">
        <v>4398</v>
      </c>
      <c r="E303" s="11">
        <v>4</v>
      </c>
      <c r="F303" s="11" t="s">
        <v>5578</v>
      </c>
      <c r="G303" s="172" t="s">
        <v>4367</v>
      </c>
      <c r="H303" s="11"/>
      <c r="I303" s="11"/>
      <c r="J303" s="11" t="s">
        <v>5579</v>
      </c>
      <c r="K303" s="11" t="s">
        <v>5580</v>
      </c>
      <c r="L303" s="11">
        <v>2</v>
      </c>
      <c r="M303" s="31" t="s">
        <v>5581</v>
      </c>
      <c r="N303" s="11"/>
      <c r="O303" s="11"/>
      <c r="P303" s="11" t="s">
        <v>4837</v>
      </c>
      <c r="Q303" s="19"/>
      <c r="R303" s="19"/>
      <c r="S303" s="23" t="str">
        <f>HYPERLINK("https://www.google.com/maps/search/" &amp; Table24[[#This Row],[Tên hẻm]], "Xem trên Google Maps")</f>
        <v>Xem trên Google Maps</v>
      </c>
      <c r="T303" s="16" t="str">
        <f>"Hẻm "&amp;Table24[[#This Row],[Hẻm]]&amp;" "&amp;Table24[[#This Row],[Tuyến đường]]&amp;", Phường "&amp;Table24[[#This Row],[Phường]]&amp;", Quận "&amp;Table24[[#This Row],[Quận]]</f>
        <v xml:space="preserve">Hẻm 750/9 Nguyễn Kiệm , Phường 4, Quận Phú Nhuận </v>
      </c>
      <c r="U303" s="36"/>
      <c r="V303" s="56" t="e">
        <f>HYPERLINK("https://www.google.com/maps/search/?api=1&amp;query=" &amp; _xlfn.ENCODEURL(Table24[[#This Row],[Tên hẻm]]), "Link Google Map")</f>
        <v>#VALUE!</v>
      </c>
    </row>
    <row r="304" spans="1:22" ht="47.25" hidden="1">
      <c r="A304" s="11">
        <v>325</v>
      </c>
      <c r="B304" s="16" t="s">
        <v>5582</v>
      </c>
      <c r="C304" s="16" t="s">
        <v>5583</v>
      </c>
      <c r="D304" s="11" t="s">
        <v>522</v>
      </c>
      <c r="E304" s="11">
        <v>25</v>
      </c>
      <c r="F304" s="11" t="s">
        <v>5584</v>
      </c>
      <c r="G304" s="172">
        <v>4</v>
      </c>
      <c r="H304" s="11"/>
      <c r="I304" s="11"/>
      <c r="J304" s="11" t="s">
        <v>5585</v>
      </c>
      <c r="K304" s="11" t="s">
        <v>5586</v>
      </c>
      <c r="L304" s="11">
        <v>5</v>
      </c>
      <c r="M304" s="31" t="s">
        <v>5587</v>
      </c>
      <c r="N304" s="11"/>
      <c r="O304" s="11"/>
      <c r="P304" s="11" t="s">
        <v>5323</v>
      </c>
      <c r="Q304" s="19"/>
      <c r="R304" s="19"/>
      <c r="S304" s="23" t="str">
        <f>HYPERLINK("https://www.google.com/maps/search/" &amp; Table24[[#This Row],[Tên hẻm]], "Xem trên Google Maps")</f>
        <v>Xem trên Google Maps</v>
      </c>
      <c r="T304" s="16" t="str">
        <f>"Hẻm "&amp;Table24[[#This Row],[Hẻm]]&amp;" "&amp;Table24[[#This Row],[Tuyến đường]]&amp;", Phường "&amp;Table24[[#This Row],[Phường]]&amp;", Quận "&amp;Table24[[#This Row],[Quận]]</f>
        <v>Hẻm Hẻm 41 ung Văn Khiêm Ung Văn Khiêm, Phường 25, Quận Bình Thạnh</v>
      </c>
      <c r="U304" s="36"/>
      <c r="V304" s="56" t="e">
        <f>HYPERLINK("https://www.google.com/maps/search/?api=1&amp;query=" &amp; _xlfn.ENCODEURL(Table24[[#This Row],[Tên hẻm]]), "Link Google Map")</f>
        <v>#VALUE!</v>
      </c>
    </row>
    <row r="305" spans="1:22" ht="117" customHeight="1">
      <c r="A305" s="11">
        <v>326</v>
      </c>
      <c r="B305" s="16" t="s">
        <v>5588</v>
      </c>
      <c r="C305" s="16" t="s">
        <v>5589</v>
      </c>
      <c r="D305" s="11" t="s">
        <v>522</v>
      </c>
      <c r="E305" s="11">
        <v>25</v>
      </c>
      <c r="F305" s="11" t="s">
        <v>5590</v>
      </c>
      <c r="G305" s="172" t="s">
        <v>4367</v>
      </c>
      <c r="H305" s="11"/>
      <c r="I305" s="11"/>
      <c r="J305" s="11" t="s">
        <v>5591</v>
      </c>
      <c r="K305" s="11" t="s">
        <v>5592</v>
      </c>
      <c r="L305" s="11">
        <v>6</v>
      </c>
      <c r="M305" s="31" t="s">
        <v>5593</v>
      </c>
      <c r="N305" s="11"/>
      <c r="O305" s="11"/>
      <c r="P305" s="11" t="s">
        <v>5323</v>
      </c>
      <c r="Q305" s="19"/>
      <c r="R305" s="19"/>
      <c r="S305" s="23" t="str">
        <f>HYPERLINK("https://www.google.com/maps/search/" &amp; Table24[[#This Row],[Tên hẻm]], "Xem trên Google Maps")</f>
        <v>Xem trên Google Maps</v>
      </c>
      <c r="T305" s="16" t="str">
        <f>"Hẻm "&amp;Table24[[#This Row],[Hẻm]]&amp;" "&amp;Table24[[#This Row],[Tuyến đường]]&amp;", Phường "&amp;Table24[[#This Row],[Phường]]&amp;", Quận "&amp;Table24[[#This Row],[Quận]]</f>
        <v>Hẻm Hẻm 356 Xô viết nghệ Tĩnh Hẻm 354 Xô viết nghệ Tĩnh, Phường 25, Quận Bình Thạnh</v>
      </c>
      <c r="U305" s="36"/>
      <c r="V305" s="56" t="e">
        <f>HYPERLINK("https://www.google.com/maps/search/?api=1&amp;query=" &amp; _xlfn.ENCODEURL(Table24[[#This Row],[Tên hẻm]]), "Link Google Map")</f>
        <v>#VALUE!</v>
      </c>
    </row>
    <row r="306" spans="1:22" ht="111.75" customHeight="1">
      <c r="A306" s="11">
        <v>327</v>
      </c>
      <c r="B306" s="16" t="s">
        <v>5594</v>
      </c>
      <c r="C306" s="16" t="s">
        <v>5594</v>
      </c>
      <c r="D306" s="11" t="s">
        <v>522</v>
      </c>
      <c r="E306" s="11">
        <v>21</v>
      </c>
      <c r="F306" s="11" t="s">
        <v>5595</v>
      </c>
      <c r="G306" s="172">
        <v>4</v>
      </c>
      <c r="H306" s="11"/>
      <c r="I306" s="11"/>
      <c r="J306" s="11" t="s">
        <v>5596</v>
      </c>
      <c r="K306" s="11" t="s">
        <v>5597</v>
      </c>
      <c r="L306" s="11">
        <v>8</v>
      </c>
      <c r="M306" s="31" t="s">
        <v>5598</v>
      </c>
      <c r="N306" s="11"/>
      <c r="O306" s="11"/>
      <c r="P306" s="11" t="s">
        <v>5323</v>
      </c>
      <c r="Q306" s="19"/>
      <c r="R306" s="19"/>
      <c r="S306" s="23" t="str">
        <f>HYPERLINK("https://www.google.com/maps/search/" &amp; Table24[[#This Row],[Tên hẻm]], "Xem trên Google Maps")</f>
        <v>Xem trên Google Maps</v>
      </c>
      <c r="T306" s="16" t="str">
        <f>"Hẻm "&amp;Table24[[#This Row],[Hẻm]]&amp;" "&amp;Table24[[#This Row],[Tuyến đường]]&amp;", Phường "&amp;Table24[[#This Row],[Phường]]&amp;", Quận "&amp;Table24[[#This Row],[Quận]]</f>
        <v>Hẻm Hẻm 160 Xô viết nghệ Tĩnh Hẻm 160 Xô viết nghệ Tĩnh, Phường 21, Quận Bình Thạnh</v>
      </c>
      <c r="U306" s="36"/>
      <c r="V306" s="56" t="e">
        <f>HYPERLINK("https://www.google.com/maps/search/?api=1&amp;query=" &amp; _xlfn.ENCODEURL(Table24[[#This Row],[Tên hẻm]]), "Link Google Map")</f>
        <v>#VALUE!</v>
      </c>
    </row>
    <row r="307" spans="1:22" ht="120.75" customHeight="1">
      <c r="A307" s="11">
        <v>328</v>
      </c>
      <c r="B307" s="16" t="s">
        <v>5599</v>
      </c>
      <c r="C307" s="16" t="s">
        <v>5599</v>
      </c>
      <c r="D307" s="11" t="s">
        <v>522</v>
      </c>
      <c r="E307" s="11">
        <v>21</v>
      </c>
      <c r="F307" s="11" t="s">
        <v>5600</v>
      </c>
      <c r="G307" s="172" t="s">
        <v>4367</v>
      </c>
      <c r="H307" s="11"/>
      <c r="I307" s="11"/>
      <c r="J307" s="11" t="s">
        <v>5601</v>
      </c>
      <c r="K307" s="11" t="s">
        <v>5602</v>
      </c>
      <c r="L307" s="11">
        <v>8</v>
      </c>
      <c r="M307" s="31" t="s">
        <v>5603</v>
      </c>
      <c r="N307" s="11"/>
      <c r="O307" s="11"/>
      <c r="P307" s="11" t="s">
        <v>5323</v>
      </c>
      <c r="Q307" s="19"/>
      <c r="R307" s="19"/>
      <c r="S307" s="23" t="str">
        <f>HYPERLINK("https://www.google.com/maps/search/" &amp; Table24[[#This Row],[Tên hẻm]], "Xem trên Google Maps")</f>
        <v>Xem trên Google Maps</v>
      </c>
      <c r="T307" s="16" t="str">
        <f>"Hẻm "&amp;Table24[[#This Row],[Hẻm]]&amp;" "&amp;Table24[[#This Row],[Tuyến đường]]&amp;", Phường "&amp;Table24[[#This Row],[Phường]]&amp;", Quận "&amp;Table24[[#This Row],[Quận]]</f>
        <v>Hẻm Hẻm 124 Xô viết nghệ Tĩnh Hẻm 124 Xô viết nghệ Tĩnh, Phường 21, Quận Bình Thạnh</v>
      </c>
      <c r="U307" s="36"/>
      <c r="V307" s="56" t="e">
        <f>HYPERLINK("https://www.google.com/maps/search/?api=1&amp;query=" &amp; _xlfn.ENCODEURL(Table24[[#This Row],[Tên hẻm]]), "Link Google Map")</f>
        <v>#VALUE!</v>
      </c>
    </row>
    <row r="308" spans="1:22" ht="47.25" hidden="1">
      <c r="A308" s="11">
        <v>329</v>
      </c>
      <c r="B308" s="16" t="s">
        <v>5604</v>
      </c>
      <c r="C308" s="16" t="s">
        <v>5605</v>
      </c>
      <c r="D308" s="11" t="s">
        <v>522</v>
      </c>
      <c r="E308" s="11">
        <v>5</v>
      </c>
      <c r="F308" s="11" t="s">
        <v>5606</v>
      </c>
      <c r="G308" s="172" t="s">
        <v>5209</v>
      </c>
      <c r="H308" s="11"/>
      <c r="I308" s="11"/>
      <c r="J308" s="11">
        <v>99</v>
      </c>
      <c r="K308" s="11" t="s">
        <v>5607</v>
      </c>
      <c r="L308" s="11">
        <v>13</v>
      </c>
      <c r="M308" s="31" t="s">
        <v>5608</v>
      </c>
      <c r="N308" s="11"/>
      <c r="O308" s="11"/>
      <c r="P308" s="11" t="s">
        <v>5609</v>
      </c>
      <c r="Q308" s="19"/>
      <c r="R308" s="19"/>
      <c r="S308" s="23" t="str">
        <f>HYPERLINK("https://www.google.com/maps/search/" &amp; Table24[[#This Row],[Tên hẻm]], "Xem trên Google Maps")</f>
        <v>Xem trên Google Maps</v>
      </c>
      <c r="T308" s="16" t="str">
        <f>"Hẻm "&amp;Table24[[#This Row],[Hẻm]]&amp;" "&amp;Table24[[#This Row],[Tuyến đường]]&amp;", Phường "&amp;Table24[[#This Row],[Phường]]&amp;", Quận "&amp;Table24[[#This Row],[Quận]]</f>
        <v>Hẻm Hẻm 99 Nguyễn Thượng Hiền Nguyễn Thượng Hiền, Phường 5, Quận Bình Thạnh</v>
      </c>
      <c r="U308" s="36"/>
      <c r="V308" s="56" t="e">
        <f>HYPERLINK("https://www.google.com/maps/search/?api=1&amp;query=" &amp; _xlfn.ENCODEURL(Table24[[#This Row],[Tên hẻm]]), "Link Google Map")</f>
        <v>#VALUE!</v>
      </c>
    </row>
    <row r="309" spans="1:22" ht="47.25" hidden="1">
      <c r="A309" s="11">
        <v>330</v>
      </c>
      <c r="B309" s="16" t="s">
        <v>5610</v>
      </c>
      <c r="C309" s="16" t="s">
        <v>5605</v>
      </c>
      <c r="D309" s="11" t="s">
        <v>522</v>
      </c>
      <c r="E309" s="11">
        <v>5</v>
      </c>
      <c r="F309" s="11" t="s">
        <v>5606</v>
      </c>
      <c r="G309" s="172">
        <v>4</v>
      </c>
      <c r="H309" s="11"/>
      <c r="I309" s="11"/>
      <c r="J309" s="11">
        <v>228</v>
      </c>
      <c r="K309" s="11" t="s">
        <v>5611</v>
      </c>
      <c r="L309" s="11">
        <v>5</v>
      </c>
      <c r="M309" s="31" t="s">
        <v>5612</v>
      </c>
      <c r="N309" s="11"/>
      <c r="O309" s="11"/>
      <c r="P309" s="11" t="s">
        <v>5613</v>
      </c>
      <c r="Q309" s="19"/>
      <c r="R309" s="19"/>
      <c r="S309" s="23" t="str">
        <f>HYPERLINK("https://www.google.com/maps/search/" &amp; Table24[[#This Row],[Tên hẻm]], "Xem trên Google Maps")</f>
        <v>Xem trên Google Maps</v>
      </c>
      <c r="T309" s="16" t="str">
        <f>"Hẻm "&amp;Table24[[#This Row],[Hẻm]]&amp;" "&amp;Table24[[#This Row],[Tuyến đường]]&amp;", Phường "&amp;Table24[[#This Row],[Phường]]&amp;", Quận "&amp;Table24[[#This Row],[Quận]]</f>
        <v>Hẻm 228 Nguyễn Thượng Hiền Nguyễn Thượng Hiền, Phường 5, Quận Bình Thạnh</v>
      </c>
      <c r="U309" s="36"/>
      <c r="V309" s="56" t="e">
        <f>HYPERLINK("https://www.google.com/maps/search/?api=1&amp;query=" &amp; _xlfn.ENCODEURL(Table24[[#This Row],[Tên hẻm]]), "Link Google Map")</f>
        <v>#VALUE!</v>
      </c>
    </row>
    <row r="310" spans="1:22" ht="47.25" hidden="1">
      <c r="A310" s="11">
        <v>331</v>
      </c>
      <c r="B310" s="16" t="s">
        <v>5614</v>
      </c>
      <c r="C310" s="16" t="s">
        <v>5605</v>
      </c>
      <c r="D310" s="11" t="s">
        <v>760</v>
      </c>
      <c r="E310" s="11">
        <v>1</v>
      </c>
      <c r="F310" s="11" t="s">
        <v>5606</v>
      </c>
      <c r="G310" s="172" t="s">
        <v>5615</v>
      </c>
      <c r="H310" s="11"/>
      <c r="I310" s="11"/>
      <c r="J310" s="11" t="s">
        <v>5616</v>
      </c>
      <c r="K310" s="11" t="s">
        <v>5617</v>
      </c>
      <c r="L310" s="11">
        <v>3</v>
      </c>
      <c r="M310" s="31" t="s">
        <v>5618</v>
      </c>
      <c r="N310" s="11"/>
      <c r="O310" s="11"/>
      <c r="P310" s="11" t="s">
        <v>5613</v>
      </c>
      <c r="Q310" s="19"/>
      <c r="R310" s="19"/>
      <c r="S310" s="23" t="str">
        <f>HYPERLINK("https://www.google.com/maps/search/" &amp; Table24[[#This Row],[Tên hẻm]], "Xem trên Google Maps")</f>
        <v>Xem trên Google Maps</v>
      </c>
      <c r="T310" s="16" t="str">
        <f>"Hẻm "&amp;Table24[[#This Row],[Hẻm]]&amp;" "&amp;Table24[[#This Row],[Tuyến đường]]&amp;", Phường "&amp;Table24[[#This Row],[Phường]]&amp;", Quận "&amp;Table24[[#This Row],[Quận]]</f>
        <v>Hẻm 228/1 Nguyễn Thượng Hiền Nguyễn Thượng Hiền, Phường 1, Quận Gò Vấp</v>
      </c>
      <c r="U310" s="36"/>
      <c r="V310" s="56" t="e">
        <f>HYPERLINK("https://www.google.com/maps/search/?api=1&amp;query=" &amp; _xlfn.ENCODEURL(Table24[[#This Row],[Tên hẻm]]), "Link Google Map")</f>
        <v>#VALUE!</v>
      </c>
    </row>
    <row r="311" spans="1:22" ht="47.25" hidden="1">
      <c r="A311" s="11">
        <v>332</v>
      </c>
      <c r="B311" s="16" t="s">
        <v>5619</v>
      </c>
      <c r="C311" s="16" t="s">
        <v>5605</v>
      </c>
      <c r="D311" s="11" t="s">
        <v>522</v>
      </c>
      <c r="E311" s="11">
        <v>5</v>
      </c>
      <c r="F311" s="11" t="s">
        <v>4832</v>
      </c>
      <c r="G311" s="172" t="s">
        <v>4367</v>
      </c>
      <c r="H311" s="11"/>
      <c r="I311" s="11"/>
      <c r="J311" s="11">
        <v>298</v>
      </c>
      <c r="K311" s="11" t="s">
        <v>5620</v>
      </c>
      <c r="L311" s="11">
        <v>2</v>
      </c>
      <c r="M311" s="31" t="s">
        <v>5621</v>
      </c>
      <c r="N311" s="11"/>
      <c r="O311" s="11"/>
      <c r="P311" s="11" t="s">
        <v>5613</v>
      </c>
      <c r="Q311" s="19"/>
      <c r="R311" s="19"/>
      <c r="S311" s="23" t="str">
        <f>HYPERLINK("https://www.google.com/maps/search/" &amp; Table24[[#This Row],[Tên hẻm]], "Xem trên Google Maps")</f>
        <v>Xem trên Google Maps</v>
      </c>
      <c r="T311" s="16" t="str">
        <f>"Hẻm "&amp;Table24[[#This Row],[Hẻm]]&amp;" "&amp;Table24[[#This Row],[Tuyến đường]]&amp;", Phường "&amp;Table24[[#This Row],[Phường]]&amp;", Quận "&amp;Table24[[#This Row],[Quận]]</f>
        <v>Hẻm 298 Nguyễn Thượng Hiền Nguyễn Thượng Hiền, Phường 5, Quận Bình Thạnh</v>
      </c>
      <c r="U311" s="36"/>
      <c r="V311" s="56" t="e">
        <f>HYPERLINK("https://www.google.com/maps/search/?api=1&amp;query=" &amp; _xlfn.ENCODEURL(Table24[[#This Row],[Tên hẻm]]), "Link Google Map")</f>
        <v>#VALUE!</v>
      </c>
    </row>
    <row r="312" spans="1:22" ht="47.25" hidden="1">
      <c r="A312" s="11">
        <v>333</v>
      </c>
      <c r="B312" s="16" t="s">
        <v>5622</v>
      </c>
      <c r="C312" s="16" t="s">
        <v>5605</v>
      </c>
      <c r="D312" s="11" t="s">
        <v>522</v>
      </c>
      <c r="E312" s="11">
        <v>5</v>
      </c>
      <c r="F312" s="11" t="s">
        <v>5623</v>
      </c>
      <c r="G312" s="172" t="s">
        <v>4367</v>
      </c>
      <c r="H312" s="11"/>
      <c r="I312" s="11"/>
      <c r="J312" s="11">
        <v>139</v>
      </c>
      <c r="K312" s="11" t="s">
        <v>5624</v>
      </c>
      <c r="L312" s="11">
        <v>2</v>
      </c>
      <c r="M312" s="31" t="s">
        <v>5625</v>
      </c>
      <c r="N312" s="11"/>
      <c r="O312" s="11"/>
      <c r="P312" s="11" t="s">
        <v>5613</v>
      </c>
      <c r="Q312" s="19"/>
      <c r="R312" s="19"/>
      <c r="S312" s="23" t="str">
        <f>HYPERLINK("https://www.google.com/maps/search/" &amp; Table24[[#This Row],[Tên hẻm]], "Xem trên Google Maps")</f>
        <v>Xem trên Google Maps</v>
      </c>
      <c r="T312" s="16" t="str">
        <f>"Hẻm "&amp;Table24[[#This Row],[Hẻm]]&amp;" "&amp;Table24[[#This Row],[Tuyến đường]]&amp;", Phường "&amp;Table24[[#This Row],[Phường]]&amp;", Quận "&amp;Table24[[#This Row],[Quận]]</f>
        <v>Hẻm 139 Nguyễn Thượng Hiền Nguyễn Thượng Hiền, Phường 5, Quận Bình Thạnh</v>
      </c>
      <c r="U312" s="36"/>
      <c r="V312" s="56" t="e">
        <f>HYPERLINK("https://www.google.com/maps/search/?api=1&amp;query=" &amp; _xlfn.ENCODEURL(Table24[[#This Row],[Tên hẻm]]), "Link Google Map")</f>
        <v>#VALUE!</v>
      </c>
    </row>
    <row r="313" spans="1:22" ht="47.25" hidden="1">
      <c r="A313" s="11">
        <v>334</v>
      </c>
      <c r="B313" s="16" t="s">
        <v>5626</v>
      </c>
      <c r="C313" s="16" t="s">
        <v>5605</v>
      </c>
      <c r="D313" s="11" t="s">
        <v>522</v>
      </c>
      <c r="E313" s="11">
        <v>5</v>
      </c>
      <c r="F313" s="11" t="s">
        <v>2861</v>
      </c>
      <c r="G313" s="172" t="s">
        <v>5209</v>
      </c>
      <c r="H313" s="11"/>
      <c r="I313" s="11"/>
      <c r="J313" s="11">
        <v>45</v>
      </c>
      <c r="K313" s="11" t="s">
        <v>5627</v>
      </c>
      <c r="L313" s="11">
        <v>2</v>
      </c>
      <c r="M313" s="31" t="s">
        <v>5628</v>
      </c>
      <c r="N313" s="11"/>
      <c r="O313" s="11"/>
      <c r="P313" s="11" t="s">
        <v>5613</v>
      </c>
      <c r="Q313" s="19"/>
      <c r="R313" s="19"/>
      <c r="S313" s="23" t="str">
        <f>HYPERLINK("https://www.google.com/maps/search/" &amp; Table24[[#This Row],[Tên hẻm]], "Xem trên Google Maps")</f>
        <v>Xem trên Google Maps</v>
      </c>
      <c r="T313" s="16" t="str">
        <f>"Hẻm "&amp;Table24[[#This Row],[Hẻm]]&amp;" "&amp;Table24[[#This Row],[Tuyến đường]]&amp;", Phường "&amp;Table24[[#This Row],[Phường]]&amp;", Quận "&amp;Table24[[#This Row],[Quận]]</f>
        <v>Hẻm 45 Nguyễn Thượng Hiền Nguyễn Thượng Hiền, Phường 5, Quận Bình Thạnh</v>
      </c>
      <c r="U313" s="36"/>
      <c r="V313" s="56" t="e">
        <f>HYPERLINK("https://www.google.com/maps/search/?api=1&amp;query=" &amp; _xlfn.ENCODEURL(Table24[[#This Row],[Tên hẻm]]), "Link Google Map")</f>
        <v>#VALUE!</v>
      </c>
    </row>
    <row r="314" spans="1:22" ht="47.25" hidden="1">
      <c r="A314" s="11">
        <v>335</v>
      </c>
      <c r="B314" s="16" t="s">
        <v>5629</v>
      </c>
      <c r="C314" s="16" t="s">
        <v>5605</v>
      </c>
      <c r="D314" s="11" t="s">
        <v>522</v>
      </c>
      <c r="E314" s="11">
        <v>5</v>
      </c>
      <c r="F314" s="11" t="s">
        <v>5606</v>
      </c>
      <c r="G314" s="172">
        <v>3</v>
      </c>
      <c r="H314" s="11"/>
      <c r="I314" s="11"/>
      <c r="J314" s="11">
        <v>109</v>
      </c>
      <c r="K314" s="11" t="s">
        <v>5630</v>
      </c>
      <c r="L314" s="11">
        <v>1</v>
      </c>
      <c r="M314" s="31" t="s">
        <v>5631</v>
      </c>
      <c r="N314" s="11"/>
      <c r="O314" s="11"/>
      <c r="P314" s="11" t="s">
        <v>5613</v>
      </c>
      <c r="Q314" s="19"/>
      <c r="R314" s="19"/>
      <c r="S314" s="23" t="str">
        <f>HYPERLINK("https://www.google.com/maps/search/" &amp; Table24[[#This Row],[Tên hẻm]], "Xem trên Google Maps")</f>
        <v>Xem trên Google Maps</v>
      </c>
      <c r="T314" s="16" t="str">
        <f>"Hẻm "&amp;Table24[[#This Row],[Hẻm]]&amp;" "&amp;Table24[[#This Row],[Tuyến đường]]&amp;", Phường "&amp;Table24[[#This Row],[Phường]]&amp;", Quận "&amp;Table24[[#This Row],[Quận]]</f>
        <v>Hẻm 109 Nguyễn Thượng Hiền Nguyễn Thượng Hiền, Phường 5, Quận Bình Thạnh</v>
      </c>
      <c r="U314" s="36"/>
      <c r="V314" s="56" t="e">
        <f>HYPERLINK("https://www.google.com/maps/search/?api=1&amp;query=" &amp; _xlfn.ENCODEURL(Table24[[#This Row],[Tên hẻm]]), "Link Google Map")</f>
        <v>#VALUE!</v>
      </c>
    </row>
    <row r="315" spans="1:22" ht="47.25" hidden="1">
      <c r="A315" s="11">
        <v>336</v>
      </c>
      <c r="B315" s="16" t="s">
        <v>5632</v>
      </c>
      <c r="C315" s="16" t="s">
        <v>5605</v>
      </c>
      <c r="D315" s="11" t="s">
        <v>760</v>
      </c>
      <c r="E315" s="11">
        <v>1</v>
      </c>
      <c r="F315" s="11" t="s">
        <v>5606</v>
      </c>
      <c r="G315" s="172">
        <v>3</v>
      </c>
      <c r="H315" s="11"/>
      <c r="I315" s="11"/>
      <c r="J315" s="11">
        <v>206</v>
      </c>
      <c r="K315" s="11" t="s">
        <v>5633</v>
      </c>
      <c r="L315" s="11">
        <v>5</v>
      </c>
      <c r="M315" s="31" t="s">
        <v>5634</v>
      </c>
      <c r="N315" s="11"/>
      <c r="O315" s="11"/>
      <c r="P315" s="11" t="s">
        <v>5613</v>
      </c>
      <c r="Q315" s="19"/>
      <c r="R315" s="19"/>
      <c r="S315" s="23" t="str">
        <f>HYPERLINK("https://www.google.com/maps/search/" &amp; Table24[[#This Row],[Tên hẻm]], "Xem trên Google Maps")</f>
        <v>Xem trên Google Maps</v>
      </c>
      <c r="T315" s="16" t="str">
        <f>"Hẻm "&amp;Table24[[#This Row],[Hẻm]]&amp;" "&amp;Table24[[#This Row],[Tuyến đường]]&amp;", Phường "&amp;Table24[[#This Row],[Phường]]&amp;", Quận "&amp;Table24[[#This Row],[Quận]]</f>
        <v>Hẻm 206 Nguyễn Thượng Hiền Nguyễn Thượng Hiền, Phường 1, Quận Gò Vấp</v>
      </c>
      <c r="U315" s="36"/>
      <c r="V315" s="56" t="e">
        <f>HYPERLINK("https://www.google.com/maps/search/?api=1&amp;query=" &amp; _xlfn.ENCODEURL(Table24[[#This Row],[Tên hẻm]]), "Link Google Map")</f>
        <v>#VALUE!</v>
      </c>
    </row>
    <row r="316" spans="1:22" ht="47.25" hidden="1">
      <c r="A316" s="11">
        <v>337</v>
      </c>
      <c r="B316" s="16" t="s">
        <v>5635</v>
      </c>
      <c r="C316" s="16" t="s">
        <v>5605</v>
      </c>
      <c r="D316" s="11" t="s">
        <v>760</v>
      </c>
      <c r="E316" s="11">
        <v>1</v>
      </c>
      <c r="F316" s="11" t="s">
        <v>5606</v>
      </c>
      <c r="G316" s="172">
        <v>4</v>
      </c>
      <c r="H316" s="11"/>
      <c r="I316" s="11"/>
      <c r="J316" s="11">
        <v>136</v>
      </c>
      <c r="K316" s="11" t="s">
        <v>5636</v>
      </c>
      <c r="L316" s="11">
        <v>5</v>
      </c>
      <c r="M316" s="31" t="s">
        <v>5637</v>
      </c>
      <c r="N316" s="11"/>
      <c r="O316" s="11"/>
      <c r="P316" s="11" t="s">
        <v>5613</v>
      </c>
      <c r="Q316" s="19"/>
      <c r="R316" s="19"/>
      <c r="S316" s="23" t="str">
        <f>HYPERLINK("https://www.google.com/maps/search/" &amp; Table24[[#This Row],[Tên hẻm]], "Xem trên Google Maps")</f>
        <v>Xem trên Google Maps</v>
      </c>
      <c r="T316" s="16" t="str">
        <f>"Hẻm "&amp;Table24[[#This Row],[Hẻm]]&amp;" "&amp;Table24[[#This Row],[Tuyến đường]]&amp;", Phường "&amp;Table24[[#This Row],[Phường]]&amp;", Quận "&amp;Table24[[#This Row],[Quận]]</f>
        <v>Hẻm 136 Nguyễn Thượng Hiền Nguyễn Thượng Hiền, Phường 1, Quận Gò Vấp</v>
      </c>
      <c r="U316" s="36"/>
      <c r="V316" s="56" t="e">
        <f>HYPERLINK("https://www.google.com/maps/search/?api=1&amp;query=" &amp; _xlfn.ENCODEURL(Table24[[#This Row],[Tên hẻm]]), "Link Google Map")</f>
        <v>#VALUE!</v>
      </c>
    </row>
    <row r="317" spans="1:22" ht="47.25" hidden="1">
      <c r="A317" s="11">
        <v>338</v>
      </c>
      <c r="B317" s="16" t="s">
        <v>5638</v>
      </c>
      <c r="C317" s="16" t="s">
        <v>5639</v>
      </c>
      <c r="D317" s="11" t="s">
        <v>304</v>
      </c>
      <c r="E317" s="11">
        <v>5</v>
      </c>
      <c r="F317" s="11" t="s">
        <v>4832</v>
      </c>
      <c r="G317" s="172">
        <v>3</v>
      </c>
      <c r="H317" s="11"/>
      <c r="I317" s="11"/>
      <c r="J317" s="11" t="s">
        <v>5640</v>
      </c>
      <c r="K317" s="11" t="s">
        <v>5641</v>
      </c>
      <c r="L317" s="11">
        <v>3</v>
      </c>
      <c r="M317" s="31" t="s">
        <v>5642</v>
      </c>
      <c r="N317" s="11"/>
      <c r="O317" s="11"/>
      <c r="P317" s="11" t="s">
        <v>5613</v>
      </c>
      <c r="Q317" s="19"/>
      <c r="R317" s="19"/>
      <c r="S317" s="23" t="str">
        <f>HYPERLINK("https://www.google.com/maps/search/" &amp; Table24[[#This Row],[Tên hẻm]], "Xem trên Google Maps")</f>
        <v>Xem trên Google Maps</v>
      </c>
      <c r="T317" s="16" t="str">
        <f>"Hẻm "&amp;Table24[[#This Row],[Hẻm]]&amp;" "&amp;Table24[[#This Row],[Tuyến đường]]&amp;", Phường "&amp;Table24[[#This Row],[Phường]]&amp;", Quận "&amp;Table24[[#This Row],[Quận]]</f>
        <v>Hẻm 72/31 Phan Đăng Lưu Phan Đăng Lưu, Phường 5, Quận Phú Nhuận</v>
      </c>
      <c r="U317" s="36"/>
      <c r="V317" s="56" t="e">
        <f>HYPERLINK("https://www.google.com/maps/search/?api=1&amp;query=" &amp; _xlfn.ENCODEURL(Table24[[#This Row],[Tên hẻm]]), "Link Google Map")</f>
        <v>#VALUE!</v>
      </c>
    </row>
    <row r="318" spans="1:22" ht="47.25" hidden="1">
      <c r="A318" s="11">
        <v>339</v>
      </c>
      <c r="B318" s="16" t="s">
        <v>5643</v>
      </c>
      <c r="C318" s="16" t="s">
        <v>5644</v>
      </c>
      <c r="D318" s="11" t="s">
        <v>522</v>
      </c>
      <c r="E318" s="11">
        <v>5</v>
      </c>
      <c r="F318" s="11" t="s">
        <v>2865</v>
      </c>
      <c r="G318" s="172">
        <v>3</v>
      </c>
      <c r="H318" s="11"/>
      <c r="I318" s="11"/>
      <c r="J318" s="11">
        <v>8</v>
      </c>
      <c r="K318" s="173">
        <v>45873</v>
      </c>
      <c r="L318" s="11">
        <v>3</v>
      </c>
      <c r="M318" s="31" t="s">
        <v>5645</v>
      </c>
      <c r="N318" s="11"/>
      <c r="O318" s="11"/>
      <c r="P318" s="11" t="s">
        <v>5613</v>
      </c>
      <c r="Q318" s="19"/>
      <c r="R318" s="19"/>
      <c r="S318" s="23" t="str">
        <f>HYPERLINK("https://www.google.com/maps/search/" &amp; Table24[[#This Row],[Tên hẻm]], "Xem trên Google Maps")</f>
        <v>Xem trên Google Maps</v>
      </c>
      <c r="T318" s="16" t="str">
        <f>"Hẻm "&amp;Table24[[#This Row],[Hẻm]]&amp;" "&amp;Table24[[#This Row],[Tuyến đường]]&amp;", Phường "&amp;Table24[[#This Row],[Phường]]&amp;", Quận "&amp;Table24[[#This Row],[Quận]]</f>
        <v>Hẻm 08 Nguyễn Trung Trực Nguyễn Trung Trực, Phường 5, Quận Bình Thạnh</v>
      </c>
      <c r="U318" s="36"/>
      <c r="V318" s="56" t="e">
        <f>HYPERLINK("https://www.google.com/maps/search/?api=1&amp;query=" &amp; _xlfn.ENCODEURL(Table24[[#This Row],[Tên hẻm]]), "Link Google Map")</f>
        <v>#VALUE!</v>
      </c>
    </row>
    <row r="319" spans="1:22" ht="47.25" hidden="1">
      <c r="A319" s="11">
        <v>340</v>
      </c>
      <c r="B319" s="16" t="s">
        <v>5646</v>
      </c>
      <c r="C319" s="16" t="s">
        <v>5644</v>
      </c>
      <c r="D319" s="11" t="s">
        <v>4412</v>
      </c>
      <c r="E319" s="11">
        <v>5</v>
      </c>
      <c r="F319" s="11" t="s">
        <v>2865</v>
      </c>
      <c r="G319" s="172" t="s">
        <v>5647</v>
      </c>
      <c r="H319" s="11"/>
      <c r="I319" s="11"/>
      <c r="J319" s="11" t="s">
        <v>5648</v>
      </c>
      <c r="K319" s="173">
        <v>2</v>
      </c>
      <c r="L319" s="11">
        <v>4</v>
      </c>
      <c r="M319" s="31" t="s">
        <v>5649</v>
      </c>
      <c r="N319" s="11"/>
      <c r="O319" s="11"/>
      <c r="P319" s="11" t="s">
        <v>5613</v>
      </c>
      <c r="Q319" s="19"/>
      <c r="R319" s="19"/>
      <c r="S319" s="23" t="str">
        <f>HYPERLINK("https://www.google.com/maps/search/" &amp; Table24[[#This Row],[Tên hẻm]], "Xem trên Google Maps")</f>
        <v>Xem trên Google Maps</v>
      </c>
      <c r="T319" s="16" t="str">
        <f>"Hẻm "&amp;Table24[[#This Row],[Hẻm]]&amp;" "&amp;Table24[[#This Row],[Tuyến đường]]&amp;", Phường "&amp;Table24[[#This Row],[Phường]]&amp;", Quận "&amp;Table24[[#This Row],[Quận]]</f>
        <v xml:space="preserve">Hẻm 19 Nguyễn Trung Trực Nguyễn Trung Trực, Phường 5, Quận Bình Thạnh </v>
      </c>
      <c r="U319" s="36"/>
      <c r="V319" s="56" t="e">
        <f>HYPERLINK("https://www.google.com/maps/search/?api=1&amp;query=" &amp; _xlfn.ENCODEURL(Table24[[#This Row],[Tên hẻm]]), "Link Google Map")</f>
        <v>#VALUE!</v>
      </c>
    </row>
    <row r="320" spans="1:22" ht="47.25" hidden="1">
      <c r="A320" s="11">
        <v>341</v>
      </c>
      <c r="B320" s="16" t="s">
        <v>5650</v>
      </c>
      <c r="C320" s="16" t="s">
        <v>5514</v>
      </c>
      <c r="D320" s="11" t="s">
        <v>5157</v>
      </c>
      <c r="E320" s="11" t="s">
        <v>5651</v>
      </c>
      <c r="F320" s="11" t="s">
        <v>1385</v>
      </c>
      <c r="G320" s="172" t="s">
        <v>4892</v>
      </c>
      <c r="H320" s="11"/>
      <c r="I320" s="11"/>
      <c r="J320" s="11" t="s">
        <v>5652</v>
      </c>
      <c r="K320" s="173" t="s">
        <v>5653</v>
      </c>
      <c r="L320" s="11" t="s">
        <v>5654</v>
      </c>
      <c r="M320" s="31" t="s">
        <v>5655</v>
      </c>
      <c r="N320" s="11"/>
      <c r="O320" s="11"/>
      <c r="P320" s="11" t="s">
        <v>5164</v>
      </c>
      <c r="Q320" s="19"/>
      <c r="R320" s="19"/>
      <c r="S320" s="23" t="str">
        <f>HYPERLINK("https://www.google.com/maps/search/" &amp; Table24[[#This Row],[Tên hẻm]], "Xem trên Google Maps")</f>
        <v>Xem trên Google Maps</v>
      </c>
      <c r="T320" s="16" t="str">
        <f>"Hẻm "&amp;Table24[[#This Row],[Hẻm]]&amp;" "&amp;Table24[[#This Row],[Tuyến đường]]&amp;", Phường "&amp;Table24[[#This Row],[Phường]]&amp;", Quận "&amp;Table24[[#This Row],[Quận]]</f>
        <v xml:space="preserve">Hẻm Hẻm 87 trần phú  Trần Phú , Phường Phường 4, Quận Quận 5 </v>
      </c>
      <c r="U320" s="36"/>
      <c r="V320" s="56" t="e">
        <f>HYPERLINK("https://www.google.com/maps/search/?api=1&amp;query=" &amp; _xlfn.ENCODEURL(Table24[[#This Row],[Tên hẻm]]), "Link Google Map")</f>
        <v>#VALUE!</v>
      </c>
    </row>
    <row r="321" spans="1:22" ht="47.25" hidden="1">
      <c r="A321" s="11">
        <v>342</v>
      </c>
      <c r="B321" s="16" t="s">
        <v>5656</v>
      </c>
      <c r="C321" s="16" t="s">
        <v>5166</v>
      </c>
      <c r="D321" s="11" t="s">
        <v>5157</v>
      </c>
      <c r="E321" s="11" t="s">
        <v>5651</v>
      </c>
      <c r="F321" s="11" t="s">
        <v>1405</v>
      </c>
      <c r="G321" s="172" t="s">
        <v>4772</v>
      </c>
      <c r="H321" s="11"/>
      <c r="I321" s="11"/>
      <c r="J321" s="11" t="s">
        <v>5657</v>
      </c>
      <c r="K321" s="173" t="s">
        <v>5658</v>
      </c>
      <c r="L321" s="11" t="s">
        <v>5659</v>
      </c>
      <c r="M321" s="31" t="s">
        <v>5660</v>
      </c>
      <c r="N321" s="11"/>
      <c r="O321" s="11"/>
      <c r="P321" s="11" t="s">
        <v>5164</v>
      </c>
      <c r="Q321" s="19"/>
      <c r="R321" s="19"/>
      <c r="S321" s="23" t="str">
        <f>HYPERLINK("https://www.google.com/maps/search/" &amp; Table24[[#This Row],[Tên hẻm]], "Xem trên Google Maps")</f>
        <v>Xem trên Google Maps</v>
      </c>
      <c r="T321" s="16" t="str">
        <f>"Hẻm "&amp;Table24[[#This Row],[Hẻm]]&amp;" "&amp;Table24[[#This Row],[Tuyến đường]]&amp;", Phường "&amp;Table24[[#This Row],[Phường]]&amp;", Quận "&amp;Table24[[#This Row],[Quận]]</f>
        <v xml:space="preserve">Hẻm Hẻm 338 an dương vương  An Dương Vương , Phường Phường 4, Quận Quận 5 </v>
      </c>
      <c r="U321" s="36"/>
      <c r="V321" s="56" t="e">
        <f>HYPERLINK("https://www.google.com/maps/search/?api=1&amp;query=" &amp; _xlfn.ENCODEURL(Table24[[#This Row],[Tên hẻm]]), "Link Google Map")</f>
        <v>#VALUE!</v>
      </c>
    </row>
    <row r="322" spans="1:22" ht="47.25" hidden="1">
      <c r="A322" s="11">
        <v>343</v>
      </c>
      <c r="B322" s="16" t="s">
        <v>5661</v>
      </c>
      <c r="C322" s="16" t="s">
        <v>5539</v>
      </c>
      <c r="D322" s="11" t="s">
        <v>5157</v>
      </c>
      <c r="E322" s="11" t="s">
        <v>5528</v>
      </c>
      <c r="F322" s="11" t="s">
        <v>1425</v>
      </c>
      <c r="G322" s="172" t="s">
        <v>4772</v>
      </c>
      <c r="H322" s="11"/>
      <c r="I322" s="11"/>
      <c r="J322" s="11" t="s">
        <v>5662</v>
      </c>
      <c r="K322" s="173" t="s">
        <v>5663</v>
      </c>
      <c r="L322" s="11" t="s">
        <v>5664</v>
      </c>
      <c r="M322" s="31" t="s">
        <v>5665</v>
      </c>
      <c r="N322" s="11"/>
      <c r="O322" s="11"/>
      <c r="P322" s="11" t="s">
        <v>5164</v>
      </c>
      <c r="Q322" s="19"/>
      <c r="R322" s="19"/>
      <c r="S322" s="23" t="str">
        <f>HYPERLINK("https://www.google.com/maps/search/" &amp; Table24[[#This Row],[Tên hẻm]], "Xem trên Google Maps")</f>
        <v>Xem trên Google Maps</v>
      </c>
      <c r="T322" s="16" t="str">
        <f>"Hẻm "&amp;Table24[[#This Row],[Hẻm]]&amp;" "&amp;Table24[[#This Row],[Tuyến đường]]&amp;", Phường "&amp;Table24[[#This Row],[Phường]]&amp;", Quận "&amp;Table24[[#This Row],[Quận]]</f>
        <v xml:space="preserve">Hẻm Hẻm 214 Nguyễn Trãi , Phường Phường 8, Quận Quận 5 </v>
      </c>
      <c r="U322" s="36"/>
      <c r="V322" s="56" t="e">
        <f>HYPERLINK("https://www.google.com/maps/search/?api=1&amp;query=" &amp; _xlfn.ENCODEURL(Table24[[#This Row],[Tên hẻm]]), "Link Google Map")</f>
        <v>#VALUE!</v>
      </c>
    </row>
    <row r="323" spans="1:22" ht="47.25" hidden="1">
      <c r="A323" s="11">
        <v>344</v>
      </c>
      <c r="B323" s="16" t="s">
        <v>5666</v>
      </c>
      <c r="C323" s="16" t="s">
        <v>5667</v>
      </c>
      <c r="D323" s="11" t="s">
        <v>5219</v>
      </c>
      <c r="E323" s="11">
        <v>13</v>
      </c>
      <c r="F323" s="11" t="s">
        <v>5668</v>
      </c>
      <c r="G323" s="172" t="s">
        <v>4954</v>
      </c>
      <c r="H323" s="11"/>
      <c r="I323" s="11"/>
      <c r="J323" s="11">
        <v>16</v>
      </c>
      <c r="K323" s="173" t="s">
        <v>5669</v>
      </c>
      <c r="L323" s="11">
        <v>9</v>
      </c>
      <c r="M323" s="31" t="s">
        <v>5670</v>
      </c>
      <c r="N323" s="11"/>
      <c r="O323" s="11"/>
      <c r="P323" s="11" t="s">
        <v>5224</v>
      </c>
      <c r="Q323" s="19"/>
      <c r="R323" s="19"/>
      <c r="S323" s="23" t="str">
        <f>HYPERLINK("https://www.google.com/maps/search/" &amp; Table24[[#This Row],[Tên hẻm]], "Xem trên Google Maps")</f>
        <v>Xem trên Google Maps</v>
      </c>
      <c r="T323" s="16" t="str">
        <f>"Hẻm "&amp;Table24[[#This Row],[Hẻm]]&amp;" "&amp;Table24[[#This Row],[Tuyến đường]]&amp;", Phường "&amp;Table24[[#This Row],[Phường]]&amp;", Quận "&amp;Table24[[#This Row],[Quận]]</f>
        <v xml:space="preserve">Hẻm 16 bình lợi  Bình lợi , Phường 13, Quận Bình thạnh </v>
      </c>
      <c r="U323" s="36"/>
      <c r="V323" s="56" t="e">
        <f>HYPERLINK("https://www.google.com/maps/search/?api=1&amp;query=" &amp; _xlfn.ENCODEURL(Table24[[#This Row],[Tên hẻm]]), "Link Google Map")</f>
        <v>#VALUE!</v>
      </c>
    </row>
    <row r="324" spans="1:22" ht="47.25" hidden="1">
      <c r="A324" s="11">
        <v>345</v>
      </c>
      <c r="B324" s="16" t="s">
        <v>5671</v>
      </c>
      <c r="C324" s="16" t="s">
        <v>4816</v>
      </c>
      <c r="D324" s="11" t="s">
        <v>5219</v>
      </c>
      <c r="E324" s="11">
        <v>11</v>
      </c>
      <c r="F324" s="11" t="s">
        <v>5672</v>
      </c>
      <c r="G324" s="172" t="s">
        <v>4367</v>
      </c>
      <c r="H324" s="11"/>
      <c r="I324" s="11"/>
      <c r="J324" s="11" t="s">
        <v>5673</v>
      </c>
      <c r="K324" s="173" t="s">
        <v>5674</v>
      </c>
      <c r="L324" s="11">
        <v>7</v>
      </c>
      <c r="M324" s="31" t="s">
        <v>5675</v>
      </c>
      <c r="N324" s="11"/>
      <c r="O324" s="11"/>
      <c r="P324" s="11" t="s">
        <v>5224</v>
      </c>
      <c r="Q324" s="19"/>
      <c r="R324" s="19"/>
      <c r="S324" s="23" t="str">
        <f>HYPERLINK("https://www.google.com/maps/search/" &amp; Table24[[#This Row],[Tên hẻm]], "Xem trên Google Maps")</f>
        <v>Xem trên Google Maps</v>
      </c>
      <c r="T324" s="16" t="str">
        <f>"Hẻm "&amp;Table24[[#This Row],[Hẻm]]&amp;" "&amp;Table24[[#This Row],[Tuyến đường]]&amp;", Phường "&amp;Table24[[#This Row],[Phường]]&amp;", Quận "&amp;Table24[[#This Row],[Quận]]</f>
        <v xml:space="preserve">Hẻm Hẻm 69 nơ Trang Long  Nơ Trang Long , Phường 11, Quận Bình thạnh </v>
      </c>
      <c r="U324" s="36"/>
      <c r="V324" s="56" t="e">
        <f>HYPERLINK("https://www.google.com/maps/search/?api=1&amp;query=" &amp; _xlfn.ENCODEURL(Table24[[#This Row],[Tên hẻm]]), "Link Google Map")</f>
        <v>#VALUE!</v>
      </c>
    </row>
    <row r="325" spans="1:22" ht="47.25" hidden="1">
      <c r="A325" s="11">
        <v>346</v>
      </c>
      <c r="B325" s="16" t="s">
        <v>5676</v>
      </c>
      <c r="C325" s="16" t="s">
        <v>5667</v>
      </c>
      <c r="D325" s="11" t="s">
        <v>5219</v>
      </c>
      <c r="E325" s="11">
        <v>13</v>
      </c>
      <c r="F325" s="11" t="s">
        <v>5677</v>
      </c>
      <c r="G325" s="172" t="s">
        <v>4993</v>
      </c>
      <c r="H325" s="11"/>
      <c r="I325" s="11"/>
      <c r="J325" s="11" t="s">
        <v>5678</v>
      </c>
      <c r="K325" s="173" t="s">
        <v>5679</v>
      </c>
      <c r="L325" s="11">
        <v>8</v>
      </c>
      <c r="M325" s="31" t="s">
        <v>5680</v>
      </c>
      <c r="N325" s="11"/>
      <c r="O325" s="11"/>
      <c r="P325" s="11" t="s">
        <v>5224</v>
      </c>
      <c r="Q325" s="19"/>
      <c r="R325" s="19"/>
      <c r="S325" s="23" t="str">
        <f>HYPERLINK("https://www.google.com/maps/search/" &amp; Table24[[#This Row],[Tên hẻm]], "Xem trên Google Maps")</f>
        <v>Xem trên Google Maps</v>
      </c>
      <c r="T325" s="16" t="str">
        <f>"Hẻm "&amp;Table24[[#This Row],[Hẻm]]&amp;" "&amp;Table24[[#This Row],[Tuyến đường]]&amp;", Phường "&amp;Table24[[#This Row],[Phường]]&amp;", Quận "&amp;Table24[[#This Row],[Quận]]</f>
        <v xml:space="preserve">Hẻm Hẻm 66 bình lợi  Bình lợi , Phường 13, Quận Bình thạnh </v>
      </c>
      <c r="U325" s="36"/>
      <c r="V325" s="56" t="e">
        <f>HYPERLINK("https://www.google.com/maps/search/?api=1&amp;query=" &amp; _xlfn.ENCODEURL(Table24[[#This Row],[Tên hẻm]]), "Link Google Map")</f>
        <v>#VALUE!</v>
      </c>
    </row>
    <row r="326" spans="1:22" ht="47.25" hidden="1">
      <c r="A326" s="11">
        <v>347</v>
      </c>
      <c r="B326" s="16" t="s">
        <v>5681</v>
      </c>
      <c r="C326" s="16" t="s">
        <v>5583</v>
      </c>
      <c r="D326" s="11" t="s">
        <v>522</v>
      </c>
      <c r="E326" s="11">
        <v>25</v>
      </c>
      <c r="F326" s="11" t="s">
        <v>5682</v>
      </c>
      <c r="G326" s="172">
        <v>3</v>
      </c>
      <c r="H326" s="11"/>
      <c r="I326" s="11"/>
      <c r="J326" s="11" t="s">
        <v>5683</v>
      </c>
      <c r="K326" s="173" t="s">
        <v>5684</v>
      </c>
      <c r="L326" s="11">
        <v>4</v>
      </c>
      <c r="M326" s="31" t="s">
        <v>5685</v>
      </c>
      <c r="N326" s="11"/>
      <c r="O326" s="11"/>
      <c r="P326" s="11" t="s">
        <v>5323</v>
      </c>
      <c r="Q326" s="19"/>
      <c r="R326" s="19"/>
      <c r="S326" s="23" t="str">
        <f>HYPERLINK("https://www.google.com/maps/search/" &amp; Table24[[#This Row],[Tên hẻm]], "Xem trên Google Maps")</f>
        <v>Xem trên Google Maps</v>
      </c>
      <c r="T326" s="16" t="str">
        <f>"Hẻm "&amp;Table24[[#This Row],[Hẻm]]&amp;" "&amp;Table24[[#This Row],[Tuyến đường]]&amp;", Phường "&amp;Table24[[#This Row],[Phường]]&amp;", Quận "&amp;Table24[[#This Row],[Quận]]</f>
        <v>Hẻm Hẻm 48 ung Văn Khiêm Ung Văn Khiêm, Phường 25, Quận Bình Thạnh</v>
      </c>
      <c r="U326" s="36"/>
      <c r="V326" s="56" t="e">
        <f>HYPERLINK("https://www.google.com/maps/search/?api=1&amp;query=" &amp; _xlfn.ENCODEURL(Table24[[#This Row],[Tên hẻm]]), "Link Google Map")</f>
        <v>#VALUE!</v>
      </c>
    </row>
    <row r="327" spans="1:22" ht="47.25" hidden="1">
      <c r="A327" s="11">
        <v>348</v>
      </c>
      <c r="B327" s="16" t="s">
        <v>5686</v>
      </c>
      <c r="C327" s="16" t="s">
        <v>5687</v>
      </c>
      <c r="D327" s="11" t="s">
        <v>4412</v>
      </c>
      <c r="E327" s="11">
        <v>25</v>
      </c>
      <c r="F327" s="11" t="s">
        <v>5688</v>
      </c>
      <c r="G327" s="172">
        <v>3</v>
      </c>
      <c r="H327" s="11"/>
      <c r="I327" s="11"/>
      <c r="J327" s="11" t="s">
        <v>5689</v>
      </c>
      <c r="K327" s="173" t="s">
        <v>5690</v>
      </c>
      <c r="L327" s="11">
        <v>4</v>
      </c>
      <c r="M327" s="31" t="s">
        <v>5691</v>
      </c>
      <c r="N327" s="11"/>
      <c r="O327" s="11"/>
      <c r="P327" s="11" t="s">
        <v>5323</v>
      </c>
      <c r="Q327" s="19"/>
      <c r="R327" s="19"/>
      <c r="S327" s="23" t="str">
        <f>HYPERLINK("https://www.google.com/maps/search/" &amp; Table24[[#This Row],[Tên hẻm]], "Xem trên Google Maps")</f>
        <v>Xem trên Google Maps</v>
      </c>
      <c r="T327" s="16" t="str">
        <f>"Hẻm "&amp;Table24[[#This Row],[Hẻm]]&amp;" "&amp;Table24[[#This Row],[Tuyến đường]]&amp;", Phường "&amp;Table24[[#This Row],[Phường]]&amp;", Quận "&amp;Table24[[#This Row],[Quận]]</f>
        <v xml:space="preserve">Hẻm Hẻm 336 ung Văn Khiêm  Ung Văn Khiêm , Phường 25, Quận Bình Thạnh </v>
      </c>
      <c r="U327" s="36"/>
      <c r="V327" s="56" t="e">
        <f>HYPERLINK("https://www.google.com/maps/search/?api=1&amp;query=" &amp; _xlfn.ENCODEURL(Table24[[#This Row],[Tên hẻm]]), "Link Google Map")</f>
        <v>#VALUE!</v>
      </c>
    </row>
    <row r="328" spans="1:22" ht="47.25" hidden="1">
      <c r="A328" s="11">
        <v>349</v>
      </c>
      <c r="B328" s="16" t="s">
        <v>5692</v>
      </c>
      <c r="C328" s="16" t="s">
        <v>5693</v>
      </c>
      <c r="D328" s="11" t="s">
        <v>4412</v>
      </c>
      <c r="E328" s="11">
        <v>25</v>
      </c>
      <c r="F328" s="11" t="s">
        <v>5694</v>
      </c>
      <c r="G328" s="172">
        <v>3</v>
      </c>
      <c r="H328" s="11"/>
      <c r="I328" s="11"/>
      <c r="J328" s="11" t="s">
        <v>5692</v>
      </c>
      <c r="K328" s="173" t="s">
        <v>5695</v>
      </c>
      <c r="L328" s="11">
        <v>6</v>
      </c>
      <c r="M328" s="31" t="s">
        <v>5696</v>
      </c>
      <c r="N328" s="11"/>
      <c r="O328" s="11"/>
      <c r="P328" s="11" t="s">
        <v>5697</v>
      </c>
      <c r="Q328" s="19"/>
      <c r="R328" s="19"/>
      <c r="S328" s="23" t="str">
        <f>HYPERLINK("https://www.google.com/maps/search/" &amp; Table24[[#This Row],[Tên hẻm]], "Xem trên Google Maps")</f>
        <v>Xem trên Google Maps</v>
      </c>
      <c r="T328" s="16" t="str">
        <f>"Hẻm "&amp;Table24[[#This Row],[Hẻm]]&amp;" "&amp;Table24[[#This Row],[Tuyến đường]]&amp;", Phường "&amp;Table24[[#This Row],[Phường]]&amp;", Quận "&amp;Table24[[#This Row],[Quận]]</f>
        <v xml:space="preserve">Hẻm 860/58 XVNT XVNT, Phường 25, Quận Bình Thạnh </v>
      </c>
      <c r="U328" s="36"/>
      <c r="V328" s="56" t="e">
        <f>HYPERLINK("https://www.google.com/maps/search/?api=1&amp;query=" &amp; _xlfn.ENCODEURL(Table24[[#This Row],[Tên hẻm]]), "Link Google Map")</f>
        <v>#VALUE!</v>
      </c>
    </row>
    <row r="329" spans="1:22" ht="47.25" hidden="1">
      <c r="A329" s="11">
        <v>350</v>
      </c>
      <c r="B329" s="16" t="s">
        <v>5698</v>
      </c>
      <c r="C329" s="16" t="s">
        <v>5687</v>
      </c>
      <c r="D329" s="11" t="s">
        <v>4412</v>
      </c>
      <c r="E329" s="11">
        <v>25</v>
      </c>
      <c r="F329" s="11" t="s">
        <v>5699</v>
      </c>
      <c r="G329" s="172">
        <v>4</v>
      </c>
      <c r="H329" s="11"/>
      <c r="I329" s="11"/>
      <c r="J329" s="11" t="s">
        <v>5700</v>
      </c>
      <c r="K329" s="173" t="s">
        <v>5701</v>
      </c>
      <c r="L329" s="11">
        <v>1</v>
      </c>
      <c r="M329" s="31" t="s">
        <v>5702</v>
      </c>
      <c r="N329" s="11"/>
      <c r="O329" s="11"/>
      <c r="P329" s="11" t="s">
        <v>5697</v>
      </c>
      <c r="Q329" s="19"/>
      <c r="R329" s="19"/>
      <c r="S329" s="23" t="str">
        <f>HYPERLINK("https://www.google.com/maps/search/" &amp; Table24[[#This Row],[Tên hẻm]], "Xem trên Google Maps")</f>
        <v>Xem trên Google Maps</v>
      </c>
      <c r="T329" s="16" t="str">
        <f>"Hẻm "&amp;Table24[[#This Row],[Hẻm]]&amp;" "&amp;Table24[[#This Row],[Tuyến đường]]&amp;", Phường "&amp;Table24[[#This Row],[Phường]]&amp;", Quận "&amp;Table24[[#This Row],[Quận]]</f>
        <v xml:space="preserve">Hẻm Hẻm 114 Ung Văn Khiêm  Ung Văn Khiêm , Phường 25, Quận Bình Thạnh </v>
      </c>
      <c r="U329" s="36"/>
      <c r="V329" s="56" t="e">
        <f>HYPERLINK("https://www.google.com/maps/search/?api=1&amp;query=" &amp; _xlfn.ENCODEURL(Table24[[#This Row],[Tên hẻm]]), "Link Google Map")</f>
        <v>#VALUE!</v>
      </c>
    </row>
    <row r="330" spans="1:22" ht="47.25" hidden="1">
      <c r="A330" s="11">
        <v>351</v>
      </c>
      <c r="B330" s="16" t="s">
        <v>5703</v>
      </c>
      <c r="C330" s="16" t="s">
        <v>5687</v>
      </c>
      <c r="D330" s="11" t="s">
        <v>4412</v>
      </c>
      <c r="E330" s="11">
        <v>25</v>
      </c>
      <c r="F330" s="11" t="s">
        <v>5699</v>
      </c>
      <c r="G330" s="172">
        <v>3</v>
      </c>
      <c r="H330" s="11"/>
      <c r="I330" s="11"/>
      <c r="J330" s="11" t="s">
        <v>5703</v>
      </c>
      <c r="K330" s="173" t="s">
        <v>5704</v>
      </c>
      <c r="L330" s="11">
        <v>6</v>
      </c>
      <c r="M330" s="31" t="s">
        <v>5705</v>
      </c>
      <c r="N330" s="11"/>
      <c r="O330" s="11"/>
      <c r="P330" s="11" t="s">
        <v>5697</v>
      </c>
      <c r="Q330" s="19"/>
      <c r="R330" s="19"/>
      <c r="S330" s="23" t="str">
        <f>HYPERLINK("https://www.google.com/maps/search/" &amp; Table24[[#This Row],[Tên hẻm]], "Xem trên Google Maps")</f>
        <v>Xem trên Google Maps</v>
      </c>
      <c r="T330" s="16" t="str">
        <f>"Hẻm "&amp;Table24[[#This Row],[Hẻm]]&amp;" "&amp;Table24[[#This Row],[Tuyến đường]]&amp;", Phường "&amp;Table24[[#This Row],[Phường]]&amp;", Quận "&amp;Table24[[#This Row],[Quận]]</f>
        <v xml:space="preserve">Hẻm 97 Ung Văn Khiêm  Ung Văn Khiêm , Phường 25, Quận Bình Thạnh </v>
      </c>
      <c r="U330" s="36"/>
      <c r="V330" s="56" t="e">
        <f>HYPERLINK("https://www.google.com/maps/search/?api=1&amp;query=" &amp; _xlfn.ENCODEURL(Table24[[#This Row],[Tên hẻm]]), "Link Google Map")</f>
        <v>#VALUE!</v>
      </c>
    </row>
    <row r="331" spans="1:22" ht="47.25" hidden="1">
      <c r="A331" s="11">
        <v>352</v>
      </c>
      <c r="B331" s="16" t="s">
        <v>5706</v>
      </c>
      <c r="C331" s="16" t="s">
        <v>5707</v>
      </c>
      <c r="D331" s="11" t="s">
        <v>4412</v>
      </c>
      <c r="E331" s="11">
        <v>25</v>
      </c>
      <c r="F331" s="11" t="s">
        <v>5708</v>
      </c>
      <c r="G331" s="172">
        <v>4</v>
      </c>
      <c r="H331" s="11"/>
      <c r="I331" s="11"/>
      <c r="J331" s="11" t="s">
        <v>5709</v>
      </c>
      <c r="K331" s="173" t="s">
        <v>5710</v>
      </c>
      <c r="L331" s="11">
        <v>4</v>
      </c>
      <c r="M331" s="31" t="s">
        <v>5711</v>
      </c>
      <c r="N331" s="11"/>
      <c r="O331" s="11"/>
      <c r="P331" s="11" t="s">
        <v>5697</v>
      </c>
      <c r="Q331" s="19"/>
      <c r="R331" s="19"/>
      <c r="S331" s="23" t="str">
        <f>HYPERLINK("https://www.google.com/maps/search/" &amp; Table24[[#This Row],[Tên hẻm]], "Xem trên Google Maps")</f>
        <v>Xem trên Google Maps</v>
      </c>
      <c r="T331" s="16" t="str">
        <f>"Hẻm "&amp;Table24[[#This Row],[Hẻm]]&amp;" "&amp;Table24[[#This Row],[Tuyến đường]]&amp;", Phường "&amp;Table24[[#This Row],[Phường]]&amp;", Quận "&amp;Table24[[#This Row],[Quận]]</f>
        <v xml:space="preserve">Hẻm Hẻm 527 Điện Biên Phủ  Điện Biên Phủ , Phường 25, Quận Bình Thạnh </v>
      </c>
      <c r="U331" s="36"/>
      <c r="V331" s="56" t="e">
        <f>HYPERLINK("https://www.google.com/maps/search/?api=1&amp;query=" &amp; _xlfn.ENCODEURL(Table24[[#This Row],[Tên hẻm]]), "Link Google Map")</f>
        <v>#VALUE!</v>
      </c>
    </row>
    <row r="332" spans="1:22" ht="47.25" hidden="1">
      <c r="A332" s="11">
        <v>353</v>
      </c>
      <c r="B332" s="16">
        <v>101</v>
      </c>
      <c r="C332" s="16" t="s">
        <v>4551</v>
      </c>
      <c r="D332" s="11">
        <v>8</v>
      </c>
      <c r="E332" s="11">
        <v>5</v>
      </c>
      <c r="F332" s="11" t="s">
        <v>2562</v>
      </c>
      <c r="G332" s="172">
        <v>3</v>
      </c>
      <c r="H332" s="11"/>
      <c r="I332" s="11"/>
      <c r="J332" s="11" t="s">
        <v>5137</v>
      </c>
      <c r="K332" s="173" t="s">
        <v>5712</v>
      </c>
      <c r="L332" s="11">
        <v>10</v>
      </c>
      <c r="M332" s="31" t="s">
        <v>5713</v>
      </c>
      <c r="N332" s="11"/>
      <c r="O332" s="11"/>
      <c r="P332" s="11" t="s">
        <v>4544</v>
      </c>
      <c r="Q332" s="19"/>
      <c r="R332" s="19"/>
      <c r="S332" s="23" t="str">
        <f>HYPERLINK("https://www.google.com/maps/search/" &amp; Table24[[#This Row],[Tên hẻm]], "Xem trên Google Maps")</f>
        <v>Xem trên Google Maps</v>
      </c>
      <c r="T332" s="16" t="str">
        <f>"Hẻm "&amp;Table24[[#This Row],[Hẻm]]&amp;" "&amp;Table24[[#This Row],[Tuyến đường]]&amp;", Phường "&amp;Table24[[#This Row],[Phường]]&amp;", Quận "&amp;Table24[[#This Row],[Quận]]</f>
        <v>Hẻm 101 Bùi Minh Trực , Phường 5, Quận 8</v>
      </c>
      <c r="U332" s="36"/>
      <c r="V332" s="78" t="e">
        <f>HYPERLINK("https://www.google.com/maps/search/?api=1&amp;query=" &amp; _xlfn.ENCODEURL(Table24[[#This Row],[Tên hẻm]]), "Link Google Map")</f>
        <v>#VALUE!</v>
      </c>
    </row>
    <row r="333" spans="1:22" ht="47.25" hidden="1">
      <c r="A333" s="11">
        <v>354</v>
      </c>
      <c r="B333" s="16">
        <v>112</v>
      </c>
      <c r="C333" s="16" t="s">
        <v>4551</v>
      </c>
      <c r="D333" s="11">
        <v>8</v>
      </c>
      <c r="E333" s="11">
        <v>5</v>
      </c>
      <c r="F333" s="11" t="s">
        <v>5714</v>
      </c>
      <c r="G333" s="172">
        <v>3</v>
      </c>
      <c r="H333" s="11"/>
      <c r="I333" s="11"/>
      <c r="J333" s="11" t="s">
        <v>5137</v>
      </c>
      <c r="K333" s="173" t="s">
        <v>5715</v>
      </c>
      <c r="L333" s="11">
        <v>5</v>
      </c>
      <c r="M333" s="31" t="s">
        <v>5716</v>
      </c>
      <c r="N333" s="11"/>
      <c r="O333" s="11"/>
      <c r="P333" s="11" t="s">
        <v>4544</v>
      </c>
      <c r="Q333" s="19"/>
      <c r="R333" s="19"/>
      <c r="S333" s="23" t="str">
        <f>HYPERLINK("https://www.google.com/maps/search/" &amp; Table24[[#This Row],[Tên hẻm]], "Xem trên Google Maps")</f>
        <v>Xem trên Google Maps</v>
      </c>
      <c r="T333" s="16" t="str">
        <f>"Hẻm "&amp;Table24[[#This Row],[Hẻm]]&amp;" "&amp;Table24[[#This Row],[Tuyến đường]]&amp;", Phường "&amp;Table24[[#This Row],[Phường]]&amp;", Quận "&amp;Table24[[#This Row],[Quận]]</f>
        <v>Hẻm 112 Bùi Minh Trực , Phường 5, Quận 8</v>
      </c>
      <c r="U333" s="36"/>
      <c r="V333" s="78" t="e">
        <f>HYPERLINK("https://www.google.com/maps/search/?api=1&amp;query=" &amp; _xlfn.ENCODEURL(Table24[[#This Row],[Tên hẻm]]), "Link Google Map")</f>
        <v>#VALUE!</v>
      </c>
    </row>
    <row r="334" spans="1:22" ht="47.25" hidden="1">
      <c r="A334" s="11">
        <v>355</v>
      </c>
      <c r="B334" s="16">
        <v>126</v>
      </c>
      <c r="C334" s="16" t="s">
        <v>4551</v>
      </c>
      <c r="D334" s="11">
        <v>8</v>
      </c>
      <c r="E334" s="11">
        <v>5</v>
      </c>
      <c r="F334" s="11" t="s">
        <v>2558</v>
      </c>
      <c r="G334" s="172" t="s">
        <v>5717</v>
      </c>
      <c r="H334" s="11"/>
      <c r="I334" s="11"/>
      <c r="J334" s="11" t="s">
        <v>5137</v>
      </c>
      <c r="K334" s="173" t="s">
        <v>5718</v>
      </c>
      <c r="L334" s="11">
        <v>8</v>
      </c>
      <c r="M334" s="31" t="s">
        <v>5719</v>
      </c>
      <c r="N334" s="11"/>
      <c r="O334" s="11"/>
      <c r="P334" s="11" t="s">
        <v>4544</v>
      </c>
      <c r="Q334" s="19"/>
      <c r="R334" s="19"/>
      <c r="S334" s="23" t="str">
        <f>HYPERLINK("https://www.google.com/maps/search/" &amp; Table24[[#This Row],[Tên hẻm]], "Xem trên Google Maps")</f>
        <v>Xem trên Google Maps</v>
      </c>
      <c r="T334" s="16" t="str">
        <f>"Hẻm "&amp;Table24[[#This Row],[Hẻm]]&amp;" "&amp;Table24[[#This Row],[Tuyến đường]]&amp;", Phường "&amp;Table24[[#This Row],[Phường]]&amp;", Quận "&amp;Table24[[#This Row],[Quận]]</f>
        <v>Hẻm 126 Bùi Minh Trực , Phường 5, Quận 8</v>
      </c>
      <c r="U334" s="36"/>
      <c r="V334" s="78" t="e">
        <f>HYPERLINK("https://www.google.com/maps/search/?api=1&amp;query=" &amp; _xlfn.ENCODEURL(Table24[[#This Row],[Tên hẻm]]), "Link Google Map")</f>
        <v>#VALUE!</v>
      </c>
    </row>
    <row r="335" spans="1:22" ht="47.25" hidden="1">
      <c r="A335" s="11">
        <v>356</v>
      </c>
      <c r="B335" s="16">
        <v>127</v>
      </c>
      <c r="C335" s="16" t="s">
        <v>4551</v>
      </c>
      <c r="D335" s="11">
        <v>8</v>
      </c>
      <c r="E335" s="11">
        <v>5</v>
      </c>
      <c r="F335" s="11" t="s">
        <v>2558</v>
      </c>
      <c r="G335" s="172">
        <v>3</v>
      </c>
      <c r="H335" s="11"/>
      <c r="I335" s="11"/>
      <c r="J335" s="11" t="s">
        <v>5137</v>
      </c>
      <c r="K335" s="173" t="s">
        <v>5720</v>
      </c>
      <c r="L335" s="11">
        <v>7</v>
      </c>
      <c r="M335" s="31" t="s">
        <v>5721</v>
      </c>
      <c r="N335" s="11"/>
      <c r="O335" s="11"/>
      <c r="P335" s="11" t="s">
        <v>4544</v>
      </c>
      <c r="Q335" s="19"/>
      <c r="R335" s="19"/>
      <c r="S335" s="23" t="str">
        <f>HYPERLINK("https://www.google.com/maps/search/" &amp; Table24[[#This Row],[Tên hẻm]], "Xem trên Google Maps")</f>
        <v>Xem trên Google Maps</v>
      </c>
      <c r="T335" s="16" t="str">
        <f>"Hẻm "&amp;Table24[[#This Row],[Hẻm]]&amp;" "&amp;Table24[[#This Row],[Tuyến đường]]&amp;", Phường "&amp;Table24[[#This Row],[Phường]]&amp;", Quận "&amp;Table24[[#This Row],[Quận]]</f>
        <v>Hẻm 127 Bùi Minh Trực , Phường 5, Quận 8</v>
      </c>
      <c r="U335" s="36"/>
      <c r="V335" s="78" t="e">
        <f>HYPERLINK("https://www.google.com/maps/search/?api=1&amp;query=" &amp; _xlfn.ENCODEURL(Table24[[#This Row],[Tên hẻm]]), "Link Google Map")</f>
        <v>#VALUE!</v>
      </c>
    </row>
    <row r="336" spans="1:22" ht="47.25" hidden="1">
      <c r="A336" s="11">
        <v>357</v>
      </c>
      <c r="B336" s="16">
        <v>158</v>
      </c>
      <c r="C336" s="16" t="s">
        <v>4551</v>
      </c>
      <c r="D336" s="11">
        <v>8</v>
      </c>
      <c r="E336" s="11">
        <v>5</v>
      </c>
      <c r="F336" s="11" t="s">
        <v>5722</v>
      </c>
      <c r="G336" s="172">
        <v>3</v>
      </c>
      <c r="H336" s="11"/>
      <c r="I336" s="11"/>
      <c r="J336" s="11" t="s">
        <v>5137</v>
      </c>
      <c r="K336" s="173" t="s">
        <v>5723</v>
      </c>
      <c r="L336" s="11">
        <v>12</v>
      </c>
      <c r="M336" s="31" t="s">
        <v>5724</v>
      </c>
      <c r="N336" s="11"/>
      <c r="O336" s="11"/>
      <c r="P336" s="11" t="s">
        <v>4544</v>
      </c>
      <c r="Q336" s="19"/>
      <c r="R336" s="19"/>
      <c r="S336" s="23" t="str">
        <f>HYPERLINK("https://www.google.com/maps/search/" &amp; Table24[[#This Row],[Tên hẻm]], "Xem trên Google Maps")</f>
        <v>Xem trên Google Maps</v>
      </c>
      <c r="T336" s="16" t="str">
        <f>"Hẻm "&amp;Table24[[#This Row],[Hẻm]]&amp;" "&amp;Table24[[#This Row],[Tuyến đường]]&amp;", Phường "&amp;Table24[[#This Row],[Phường]]&amp;", Quận "&amp;Table24[[#This Row],[Quận]]</f>
        <v>Hẻm 158 Bùi Minh Trực , Phường 5, Quận 8</v>
      </c>
      <c r="U336" s="36"/>
      <c r="V336" s="78" t="e">
        <f>HYPERLINK("https://www.google.com/maps/search/?api=1&amp;query=" &amp; _xlfn.ENCODEURL(Table24[[#This Row],[Tên hẻm]]), "Link Google Map")</f>
        <v>#VALUE!</v>
      </c>
    </row>
    <row r="337" spans="1:22" ht="47.25" hidden="1">
      <c r="A337" s="11">
        <v>358</v>
      </c>
      <c r="B337" s="16">
        <v>177</v>
      </c>
      <c r="C337" s="16" t="s">
        <v>4551</v>
      </c>
      <c r="D337" s="11">
        <v>8</v>
      </c>
      <c r="E337" s="11">
        <v>5</v>
      </c>
      <c r="F337" s="11" t="s">
        <v>5722</v>
      </c>
      <c r="G337" s="172">
        <v>3</v>
      </c>
      <c r="H337" s="11"/>
      <c r="I337" s="11"/>
      <c r="J337" s="11" t="s">
        <v>5137</v>
      </c>
      <c r="K337" s="173" t="s">
        <v>5725</v>
      </c>
      <c r="L337" s="11">
        <v>7</v>
      </c>
      <c r="M337" s="31" t="s">
        <v>5726</v>
      </c>
      <c r="N337" s="11"/>
      <c r="O337" s="11"/>
      <c r="P337" s="11" t="s">
        <v>4544</v>
      </c>
      <c r="Q337" s="19"/>
      <c r="R337" s="19"/>
      <c r="S337" s="23" t="str">
        <f>HYPERLINK("https://www.google.com/maps/search/" &amp; Table24[[#This Row],[Tên hẻm]], "Xem trên Google Maps")</f>
        <v>Xem trên Google Maps</v>
      </c>
      <c r="T337" s="16" t="str">
        <f>"Hẻm "&amp;Table24[[#This Row],[Hẻm]]&amp;" "&amp;Table24[[#This Row],[Tuyến đường]]&amp;", Phường "&amp;Table24[[#This Row],[Phường]]&amp;", Quận "&amp;Table24[[#This Row],[Quận]]</f>
        <v>Hẻm 177 Bùi Minh Trực , Phường 5, Quận 8</v>
      </c>
      <c r="U337" s="36"/>
      <c r="V337" s="78" t="e">
        <f>HYPERLINK("https://www.google.com/maps/search/?api=1&amp;query=" &amp; _xlfn.ENCODEURL(Table24[[#This Row],[Tên hẻm]]), "Link Google Map")</f>
        <v>#VALUE!</v>
      </c>
    </row>
    <row r="338" spans="1:22" ht="47.25" hidden="1">
      <c r="A338" s="11">
        <v>359</v>
      </c>
      <c r="B338" s="16">
        <v>123</v>
      </c>
      <c r="C338" s="16" t="s">
        <v>5727</v>
      </c>
      <c r="D338" s="11">
        <v>8</v>
      </c>
      <c r="E338" s="11">
        <v>5</v>
      </c>
      <c r="F338" s="11" t="s">
        <v>5728</v>
      </c>
      <c r="G338" s="172">
        <v>3</v>
      </c>
      <c r="H338" s="11"/>
      <c r="I338" s="11"/>
      <c r="J338" s="11" t="s">
        <v>5137</v>
      </c>
      <c r="K338" s="173" t="s">
        <v>5729</v>
      </c>
      <c r="L338" s="11">
        <v>7</v>
      </c>
      <c r="M338" s="31" t="s">
        <v>5730</v>
      </c>
      <c r="N338" s="11"/>
      <c r="O338" s="11"/>
      <c r="P338" s="11" t="s">
        <v>4544</v>
      </c>
      <c r="Q338" s="19"/>
      <c r="R338" s="19"/>
      <c r="S338" s="23" t="str">
        <f>HYPERLINK("https://www.google.com/maps/search/" &amp; Table24[[#This Row],[Tên hẻm]], "Xem trên Google Maps")</f>
        <v>Xem trên Google Maps</v>
      </c>
      <c r="T338" s="16" t="str">
        <f>"Hẻm "&amp;Table24[[#This Row],[Hẻm]]&amp;" "&amp;Table24[[#This Row],[Tuyến đường]]&amp;", Phường "&amp;Table24[[#This Row],[Phường]]&amp;", Quận "&amp;Table24[[#This Row],[Quận]]</f>
        <v>Hẻm 123 Bông Sao , Phường 5, Quận 8</v>
      </c>
      <c r="U338" s="36"/>
      <c r="V338" s="78" t="e">
        <f>HYPERLINK("https://www.google.com/maps/search/?api=1&amp;query=" &amp; _xlfn.ENCODEURL(Table24[[#This Row],[Tên hẻm]]), "Link Google Map")</f>
        <v>#VALUE!</v>
      </c>
    </row>
    <row r="339" spans="1:22" ht="47.25" hidden="1">
      <c r="A339" s="11">
        <v>360</v>
      </c>
      <c r="B339" s="16">
        <v>45</v>
      </c>
      <c r="C339" s="16" t="s">
        <v>5727</v>
      </c>
      <c r="D339" s="11">
        <v>8</v>
      </c>
      <c r="E339" s="11">
        <v>5</v>
      </c>
      <c r="F339" s="11" t="s">
        <v>2545</v>
      </c>
      <c r="G339" s="172">
        <v>4</v>
      </c>
      <c r="H339" s="11"/>
      <c r="I339" s="11"/>
      <c r="J339" s="11" t="s">
        <v>5137</v>
      </c>
      <c r="K339" s="173" t="s">
        <v>5731</v>
      </c>
      <c r="L339" s="11">
        <v>2</v>
      </c>
      <c r="M339" s="31" t="s">
        <v>5732</v>
      </c>
      <c r="N339" s="11"/>
      <c r="O339" s="11"/>
      <c r="P339" s="11" t="s">
        <v>4544</v>
      </c>
      <c r="Q339" s="19"/>
      <c r="R339" s="19"/>
      <c r="S339" s="23" t="str">
        <f>HYPERLINK("https://www.google.com/maps/search/" &amp; Table24[[#This Row],[Tên hẻm]], "Xem trên Google Maps")</f>
        <v>Xem trên Google Maps</v>
      </c>
      <c r="T339" s="16" t="str">
        <f>"Hẻm "&amp;Table24[[#This Row],[Hẻm]]&amp;" "&amp;Table24[[#This Row],[Tuyến đường]]&amp;", Phường "&amp;Table24[[#This Row],[Phường]]&amp;", Quận "&amp;Table24[[#This Row],[Quận]]</f>
        <v>Hẻm 45 Bông Sao , Phường 5, Quận 8</v>
      </c>
      <c r="U339" s="36"/>
      <c r="V339" s="78" t="e">
        <f>HYPERLINK("https://www.google.com/maps/search/?api=1&amp;query=" &amp; _xlfn.ENCODEURL(Table24[[#This Row],[Tên hẻm]]), "Link Google Map")</f>
        <v>#VALUE!</v>
      </c>
    </row>
    <row r="340" spans="1:22" ht="47.25" hidden="1">
      <c r="A340" s="11">
        <v>361</v>
      </c>
      <c r="B340" s="16">
        <v>283</v>
      </c>
      <c r="C340" s="16" t="s">
        <v>5727</v>
      </c>
      <c r="D340" s="11">
        <v>8</v>
      </c>
      <c r="E340" s="11">
        <v>5</v>
      </c>
      <c r="F340" s="11" t="s">
        <v>5733</v>
      </c>
      <c r="G340" s="172">
        <v>3</v>
      </c>
      <c r="H340" s="11"/>
      <c r="I340" s="11"/>
      <c r="J340" s="11" t="s">
        <v>5137</v>
      </c>
      <c r="K340" s="173" t="s">
        <v>5734</v>
      </c>
      <c r="L340" s="11">
        <v>7</v>
      </c>
      <c r="M340" s="31" t="s">
        <v>5735</v>
      </c>
      <c r="N340" s="11"/>
      <c r="O340" s="11"/>
      <c r="P340" s="11" t="s">
        <v>4544</v>
      </c>
      <c r="Q340" s="19"/>
      <c r="R340" s="19"/>
      <c r="S340" s="23" t="str">
        <f>HYPERLINK("https://www.google.com/maps/search/" &amp; Table24[[#This Row],[Tên hẻm]], "Xem trên Google Maps")</f>
        <v>Xem trên Google Maps</v>
      </c>
      <c r="T340" s="16" t="str">
        <f>"Hẻm "&amp;Table24[[#This Row],[Hẻm]]&amp;" "&amp;Table24[[#This Row],[Tuyến đường]]&amp;", Phường "&amp;Table24[[#This Row],[Phường]]&amp;", Quận "&amp;Table24[[#This Row],[Quận]]</f>
        <v>Hẻm 283 Bông Sao , Phường 5, Quận 8</v>
      </c>
      <c r="U340" s="36"/>
      <c r="V340" s="78" t="e">
        <f>HYPERLINK("https://www.google.com/maps/search/?api=1&amp;query=" &amp; _xlfn.ENCODEURL(Table24[[#This Row],[Tên hẻm]]), "Link Google Map")</f>
        <v>#VALUE!</v>
      </c>
    </row>
    <row r="341" spans="1:22" ht="47.25" hidden="1">
      <c r="A341" s="11">
        <v>362</v>
      </c>
      <c r="B341" s="16">
        <v>215</v>
      </c>
      <c r="C341" s="16" t="s">
        <v>5727</v>
      </c>
      <c r="D341" s="11">
        <v>8</v>
      </c>
      <c r="E341" s="11">
        <v>5</v>
      </c>
      <c r="F341" s="11" t="s">
        <v>5733</v>
      </c>
      <c r="G341" s="172">
        <v>3</v>
      </c>
      <c r="H341" s="11"/>
      <c r="I341" s="11"/>
      <c r="J341" s="11" t="s">
        <v>5137</v>
      </c>
      <c r="K341" s="173" t="s">
        <v>5736</v>
      </c>
      <c r="L341" s="11">
        <v>10</v>
      </c>
      <c r="M341" s="31" t="s">
        <v>5737</v>
      </c>
      <c r="N341" s="11"/>
      <c r="O341" s="11"/>
      <c r="P341" s="11" t="s">
        <v>4544</v>
      </c>
      <c r="Q341" s="19"/>
      <c r="R341" s="19"/>
      <c r="S341" s="23" t="str">
        <f>HYPERLINK("https://www.google.com/maps/search/" &amp; Table24[[#This Row],[Tên hẻm]], "Xem trên Google Maps")</f>
        <v>Xem trên Google Maps</v>
      </c>
      <c r="T341" s="16" t="str">
        <f>"Hẻm "&amp;Table24[[#This Row],[Hẻm]]&amp;" "&amp;Table24[[#This Row],[Tuyến đường]]&amp;", Phường "&amp;Table24[[#This Row],[Phường]]&amp;", Quận "&amp;Table24[[#This Row],[Quận]]</f>
        <v>Hẻm 215 Bông Sao , Phường 5, Quận 8</v>
      </c>
      <c r="U341" s="36"/>
      <c r="V341" s="78" t="e">
        <f>HYPERLINK("https://www.google.com/maps/search/?api=1&amp;query=" &amp; _xlfn.ENCODEURL(Table24[[#This Row],[Tên hẻm]]), "Link Google Map")</f>
        <v>#VALUE!</v>
      </c>
    </row>
    <row r="342" spans="1:22" ht="47.25" hidden="1">
      <c r="A342" s="11">
        <v>363</v>
      </c>
      <c r="B342" s="16">
        <v>1323</v>
      </c>
      <c r="C342" s="16" t="s">
        <v>4796</v>
      </c>
      <c r="D342" s="11">
        <v>8</v>
      </c>
      <c r="E342" s="11">
        <v>5</v>
      </c>
      <c r="F342" s="11" t="s">
        <v>5738</v>
      </c>
      <c r="G342" s="172" t="s">
        <v>5209</v>
      </c>
      <c r="H342" s="11"/>
      <c r="I342" s="11"/>
      <c r="J342" s="11" t="s">
        <v>5137</v>
      </c>
      <c r="K342" s="173" t="s">
        <v>5739</v>
      </c>
      <c r="L342" s="11">
        <v>3</v>
      </c>
      <c r="M342" s="31" t="s">
        <v>5740</v>
      </c>
      <c r="N342" s="11"/>
      <c r="O342" s="11"/>
      <c r="P342" s="11" t="s">
        <v>4544</v>
      </c>
      <c r="Q342" s="19"/>
      <c r="R342" s="19"/>
      <c r="S342" s="23" t="str">
        <f>HYPERLINK("https://www.google.com/maps/search/" &amp; Table24[[#This Row],[Tên hẻm]], "Xem trên Google Maps")</f>
        <v>Xem trên Google Maps</v>
      </c>
      <c r="T342" s="16" t="str">
        <f>"Hẻm "&amp;Table24[[#This Row],[Hẻm]]&amp;" "&amp;Table24[[#This Row],[Tuyến đường]]&amp;", Phường "&amp;Table24[[#This Row],[Phường]]&amp;", Quận "&amp;Table24[[#This Row],[Quận]]</f>
        <v>Hẻm 1323 Phạm Thế Hiển , Phường 5, Quận 8</v>
      </c>
      <c r="U342" s="36"/>
      <c r="V342" s="78" t="e">
        <f>HYPERLINK("https://www.google.com/maps/search/?api=1&amp;query=" &amp; _xlfn.ENCODEURL(Table24[[#This Row],[Tên hẻm]]), "Link Google Map")</f>
        <v>#VALUE!</v>
      </c>
    </row>
    <row r="343" spans="1:22" ht="47.25" hidden="1">
      <c r="A343" s="11">
        <v>364</v>
      </c>
      <c r="B343" s="16">
        <v>1293</v>
      </c>
      <c r="C343" s="16" t="s">
        <v>4796</v>
      </c>
      <c r="D343" s="11">
        <v>8</v>
      </c>
      <c r="E343" s="11">
        <v>5</v>
      </c>
      <c r="F343" s="11" t="s">
        <v>5741</v>
      </c>
      <c r="G343" s="172" t="s">
        <v>5742</v>
      </c>
      <c r="H343" s="11"/>
      <c r="I343" s="11"/>
      <c r="J343" s="11" t="s">
        <v>5137</v>
      </c>
      <c r="K343" s="173" t="s">
        <v>5743</v>
      </c>
      <c r="L343" s="11">
        <v>5</v>
      </c>
      <c r="M343" s="31" t="s">
        <v>5744</v>
      </c>
      <c r="N343" s="11"/>
      <c r="O343" s="11"/>
      <c r="P343" s="11" t="s">
        <v>4544</v>
      </c>
      <c r="Q343" s="19"/>
      <c r="R343" s="19"/>
      <c r="S343" s="23" t="str">
        <f>HYPERLINK("https://www.google.com/maps/search/" &amp; Table24[[#This Row],[Tên hẻm]], "Xem trên Google Maps")</f>
        <v>Xem trên Google Maps</v>
      </c>
      <c r="T343" s="16" t="str">
        <f>"Hẻm "&amp;Table24[[#This Row],[Hẻm]]&amp;" "&amp;Table24[[#This Row],[Tuyến đường]]&amp;", Phường "&amp;Table24[[#This Row],[Phường]]&amp;", Quận "&amp;Table24[[#This Row],[Quận]]</f>
        <v>Hẻm 1293 Phạm Thế Hiển , Phường 5, Quận 8</v>
      </c>
      <c r="U343" s="36"/>
      <c r="V343" s="78" t="e">
        <f>HYPERLINK("https://www.google.com/maps/search/?api=1&amp;query=" &amp; _xlfn.ENCODEURL(Table24[[#This Row],[Tên hẻm]]), "Link Google Map")</f>
        <v>#VALUE!</v>
      </c>
    </row>
    <row r="344" spans="1:22" ht="47.25" hidden="1">
      <c r="A344" s="11">
        <v>365</v>
      </c>
      <c r="B344" s="16">
        <v>413</v>
      </c>
      <c r="C344" s="16" t="s">
        <v>5745</v>
      </c>
      <c r="D344" s="11">
        <v>8</v>
      </c>
      <c r="E344" s="11">
        <v>5</v>
      </c>
      <c r="F344" s="11" t="s">
        <v>4586</v>
      </c>
      <c r="G344" s="172" t="s">
        <v>5746</v>
      </c>
      <c r="H344" s="11"/>
      <c r="I344" s="11"/>
      <c r="J344" s="11" t="s">
        <v>5137</v>
      </c>
      <c r="K344" s="173" t="s">
        <v>5747</v>
      </c>
      <c r="L344" s="11">
        <v>5</v>
      </c>
      <c r="M344" s="31" t="s">
        <v>5748</v>
      </c>
      <c r="N344" s="11"/>
      <c r="O344" s="11"/>
      <c r="P344" s="11" t="s">
        <v>4544</v>
      </c>
      <c r="Q344" s="19"/>
      <c r="R344" s="19"/>
      <c r="S344" s="23" t="str">
        <f>HYPERLINK("https://www.google.com/maps/search/" &amp; Table24[[#This Row],[Tên hẻm]], "Xem trên Google Maps")</f>
        <v>Xem trên Google Maps</v>
      </c>
      <c r="T344" s="16" t="str">
        <f>"Hẻm "&amp;Table24[[#This Row],[Hẻm]]&amp;" "&amp;Table24[[#This Row],[Tuyến đường]]&amp;", Phường "&amp;Table24[[#This Row],[Phường]]&amp;", Quận "&amp;Table24[[#This Row],[Quận]]</f>
        <v>Hẻm 413 Quốc Lộ 50(LT5), Phường 5, Quận 8</v>
      </c>
      <c r="U344" s="36"/>
      <c r="V344" s="78" t="e">
        <f>HYPERLINK("https://www.google.com/maps/search/?api=1&amp;query=" &amp; _xlfn.ENCODEURL(Table24[[#This Row],[Tên hẻm]]), "Link Google Map")</f>
        <v>#VALUE!</v>
      </c>
    </row>
    <row r="345" spans="1:22" ht="47.25" hidden="1">
      <c r="A345" s="11">
        <v>366</v>
      </c>
      <c r="B345" s="16">
        <v>311</v>
      </c>
      <c r="C345" s="16" t="s">
        <v>5749</v>
      </c>
      <c r="D345" s="11">
        <v>8</v>
      </c>
      <c r="E345" s="11">
        <v>5</v>
      </c>
      <c r="F345" s="11" t="s">
        <v>5750</v>
      </c>
      <c r="G345" s="172">
        <v>3</v>
      </c>
      <c r="H345" s="11"/>
      <c r="I345" s="11"/>
      <c r="J345" s="11" t="s">
        <v>5137</v>
      </c>
      <c r="K345" s="173" t="s">
        <v>5751</v>
      </c>
      <c r="L345" s="11">
        <v>8</v>
      </c>
      <c r="M345" s="31" t="s">
        <v>5752</v>
      </c>
      <c r="N345" s="11"/>
      <c r="O345" s="11"/>
      <c r="P345" s="11" t="s">
        <v>4544</v>
      </c>
      <c r="Q345" s="19"/>
      <c r="R345" s="19"/>
      <c r="S345" s="23" t="str">
        <f>HYPERLINK("https://www.google.com/maps/search/" &amp; Table24[[#This Row],[Tên hẻm]], "Xem trên Google Maps")</f>
        <v>Xem trên Google Maps</v>
      </c>
      <c r="T345" s="16" t="str">
        <f>"Hẻm "&amp;Table24[[#This Row],[Hẻm]]&amp;" "&amp;Table24[[#This Row],[Tuyến đường]]&amp;", Phường "&amp;Table24[[#This Row],[Phường]]&amp;", Quận "&amp;Table24[[#This Row],[Quận]]</f>
        <v>Hẻm 311 Quốc Lộ 50 (LT5), Phường 5, Quận 8</v>
      </c>
      <c r="U345" s="36"/>
      <c r="V345" s="78" t="e">
        <f>HYPERLINK("https://www.google.com/maps/search/?api=1&amp;query=" &amp; _xlfn.ENCODEURL(Table24[[#This Row],[Tên hẻm]]), "Link Google Map")</f>
        <v>#VALUE!</v>
      </c>
    </row>
    <row r="346" spans="1:22" ht="47.25" hidden="1">
      <c r="A346" s="11">
        <v>367</v>
      </c>
      <c r="B346" s="16">
        <v>226</v>
      </c>
      <c r="C346" s="16" t="s">
        <v>4551</v>
      </c>
      <c r="D346" s="11">
        <v>8</v>
      </c>
      <c r="E346" s="11">
        <v>5</v>
      </c>
      <c r="F346" s="11" t="s">
        <v>5753</v>
      </c>
      <c r="G346" s="172">
        <v>3</v>
      </c>
      <c r="H346" s="11"/>
      <c r="I346" s="11"/>
      <c r="J346" s="11" t="s">
        <v>5137</v>
      </c>
      <c r="K346" s="173" t="s">
        <v>5754</v>
      </c>
      <c r="L346" s="11">
        <v>3</v>
      </c>
      <c r="M346" s="31" t="s">
        <v>5755</v>
      </c>
      <c r="N346" s="11"/>
      <c r="O346" s="11"/>
      <c r="P346" s="11" t="s">
        <v>4544</v>
      </c>
      <c r="Q346" s="19"/>
      <c r="R346" s="19"/>
      <c r="S346" s="23" t="str">
        <f>HYPERLINK("https://www.google.com/maps/search/" &amp; Table24[[#This Row],[Tên hẻm]], "Xem trên Google Maps")</f>
        <v>Xem trên Google Maps</v>
      </c>
      <c r="T346" s="16" t="str">
        <f>"Hẻm "&amp;Table24[[#This Row],[Hẻm]]&amp;" "&amp;Table24[[#This Row],[Tuyến đường]]&amp;", Phường "&amp;Table24[[#This Row],[Phường]]&amp;", Quận "&amp;Table24[[#This Row],[Quận]]</f>
        <v>Hẻm 226 Bùi Minh Trực , Phường 5, Quận 8</v>
      </c>
      <c r="U346" s="36"/>
      <c r="V346" s="78" t="e">
        <f>HYPERLINK("https://www.google.com/maps/search/?api=1&amp;query=" &amp; _xlfn.ENCODEURL(Table24[[#This Row],[Tên hẻm]]), "Link Google Map")</f>
        <v>#VALUE!</v>
      </c>
    </row>
    <row r="347" spans="1:22" ht="47.25" hidden="1">
      <c r="A347" s="11">
        <v>368</v>
      </c>
      <c r="B347" s="16">
        <v>180</v>
      </c>
      <c r="C347" s="16" t="s">
        <v>4724</v>
      </c>
      <c r="D347" s="11">
        <v>11</v>
      </c>
      <c r="E347" s="11">
        <v>10</v>
      </c>
      <c r="F347" s="11" t="s">
        <v>5756</v>
      </c>
      <c r="G347" s="172" t="s">
        <v>5209</v>
      </c>
      <c r="H347" s="11"/>
      <c r="I347" s="11"/>
      <c r="J347" s="11" t="s">
        <v>5757</v>
      </c>
      <c r="K347" s="173" t="s">
        <v>5758</v>
      </c>
      <c r="L347" s="11">
        <v>2</v>
      </c>
      <c r="M347" s="31" t="s">
        <v>5759</v>
      </c>
      <c r="N347" s="11"/>
      <c r="O347" s="11"/>
      <c r="P347" s="11" t="s">
        <v>5191</v>
      </c>
      <c r="Q347" s="19"/>
      <c r="R347" s="19"/>
      <c r="S347" s="23" t="str">
        <f>HYPERLINK("https://www.google.com/maps/search/" &amp; Table24[[#This Row],[Tên hẻm]], "Xem trên Google Maps")</f>
        <v>Xem trên Google Maps</v>
      </c>
      <c r="T347" s="16" t="str">
        <f>"Hẻm "&amp;Table24[[#This Row],[Hẻm]]&amp;" "&amp;Table24[[#This Row],[Tuyến đường]]&amp;", Phường "&amp;Table24[[#This Row],[Phường]]&amp;", Quận "&amp;Table24[[#This Row],[Quận]]</f>
        <v>Hẻm 180 Lạc Long Quân , Phường 10, Quận 11</v>
      </c>
      <c r="U347" s="36"/>
      <c r="V347" s="78" t="e">
        <f>HYPERLINK("https://www.google.com/maps/search/?api=1&amp;query=" &amp; _xlfn.ENCODEURL(Table24[[#This Row],[Tên hẻm]]), "Link Google Map")</f>
        <v>#VALUE!</v>
      </c>
    </row>
    <row r="348" spans="1:22" ht="47.25" hidden="1">
      <c r="A348" s="11">
        <v>369</v>
      </c>
      <c r="B348" s="16">
        <v>177</v>
      </c>
      <c r="C348" s="16" t="s">
        <v>4890</v>
      </c>
      <c r="D348" s="11">
        <v>11</v>
      </c>
      <c r="E348" s="11">
        <v>9</v>
      </c>
      <c r="F348" s="11" t="s">
        <v>4026</v>
      </c>
      <c r="G348" s="172">
        <v>3</v>
      </c>
      <c r="H348" s="11"/>
      <c r="I348" s="11"/>
      <c r="J348" s="11" t="s">
        <v>4724</v>
      </c>
      <c r="K348" s="173" t="s">
        <v>5195</v>
      </c>
      <c r="L348" s="11">
        <v>2</v>
      </c>
      <c r="M348" s="31" t="s">
        <v>5760</v>
      </c>
      <c r="N348" s="11"/>
      <c r="O348" s="11"/>
      <c r="P348" s="11" t="s">
        <v>5191</v>
      </c>
      <c r="Q348" s="19"/>
      <c r="R348" s="19"/>
      <c r="S348" s="23" t="str">
        <f>HYPERLINK("https://www.google.com/maps/search/" &amp; Table24[[#This Row],[Tên hẻm]], "Xem trên Google Maps")</f>
        <v>Xem trên Google Maps</v>
      </c>
      <c r="T348" s="16" t="str">
        <f>"Hẻm "&amp;Table24[[#This Row],[Hẻm]]&amp;" "&amp;Table24[[#This Row],[Tuyến đường]]&amp;", Phường "&amp;Table24[[#This Row],[Phường]]&amp;", Quận "&amp;Table24[[#This Row],[Quận]]</f>
        <v>Hẻm 177 Bình Thới , Phường 9, Quận 11</v>
      </c>
      <c r="U348" s="36"/>
      <c r="V348" s="78" t="e">
        <f>HYPERLINK("https://www.google.com/maps/search/?api=1&amp;query=" &amp; _xlfn.ENCODEURL(Table24[[#This Row],[Tên hẻm]]), "Link Google Map")</f>
        <v>#VALUE!</v>
      </c>
    </row>
    <row r="349" spans="1:22" ht="47.25" hidden="1">
      <c r="A349" s="11">
        <v>370</v>
      </c>
      <c r="B349" s="16">
        <v>174</v>
      </c>
      <c r="C349" s="16" t="s">
        <v>4731</v>
      </c>
      <c r="D349" s="11">
        <v>11</v>
      </c>
      <c r="E349" s="11">
        <v>8</v>
      </c>
      <c r="F349" s="11" t="s">
        <v>5341</v>
      </c>
      <c r="G349" s="172" t="s">
        <v>5209</v>
      </c>
      <c r="H349" s="11"/>
      <c r="I349" s="11"/>
      <c r="J349" s="11" t="s">
        <v>5346</v>
      </c>
      <c r="K349" s="173" t="s">
        <v>5195</v>
      </c>
      <c r="L349" s="11">
        <v>4</v>
      </c>
      <c r="M349" s="31" t="s">
        <v>5761</v>
      </c>
      <c r="N349" s="11"/>
      <c r="O349" s="11"/>
      <c r="P349" s="11" t="s">
        <v>5191</v>
      </c>
      <c r="Q349" s="19"/>
      <c r="R349" s="19"/>
      <c r="S349" s="23" t="str">
        <f>HYPERLINK("https://www.google.com/maps/search/" &amp; Table24[[#This Row],[Tên hẻm]], "Xem trên Google Maps")</f>
        <v>Xem trên Google Maps</v>
      </c>
      <c r="T349" s="16" t="str">
        <f>"Hẻm "&amp;Table24[[#This Row],[Hẻm]]&amp;" "&amp;Table24[[#This Row],[Tuyến đường]]&amp;", Phường "&amp;Table24[[#This Row],[Phường]]&amp;", Quận "&amp;Table24[[#This Row],[Quận]]</f>
        <v>Hẻm 174 Thái Phiên , Phường 8, Quận 11</v>
      </c>
      <c r="U349" s="36"/>
      <c r="V349" s="78" t="e">
        <f>HYPERLINK("https://www.google.com/maps/search/?api=1&amp;query=" &amp; _xlfn.ENCODEURL(Table24[[#This Row],[Tên hẻm]]), "Link Google Map")</f>
        <v>#VALUE!</v>
      </c>
    </row>
    <row r="350" spans="1:22" ht="47.25" hidden="1">
      <c r="A350" s="11">
        <v>371</v>
      </c>
      <c r="B350" s="16" t="s">
        <v>5762</v>
      </c>
      <c r="C350" s="16" t="s">
        <v>4728</v>
      </c>
      <c r="D350" s="11">
        <v>11</v>
      </c>
      <c r="E350" s="11">
        <v>10</v>
      </c>
      <c r="F350" s="11" t="s">
        <v>5756</v>
      </c>
      <c r="G350" s="172" t="s">
        <v>5209</v>
      </c>
      <c r="H350" s="11"/>
      <c r="I350" s="11"/>
      <c r="J350" s="11" t="s">
        <v>4728</v>
      </c>
      <c r="K350" s="173" t="s">
        <v>5763</v>
      </c>
      <c r="L350" s="11">
        <v>3</v>
      </c>
      <c r="M350" s="31" t="s">
        <v>5764</v>
      </c>
      <c r="N350" s="11"/>
      <c r="O350" s="11"/>
      <c r="P350" s="11" t="s">
        <v>5191</v>
      </c>
      <c r="Q350" s="19"/>
      <c r="R350" s="19"/>
      <c r="S350" s="23" t="str">
        <f>HYPERLINK("https://www.google.com/maps/search/" &amp; Table24[[#This Row],[Tên hẻm]], "Xem trên Google Maps")</f>
        <v>Xem trên Google Maps</v>
      </c>
      <c r="T350" s="16" t="str">
        <f>"Hẻm "&amp;Table24[[#This Row],[Hẻm]]&amp;" "&amp;Table24[[#This Row],[Tuyến đường]]&amp;", Phường "&amp;Table24[[#This Row],[Phường]]&amp;", Quận "&amp;Table24[[#This Row],[Quận]]</f>
        <v>Hẻm 407/2 Minh Phụng , Phường 10, Quận 11</v>
      </c>
      <c r="U350" s="36"/>
      <c r="V350" s="78" t="e">
        <f>HYPERLINK("https://www.google.com/maps/search/?api=1&amp;query=" &amp; _xlfn.ENCODEURL(Table24[[#This Row],[Tên hẻm]]), "Link Google Map")</f>
        <v>#VALUE!</v>
      </c>
    </row>
    <row r="351" spans="1:22" ht="47.25" hidden="1">
      <c r="A351" s="11">
        <v>372</v>
      </c>
      <c r="B351" s="16">
        <v>277</v>
      </c>
      <c r="C351" s="16" t="s">
        <v>4728</v>
      </c>
      <c r="D351" s="11">
        <v>11</v>
      </c>
      <c r="E351" s="11">
        <v>2</v>
      </c>
      <c r="F351" s="11" t="s">
        <v>5765</v>
      </c>
      <c r="G351" s="172" t="s">
        <v>4367</v>
      </c>
      <c r="H351" s="11"/>
      <c r="I351" s="11"/>
      <c r="J351" s="11" t="s">
        <v>4728</v>
      </c>
      <c r="K351" s="173" t="s">
        <v>5195</v>
      </c>
      <c r="L351" s="11">
        <v>4</v>
      </c>
      <c r="M351" s="31" t="s">
        <v>5766</v>
      </c>
      <c r="N351" s="11"/>
      <c r="O351" s="11"/>
      <c r="P351" s="11" t="s">
        <v>5191</v>
      </c>
      <c r="Q351" s="19"/>
      <c r="R351" s="19"/>
      <c r="S351" s="23" t="str">
        <f>HYPERLINK("https://www.google.com/maps/search/" &amp; Table24[[#This Row],[Tên hẻm]], "Xem trên Google Maps")</f>
        <v>Xem trên Google Maps</v>
      </c>
      <c r="T351" s="16" t="str">
        <f>"Hẻm "&amp;Table24[[#This Row],[Hẻm]]&amp;" "&amp;Table24[[#This Row],[Tuyến đường]]&amp;", Phường "&amp;Table24[[#This Row],[Phường]]&amp;", Quận "&amp;Table24[[#This Row],[Quận]]</f>
        <v>Hẻm 277 Minh Phụng , Phường 2, Quận 11</v>
      </c>
      <c r="U351" s="36"/>
      <c r="V351" s="78" t="e">
        <f>HYPERLINK("https://www.google.com/maps/search/?api=1&amp;query=" &amp; _xlfn.ENCODEURL(Table24[[#This Row],[Tên hẻm]]), "Link Google Map")</f>
        <v>#VALUE!</v>
      </c>
    </row>
    <row r="352" spans="1:22" ht="47.25" hidden="1">
      <c r="A352" s="11">
        <v>373</v>
      </c>
      <c r="B352" s="16">
        <v>216</v>
      </c>
      <c r="C352" s="16" t="s">
        <v>4724</v>
      </c>
      <c r="D352" s="11">
        <v>11</v>
      </c>
      <c r="E352" s="11">
        <v>10</v>
      </c>
      <c r="F352" s="11" t="s">
        <v>4019</v>
      </c>
      <c r="G352" s="172" t="s">
        <v>5209</v>
      </c>
      <c r="H352" s="11"/>
      <c r="I352" s="11"/>
      <c r="J352" s="11" t="s">
        <v>4724</v>
      </c>
      <c r="K352" s="173" t="s">
        <v>5195</v>
      </c>
      <c r="L352" s="11">
        <v>2</v>
      </c>
      <c r="M352" s="31" t="s">
        <v>5767</v>
      </c>
      <c r="N352" s="11"/>
      <c r="O352" s="11"/>
      <c r="P352" s="11" t="s">
        <v>5191</v>
      </c>
      <c r="Q352" s="19"/>
      <c r="R352" s="19"/>
      <c r="S352" s="23" t="str">
        <f>HYPERLINK("https://www.google.com/maps/search/" &amp; Table24[[#This Row],[Tên hẻm]], "Xem trên Google Maps")</f>
        <v>Xem trên Google Maps</v>
      </c>
      <c r="T352" s="16" t="str">
        <f>"Hẻm "&amp;Table24[[#This Row],[Hẻm]]&amp;" "&amp;Table24[[#This Row],[Tuyến đường]]&amp;", Phường "&amp;Table24[[#This Row],[Phường]]&amp;", Quận "&amp;Table24[[#This Row],[Quận]]</f>
        <v>Hẻm 216 Lạc Long Quân , Phường 10, Quận 11</v>
      </c>
      <c r="U352" s="36"/>
      <c r="V352" s="78" t="e">
        <f>HYPERLINK("https://www.google.com/maps/search/?api=1&amp;query=" &amp; _xlfn.ENCODEURL(Table24[[#This Row],[Tên hẻm]]), "Link Google Map")</f>
        <v>#VALUE!</v>
      </c>
    </row>
    <row r="353" spans="1:22" ht="47.25" hidden="1">
      <c r="A353" s="10">
        <v>375</v>
      </c>
      <c r="B353" s="14" t="s">
        <v>5768</v>
      </c>
      <c r="C353" s="14" t="s">
        <v>4724</v>
      </c>
      <c r="D353" s="10">
        <v>11</v>
      </c>
      <c r="E353" s="10">
        <v>10</v>
      </c>
      <c r="F353" s="10" t="s">
        <v>3987</v>
      </c>
      <c r="G353" s="176">
        <v>4</v>
      </c>
      <c r="H353" s="10"/>
      <c r="I353" s="10"/>
      <c r="J353" s="10" t="s">
        <v>4724</v>
      </c>
      <c r="K353" s="177" t="s">
        <v>5195</v>
      </c>
      <c r="L353" s="10">
        <v>5</v>
      </c>
      <c r="M353" s="30" t="s">
        <v>5769</v>
      </c>
      <c r="N353" s="10"/>
      <c r="O353" s="10"/>
      <c r="P353" s="10" t="s">
        <v>5191</v>
      </c>
      <c r="Q353" s="18"/>
      <c r="R353" s="18"/>
      <c r="S353" s="71" t="str">
        <f>HYPERLINK("https://www.google.com/maps/search/" &amp; Table24[[#This Row],[Tên hẻm]], "Xem trên Google Maps")</f>
        <v>Xem trên Google Maps</v>
      </c>
      <c r="T353" s="14" t="str">
        <f>"Hẻm "&amp;Table24[[#This Row],[Hẻm]]&amp;" "&amp;Table24[[#This Row],[Tuyến đường]]&amp;", Phường "&amp;Table24[[#This Row],[Phường]]&amp;", Quận "&amp;Table24[[#This Row],[Quận]]</f>
        <v>Hẻm 260/1 Lạc Long Quân , Phường 10, Quận 11</v>
      </c>
      <c r="U353" s="175"/>
      <c r="V353" s="78" t="e">
        <f>HYPERLINK("https://www.google.com/maps/search/?api=1&amp;query=" &amp; _xlfn.ENCODEURL(Table24[[#This Row],[Tên hẻm]]), "Link Google Map")</f>
        <v>#VALUE!</v>
      </c>
    </row>
    <row r="354" spans="1:22" ht="47.25" hidden="1">
      <c r="A354" s="11">
        <v>374</v>
      </c>
      <c r="B354" s="16" t="s">
        <v>5768</v>
      </c>
      <c r="C354" s="16" t="s">
        <v>4724</v>
      </c>
      <c r="D354" s="11">
        <v>11</v>
      </c>
      <c r="E354" s="11">
        <v>10</v>
      </c>
      <c r="F354" s="11" t="s">
        <v>3987</v>
      </c>
      <c r="G354" s="172">
        <v>4</v>
      </c>
      <c r="H354" s="11"/>
      <c r="I354" s="11"/>
      <c r="J354" s="11" t="s">
        <v>4724</v>
      </c>
      <c r="K354" s="173" t="s">
        <v>5195</v>
      </c>
      <c r="L354" s="11">
        <v>5</v>
      </c>
      <c r="M354" s="31" t="s">
        <v>5770</v>
      </c>
      <c r="N354" s="11"/>
      <c r="O354" s="11"/>
      <c r="P354" s="11" t="s">
        <v>5191</v>
      </c>
      <c r="Q354" s="19"/>
      <c r="R354" s="19"/>
      <c r="S354" s="23" t="str">
        <f>HYPERLINK("https://www.google.com/maps/search/" &amp; Table24[[#This Row],[Tên hẻm]], "Xem trên Google Maps")</f>
        <v>Xem trên Google Maps</v>
      </c>
      <c r="T354" s="16" t="str">
        <f>"Hẻm "&amp;Table24[[#This Row],[Hẻm]]&amp;" "&amp;Table24[[#This Row],[Tuyến đường]]&amp;", Phường "&amp;Table24[[#This Row],[Phường]]&amp;", Quận "&amp;Table24[[#This Row],[Quận]]</f>
        <v>Hẻm 260/1 Lạc Long Quân , Phường 10, Quận 11</v>
      </c>
      <c r="U354" s="36"/>
      <c r="V354" s="78" t="e">
        <f>HYPERLINK("https://www.google.com/maps/search/?api=1&amp;query=" &amp; _xlfn.ENCODEURL(Table24[[#This Row],[Tên hẻm]]), "Link Google Map")</f>
        <v>#VALUE!</v>
      </c>
    </row>
    <row r="355" spans="1:22" ht="47.25" hidden="1">
      <c r="A355" s="10">
        <v>376</v>
      </c>
      <c r="B355" s="14" t="s">
        <v>4745</v>
      </c>
      <c r="C355" s="14" t="s">
        <v>4724</v>
      </c>
      <c r="D355" s="10">
        <v>11</v>
      </c>
      <c r="E355" s="10">
        <v>3</v>
      </c>
      <c r="F355" s="10" t="s">
        <v>3878</v>
      </c>
      <c r="G355" s="176" t="s">
        <v>5209</v>
      </c>
      <c r="H355" s="10"/>
      <c r="I355" s="10"/>
      <c r="J355" s="10" t="s">
        <v>5771</v>
      </c>
      <c r="K355" s="177" t="s">
        <v>5195</v>
      </c>
      <c r="L355" s="10">
        <v>4</v>
      </c>
      <c r="M355" s="30" t="s">
        <v>5772</v>
      </c>
      <c r="N355" s="10"/>
      <c r="O355" s="10"/>
      <c r="P355" s="10" t="s">
        <v>5191</v>
      </c>
      <c r="Q355" s="18"/>
      <c r="R355" s="18"/>
      <c r="S355" s="71" t="str">
        <f>HYPERLINK("https://www.google.com/maps/search/" &amp; Table24[[#This Row],[Tên hẻm]], "Xem trên Google Maps")</f>
        <v>Xem trên Google Maps</v>
      </c>
      <c r="T355" s="14" t="str">
        <f>"Hẻm "&amp;Table24[[#This Row],[Hẻm]]&amp;" "&amp;Table24[[#This Row],[Tuyến đường]]&amp;", Phường "&amp;Table24[[#This Row],[Phường]]&amp;", Quận "&amp;Table24[[#This Row],[Quận]]</f>
        <v>Hẻm 106H Lạc Long Quân , Phường 3, Quận 11</v>
      </c>
      <c r="U355" s="175"/>
      <c r="V355" s="78" t="e">
        <f>HYPERLINK("https://www.google.com/maps/search/?api=1&amp;query=" &amp; _xlfn.ENCODEURL(Table24[[#This Row],[Tên hẻm]]), "Link Google Map")</f>
        <v>#VALUE!</v>
      </c>
    </row>
    <row r="356" spans="1:22" ht="47.25" hidden="1">
      <c r="A356" s="11">
        <v>377</v>
      </c>
      <c r="B356" s="16" t="s">
        <v>4745</v>
      </c>
      <c r="C356" s="16" t="s">
        <v>4724</v>
      </c>
      <c r="D356" s="11">
        <v>11</v>
      </c>
      <c r="E356" s="11">
        <v>3</v>
      </c>
      <c r="F356" s="11" t="s">
        <v>3878</v>
      </c>
      <c r="G356" s="172" t="s">
        <v>5209</v>
      </c>
      <c r="H356" s="11"/>
      <c r="I356" s="11"/>
      <c r="J356" s="11" t="s">
        <v>5771</v>
      </c>
      <c r="K356" s="173" t="s">
        <v>5195</v>
      </c>
      <c r="L356" s="11">
        <v>4</v>
      </c>
      <c r="M356" s="31" t="s">
        <v>5773</v>
      </c>
      <c r="N356" s="11"/>
      <c r="O356" s="11"/>
      <c r="P356" s="11" t="s">
        <v>5191</v>
      </c>
      <c r="Q356" s="19"/>
      <c r="R356" s="19"/>
      <c r="S356" s="23" t="str">
        <f>HYPERLINK("https://www.google.com/maps/search/" &amp; Table24[[#This Row],[Tên hẻm]], "Xem trên Google Maps")</f>
        <v>Xem trên Google Maps</v>
      </c>
      <c r="T356" s="16" t="str">
        <f>"Hẻm "&amp;Table24[[#This Row],[Hẻm]]&amp;" "&amp;Table24[[#This Row],[Tuyến đường]]&amp;", Phường "&amp;Table24[[#This Row],[Phường]]&amp;", Quận "&amp;Table24[[#This Row],[Quận]]</f>
        <v>Hẻm 106H Lạc Long Quân , Phường 3, Quận 11</v>
      </c>
      <c r="U356" s="36"/>
      <c r="V356" s="78" t="e">
        <f>HYPERLINK("https://www.google.com/maps/search/?api=1&amp;query=" &amp; _xlfn.ENCODEURL(Table24[[#This Row],[Tên hẻm]]), "Link Google Map")</f>
        <v>#VALUE!</v>
      </c>
    </row>
    <row r="357" spans="1:22" ht="47.25" hidden="1">
      <c r="A357" s="11">
        <v>378</v>
      </c>
      <c r="B357" s="16" t="s">
        <v>5774</v>
      </c>
      <c r="C357" s="16" t="s">
        <v>4724</v>
      </c>
      <c r="D357" s="11">
        <v>11</v>
      </c>
      <c r="E357" s="11">
        <v>3</v>
      </c>
      <c r="F357" s="11" t="s">
        <v>5775</v>
      </c>
      <c r="G357" s="172" t="s">
        <v>5209</v>
      </c>
      <c r="H357" s="11"/>
      <c r="I357" s="11"/>
      <c r="J357" s="11" t="s">
        <v>5776</v>
      </c>
      <c r="K357" s="173" t="s">
        <v>5195</v>
      </c>
      <c r="L357" s="11">
        <v>5</v>
      </c>
      <c r="M357" s="31" t="s">
        <v>5777</v>
      </c>
      <c r="N357" s="11"/>
      <c r="O357" s="11"/>
      <c r="P357" s="11" t="s">
        <v>5195</v>
      </c>
      <c r="Q357" s="19"/>
      <c r="R357" s="19"/>
      <c r="S357" s="23" t="str">
        <f>HYPERLINK("https://www.google.com/maps/search/" &amp; Table24[[#This Row],[Tên hẻm]], "Xem trên Google Maps")</f>
        <v>Xem trên Google Maps</v>
      </c>
      <c r="T357" s="16" t="str">
        <f>"Hẻm "&amp;Table24[[#This Row],[Hẻm]]&amp;" "&amp;Table24[[#This Row],[Tuyến đường]]&amp;", Phường "&amp;Table24[[#This Row],[Phường]]&amp;", Quận "&amp;Table24[[#This Row],[Quận]]</f>
        <v>Hẻm 161D Lạc Long Quân , Phường 3, Quận 11</v>
      </c>
      <c r="U357" s="36"/>
      <c r="V357" s="78" t="e">
        <f>HYPERLINK("https://www.google.com/maps/search/?api=1&amp;query=" &amp; _xlfn.ENCODEURL(Table24[[#This Row],[Tên hẻm]]), "Link Google Map")</f>
        <v>#VALUE!</v>
      </c>
    </row>
    <row r="358" spans="1:22" ht="47.25" hidden="1">
      <c r="A358" s="11">
        <v>379</v>
      </c>
      <c r="B358" s="16">
        <v>708</v>
      </c>
      <c r="C358" s="16" t="s">
        <v>5337</v>
      </c>
      <c r="D358" s="11">
        <v>11</v>
      </c>
      <c r="E358" s="11">
        <v>16</v>
      </c>
      <c r="F358" s="11" t="s">
        <v>5778</v>
      </c>
      <c r="G358" s="172" t="s">
        <v>5209</v>
      </c>
      <c r="H358" s="11"/>
      <c r="I358" s="11"/>
      <c r="J358" s="11" t="s">
        <v>1020</v>
      </c>
      <c r="K358" s="173" t="s">
        <v>5195</v>
      </c>
      <c r="L358" s="11">
        <v>8</v>
      </c>
      <c r="M358" s="31" t="s">
        <v>5779</v>
      </c>
      <c r="N358" s="11"/>
      <c r="O358" s="11"/>
      <c r="P358" s="11" t="s">
        <v>5191</v>
      </c>
      <c r="Q358" s="19"/>
      <c r="R358" s="19"/>
      <c r="S358" s="23" t="str">
        <f>HYPERLINK("https://www.google.com/maps/search/" &amp; Table24[[#This Row],[Tên hẻm]], "Xem trên Google Maps")</f>
        <v>Xem trên Google Maps</v>
      </c>
      <c r="T358" s="16" t="str">
        <f>"Hẻm "&amp;Table24[[#This Row],[Hẻm]]&amp;" "&amp;Table24[[#This Row],[Tuyến đường]]&amp;", Phường "&amp;Table24[[#This Row],[Phường]]&amp;", Quận "&amp;Table24[[#This Row],[Quận]]</f>
        <v>Hẻm 708 Hồng Bàng , Phường 16, Quận 11</v>
      </c>
      <c r="U358" s="36"/>
      <c r="V358" s="78" t="e">
        <f>HYPERLINK("https://www.google.com/maps/search/?api=1&amp;query=" &amp; _xlfn.ENCODEURL(Table24[[#This Row],[Tên hẻm]]), "Link Google Map")</f>
        <v>#VALUE!</v>
      </c>
    </row>
    <row r="359" spans="1:22" ht="47.25" hidden="1">
      <c r="A359" s="11">
        <v>380</v>
      </c>
      <c r="B359" s="16">
        <v>600</v>
      </c>
      <c r="C359" s="16" t="s">
        <v>5337</v>
      </c>
      <c r="D359" s="11">
        <v>11</v>
      </c>
      <c r="E359" s="11">
        <v>16</v>
      </c>
      <c r="F359" s="11" t="s">
        <v>5780</v>
      </c>
      <c r="G359" s="172">
        <v>3</v>
      </c>
      <c r="H359" s="11"/>
      <c r="I359" s="11"/>
      <c r="J359" s="11" t="s">
        <v>5337</v>
      </c>
      <c r="K359" s="173" t="s">
        <v>5195</v>
      </c>
      <c r="L359" s="11">
        <v>9</v>
      </c>
      <c r="M359" s="31" t="s">
        <v>5781</v>
      </c>
      <c r="N359" s="11"/>
      <c r="O359" s="11"/>
      <c r="P359" s="11" t="s">
        <v>5191</v>
      </c>
      <c r="Q359" s="19"/>
      <c r="R359" s="19"/>
      <c r="S359" s="23" t="str">
        <f>HYPERLINK("https://www.google.com/maps/search/" &amp; Table24[[#This Row],[Tên hẻm]], "Xem trên Google Maps")</f>
        <v>Xem trên Google Maps</v>
      </c>
      <c r="T359" s="16" t="str">
        <f>"Hẻm "&amp;Table24[[#This Row],[Hẻm]]&amp;" "&amp;Table24[[#This Row],[Tuyến đường]]&amp;", Phường "&amp;Table24[[#This Row],[Phường]]&amp;", Quận "&amp;Table24[[#This Row],[Quận]]</f>
        <v>Hẻm 600 Hồng Bàng , Phường 16, Quận 11</v>
      </c>
      <c r="U359" s="36"/>
      <c r="V359" s="78" t="e">
        <f>HYPERLINK("https://www.google.com/maps/search/?api=1&amp;query=" &amp; _xlfn.ENCODEURL(Table24[[#This Row],[Tên hẻm]]), "Link Google Map")</f>
        <v>#VALUE!</v>
      </c>
    </row>
    <row r="360" spans="1:22" ht="47.25" hidden="1">
      <c r="A360" s="11">
        <v>381</v>
      </c>
      <c r="B360" s="16">
        <v>200</v>
      </c>
      <c r="C360" s="16" t="s">
        <v>4731</v>
      </c>
      <c r="D360" s="11">
        <v>11</v>
      </c>
      <c r="E360" s="11">
        <v>8</v>
      </c>
      <c r="F360" s="11" t="s">
        <v>5782</v>
      </c>
      <c r="G360" s="172" t="s">
        <v>5209</v>
      </c>
      <c r="H360" s="11"/>
      <c r="I360" s="11"/>
      <c r="J360" s="11" t="s">
        <v>5783</v>
      </c>
      <c r="K360" s="173" t="s">
        <v>5195</v>
      </c>
      <c r="L360" s="11">
        <v>3</v>
      </c>
      <c r="M360" s="31" t="s">
        <v>5784</v>
      </c>
      <c r="N360" s="11"/>
      <c r="O360" s="11"/>
      <c r="P360" s="11" t="s">
        <v>5191</v>
      </c>
      <c r="Q360" s="19"/>
      <c r="R360" s="19"/>
      <c r="S360" s="23" t="str">
        <f>HYPERLINK("https://www.google.com/maps/search/" &amp; Table24[[#This Row],[Tên hẻm]], "Xem trên Google Maps")</f>
        <v>Xem trên Google Maps</v>
      </c>
      <c r="T360" s="16" t="str">
        <f>"Hẻm "&amp;Table24[[#This Row],[Hẻm]]&amp;" "&amp;Table24[[#This Row],[Tuyến đường]]&amp;", Phường "&amp;Table24[[#This Row],[Phường]]&amp;", Quận "&amp;Table24[[#This Row],[Quận]]</f>
        <v>Hẻm 200 Thái Phiên , Phường 8, Quận 11</v>
      </c>
      <c r="U360" s="36"/>
      <c r="V360" s="78" t="e">
        <f>HYPERLINK("https://www.google.com/maps/search/?api=1&amp;query=" &amp; _xlfn.ENCODEURL(Table24[[#This Row],[Tên hẻm]]), "Link Google Map")</f>
        <v>#VALUE!</v>
      </c>
    </row>
    <row r="361" spans="1:22" ht="47.25" hidden="1">
      <c r="A361" s="11">
        <v>382</v>
      </c>
      <c r="B361" s="16" t="s">
        <v>5785</v>
      </c>
      <c r="C361" s="16" t="s">
        <v>5786</v>
      </c>
      <c r="D361" s="11">
        <v>11</v>
      </c>
      <c r="E361" s="11">
        <v>16</v>
      </c>
      <c r="F361" s="11" t="s">
        <v>5787</v>
      </c>
      <c r="G361" s="172" t="s">
        <v>4367</v>
      </c>
      <c r="H361" s="11"/>
      <c r="I361" s="11"/>
      <c r="J361" s="11" t="s">
        <v>5788</v>
      </c>
      <c r="K361" s="173" t="s">
        <v>5789</v>
      </c>
      <c r="L361" s="11">
        <v>7</v>
      </c>
      <c r="M361" s="31" t="s">
        <v>5790</v>
      </c>
      <c r="N361" s="11"/>
      <c r="O361" s="11"/>
      <c r="P361" s="11" t="s">
        <v>5191</v>
      </c>
      <c r="Q361" s="19"/>
      <c r="R361" s="19"/>
      <c r="S361" s="23" t="str">
        <f>HYPERLINK("https://www.google.com/maps/search/" &amp; Table24[[#This Row],[Tên hẻm]], "Xem trên Google Maps")</f>
        <v>Xem trên Google Maps</v>
      </c>
      <c r="T361" s="16" t="str">
        <f>"Hẻm "&amp;Table24[[#This Row],[Hẻm]]&amp;" "&amp;Table24[[#This Row],[Tuyến đường]]&amp;", Phường "&amp;Table24[[#This Row],[Phường]]&amp;", Quận "&amp;Table24[[#This Row],[Quận]]</f>
        <v>Hẻm Hẻm 137 nguyển Chí Thanh ND Nguyển Chí Thanh ND, Phường 16, Quận 11</v>
      </c>
      <c r="U361" s="36"/>
      <c r="V361" s="78" t="e">
        <f>HYPERLINK("https://www.google.com/maps/search/?api=1&amp;query=" &amp; _xlfn.ENCODEURL(Table24[[#This Row],[Tên hẻm]]), "Link Google Map")</f>
        <v>#VALUE!</v>
      </c>
    </row>
    <row r="362" spans="1:22" ht="47.25" hidden="1">
      <c r="A362" s="11">
        <v>383</v>
      </c>
      <c r="B362" s="16" t="s">
        <v>5791</v>
      </c>
      <c r="C362" s="16" t="s">
        <v>5792</v>
      </c>
      <c r="D362" s="11">
        <v>10</v>
      </c>
      <c r="E362" s="11">
        <v>8</v>
      </c>
      <c r="F362" s="11" t="s">
        <v>5793</v>
      </c>
      <c r="G362" s="172">
        <v>3</v>
      </c>
      <c r="H362" s="11"/>
      <c r="I362" s="11"/>
      <c r="J362" s="11" t="s">
        <v>5794</v>
      </c>
      <c r="K362" s="173" t="s">
        <v>5795</v>
      </c>
      <c r="L362" s="11">
        <v>2</v>
      </c>
      <c r="M362" s="31" t="s">
        <v>5796</v>
      </c>
      <c r="N362" s="11"/>
      <c r="O362" s="11"/>
      <c r="P362" s="11" t="s">
        <v>5797</v>
      </c>
      <c r="Q362" s="19"/>
      <c r="R362" s="19"/>
      <c r="S362" s="23" t="str">
        <f>HYPERLINK("https://www.google.com/maps/search/" &amp; Table24[[#This Row],[Tên hẻm]], "Xem trên Google Maps")</f>
        <v>Xem trên Google Maps</v>
      </c>
      <c r="T362" s="16" t="str">
        <f>"Hẻm "&amp;Table24[[#This Row],[Hẻm]]&amp;" "&amp;Table24[[#This Row],[Tuyến đường]]&amp;", Phường "&amp;Table24[[#This Row],[Phường]]&amp;", Quận "&amp;Table24[[#This Row],[Quận]]</f>
        <v>Hẻm Hẻm 246 Ngô quyền Ngô quyền, Phường 8, Quận 10</v>
      </c>
      <c r="U362" s="36"/>
      <c r="V362" s="78" t="e">
        <f>HYPERLINK("https://www.google.com/maps/search/?api=1&amp;query=" &amp; _xlfn.ENCODEURL(Table24[[#This Row],[Tên hẻm]]), "Link Google Map")</f>
        <v>#VALUE!</v>
      </c>
    </row>
    <row r="363" spans="1:22" ht="47.25" hidden="1">
      <c r="A363" s="11">
        <v>384</v>
      </c>
      <c r="B363" s="16" t="s">
        <v>5798</v>
      </c>
      <c r="C363" s="16" t="s">
        <v>5799</v>
      </c>
      <c r="D363" s="11">
        <v>10</v>
      </c>
      <c r="E363" s="11">
        <v>13</v>
      </c>
      <c r="F363" s="11" t="s">
        <v>5798</v>
      </c>
      <c r="G363" s="172">
        <v>4</v>
      </c>
      <c r="H363" s="11"/>
      <c r="I363" s="11"/>
      <c r="J363" s="11" t="s">
        <v>5800</v>
      </c>
      <c r="K363" s="173" t="s">
        <v>5801</v>
      </c>
      <c r="L363" s="11">
        <v>3</v>
      </c>
      <c r="M363" s="31" t="s">
        <v>5802</v>
      </c>
      <c r="N363" s="11"/>
      <c r="O363" s="11"/>
      <c r="P363" s="11" t="s">
        <v>5797</v>
      </c>
      <c r="Q363" s="19"/>
      <c r="R363" s="19"/>
      <c r="S363" s="23" t="str">
        <f>HYPERLINK("https://www.google.com/maps/search/" &amp; Table24[[#This Row],[Tên hẻm]], "Xem trên Google Maps")</f>
        <v>Xem trên Google Maps</v>
      </c>
      <c r="T363" s="16" t="str">
        <f>"Hẻm "&amp;Table24[[#This Row],[Hẻm]]&amp;" "&amp;Table24[[#This Row],[Tuyến đường]]&amp;", Phường "&amp;Table24[[#This Row],[Phường]]&amp;", Quận "&amp;Table24[[#This Row],[Quận]]</f>
        <v>Hẻm Hẻm 163 tô hiến Thành Tô hiến Thành, Phường 13, Quận 10</v>
      </c>
      <c r="U363" s="36"/>
      <c r="V363" s="78" t="e">
        <f>HYPERLINK("https://www.google.com/maps/search/?api=1&amp;query=" &amp; _xlfn.ENCODEURL(Table24[[#This Row],[Tên hẻm]]), "Link Google Map")</f>
        <v>#VALUE!</v>
      </c>
    </row>
    <row r="364" spans="1:22" ht="47.25" hidden="1">
      <c r="A364" s="11">
        <v>385</v>
      </c>
      <c r="B364" s="16">
        <v>5</v>
      </c>
      <c r="C364" s="16" t="s">
        <v>5803</v>
      </c>
      <c r="D364" s="11">
        <v>8</v>
      </c>
      <c r="E364" s="11">
        <v>9</v>
      </c>
      <c r="F364" s="11" t="s">
        <v>2452</v>
      </c>
      <c r="G364" s="172" t="s">
        <v>5804</v>
      </c>
      <c r="H364" s="11"/>
      <c r="I364" s="11"/>
      <c r="J364" s="11" t="s">
        <v>5137</v>
      </c>
      <c r="K364" s="173" t="s">
        <v>5805</v>
      </c>
      <c r="L364" s="11">
        <v>19</v>
      </c>
      <c r="M364" s="31" t="s">
        <v>5806</v>
      </c>
      <c r="N364" s="11"/>
      <c r="O364" s="11"/>
      <c r="P364" s="11" t="s">
        <v>4544</v>
      </c>
      <c r="Q364" s="19"/>
      <c r="R364" s="19"/>
      <c r="S364" s="23" t="str">
        <f>HYPERLINK("https://www.google.com/maps/search/" &amp; Table24[[#This Row],[Tên hẻm]], "Xem trên Google Maps")</f>
        <v>Xem trên Google Maps</v>
      </c>
      <c r="T364" s="16" t="str">
        <f>"Hẻm "&amp;Table24[[#This Row],[Hẻm]]&amp;" "&amp;Table24[[#This Row],[Tuyến đường]]&amp;", Phường "&amp;Table24[[#This Row],[Phường]]&amp;", Quận "&amp;Table24[[#This Row],[Quận]]</f>
        <v>Hẻm 5 Võ Trứ , Phường 9, Quận 8</v>
      </c>
      <c r="U364" s="36"/>
      <c r="V364" s="78" t="e">
        <f>HYPERLINK("https://www.google.com/maps/search/?api=1&amp;query=" &amp; _xlfn.ENCODEURL(Table24[[#This Row],[Tên hẻm]]), "Link Google Map")</f>
        <v>#VALUE!</v>
      </c>
    </row>
    <row r="365" spans="1:22" ht="47.25" hidden="1">
      <c r="A365" s="11">
        <v>386</v>
      </c>
      <c r="B365" s="16" t="s">
        <v>5798</v>
      </c>
      <c r="C365" s="16" t="s">
        <v>5799</v>
      </c>
      <c r="D365" s="11">
        <v>10</v>
      </c>
      <c r="E365" s="11">
        <v>13</v>
      </c>
      <c r="F365" s="11" t="s">
        <v>5798</v>
      </c>
      <c r="G365" s="172">
        <v>4</v>
      </c>
      <c r="H365" s="11"/>
      <c r="I365" s="11"/>
      <c r="J365" s="11" t="s">
        <v>5807</v>
      </c>
      <c r="K365" s="173" t="s">
        <v>5808</v>
      </c>
      <c r="L365" s="11">
        <v>4</v>
      </c>
      <c r="M365" s="31" t="s">
        <v>5809</v>
      </c>
      <c r="N365" s="11"/>
      <c r="O365" s="11"/>
      <c r="P365" s="11" t="s">
        <v>5797</v>
      </c>
      <c r="Q365" s="19"/>
      <c r="R365" s="19"/>
      <c r="S365" s="23" t="str">
        <f>HYPERLINK("https://www.google.com/maps/search/" &amp; Table24[[#This Row],[Tên hẻm]], "Xem trên Google Maps")</f>
        <v>Xem trên Google Maps</v>
      </c>
      <c r="T365" s="16" t="str">
        <f>"Hẻm "&amp;Table24[[#This Row],[Hẻm]]&amp;" "&amp;Table24[[#This Row],[Tuyến đường]]&amp;", Phường "&amp;Table24[[#This Row],[Phường]]&amp;", Quận "&amp;Table24[[#This Row],[Quận]]</f>
        <v>Hẻm Hẻm 163 tô hiến Thành Tô hiến Thành, Phường 13, Quận 10</v>
      </c>
      <c r="U365" s="36"/>
      <c r="V365" s="78" t="e">
        <f>HYPERLINK("https://www.google.com/maps/search/?api=1&amp;query=" &amp; _xlfn.ENCODEURL(Table24[[#This Row],[Tên hẻm]]), "Link Google Map")</f>
        <v>#VALUE!</v>
      </c>
    </row>
    <row r="366" spans="1:22" ht="47.25" hidden="1">
      <c r="A366" s="11">
        <v>387</v>
      </c>
      <c r="B366" s="16" t="s">
        <v>5810</v>
      </c>
      <c r="C366" s="16" t="s">
        <v>5811</v>
      </c>
      <c r="D366" s="11">
        <v>10</v>
      </c>
      <c r="E366" s="11">
        <v>12</v>
      </c>
      <c r="F366" s="11" t="s">
        <v>5810</v>
      </c>
      <c r="G366" s="172" t="s">
        <v>4993</v>
      </c>
      <c r="H366" s="11"/>
      <c r="I366" s="11"/>
      <c r="J366" s="11" t="s">
        <v>5812</v>
      </c>
      <c r="K366" s="173" t="s">
        <v>5813</v>
      </c>
      <c r="L366" s="11" t="s">
        <v>5814</v>
      </c>
      <c r="M366" s="31" t="s">
        <v>5815</v>
      </c>
      <c r="N366" s="11"/>
      <c r="O366" s="11"/>
      <c r="P366" s="11" t="s">
        <v>5797</v>
      </c>
      <c r="Q366" s="19"/>
      <c r="R366" s="19"/>
      <c r="S366" s="23" t="str">
        <f>HYPERLINK("https://www.google.com/maps/search/" &amp; Table24[[#This Row],[Tên hẻm]], "Xem trên Google Maps")</f>
        <v>Xem trên Google Maps</v>
      </c>
      <c r="T366" s="16" t="str">
        <f>"Hẻm "&amp;Table24[[#This Row],[Hẻm]]&amp;" "&amp;Table24[[#This Row],[Tuyến đường]]&amp;", Phường "&amp;Table24[[#This Row],[Phường]]&amp;", Quận "&amp;Table24[[#This Row],[Quận]]</f>
        <v>Hẻm Hẻm 285 cách mạng tháng 8 Hẻm 285/36 cách mạng tháng 8, Phường 12, Quận 10</v>
      </c>
      <c r="U366" s="36"/>
      <c r="V366" s="78" t="e">
        <f>HYPERLINK("https://www.google.com/maps/search/?api=1&amp;query=" &amp; _xlfn.ENCODEURL(Table24[[#This Row],[Tên hẻm]]), "Link Google Map")</f>
        <v>#VALUE!</v>
      </c>
    </row>
    <row r="367" spans="1:22" ht="47.25" hidden="1">
      <c r="A367" s="11">
        <v>388</v>
      </c>
      <c r="B367" s="16" t="s">
        <v>5816</v>
      </c>
      <c r="C367" s="16" t="s">
        <v>5817</v>
      </c>
      <c r="D367" s="11">
        <v>10</v>
      </c>
      <c r="E367" s="11">
        <v>12</v>
      </c>
      <c r="F367" s="11" t="s">
        <v>5818</v>
      </c>
      <c r="G367" s="172">
        <v>6</v>
      </c>
      <c r="H367" s="11"/>
      <c r="I367" s="11"/>
      <c r="J367" s="11" t="s">
        <v>5819</v>
      </c>
      <c r="K367" s="173" t="s">
        <v>5820</v>
      </c>
      <c r="L367" s="11">
        <v>5</v>
      </c>
      <c r="M367" s="31" t="s">
        <v>5821</v>
      </c>
      <c r="N367" s="11"/>
      <c r="O367" s="11"/>
      <c r="P367" s="11" t="s">
        <v>5797</v>
      </c>
      <c r="Q367" s="19"/>
      <c r="R367" s="19"/>
      <c r="S367" s="23" t="str">
        <f>HYPERLINK("https://www.google.com/maps/search/" &amp; Table24[[#This Row],[Tên hẻm]], "Xem trên Google Maps")</f>
        <v>Xem trên Google Maps</v>
      </c>
      <c r="T367" s="16" t="str">
        <f>"Hẻm "&amp;Table24[[#This Row],[Hẻm]]&amp;" "&amp;Table24[[#This Row],[Tuyến đường]]&amp;", Phường "&amp;Table24[[#This Row],[Phường]]&amp;", Quận "&amp;Table24[[#This Row],[Quận]]</f>
        <v>Hẻm Hẻm 285/83 cách mạng tháng 8 Hẻm 285/63 cách mạng tháng 8, Phường 12, Quận 10</v>
      </c>
      <c r="U367" s="36"/>
      <c r="V367" s="78" t="e">
        <f>HYPERLINK("https://www.google.com/maps/search/?api=1&amp;query=" &amp; _xlfn.ENCODEURL(Table24[[#This Row],[Tên hẻm]]), "Link Google Map")</f>
        <v>#VALUE!</v>
      </c>
    </row>
    <row r="368" spans="1:22" ht="47.25" hidden="1">
      <c r="A368" s="11">
        <v>389</v>
      </c>
      <c r="B368" s="16">
        <v>3395</v>
      </c>
      <c r="C368" s="16" t="s">
        <v>4796</v>
      </c>
      <c r="D368" s="11">
        <v>8</v>
      </c>
      <c r="E368" s="11">
        <v>7</v>
      </c>
      <c r="F368" s="11" t="s">
        <v>2681</v>
      </c>
      <c r="G368" s="172">
        <v>3</v>
      </c>
      <c r="H368" s="11"/>
      <c r="I368" s="11"/>
      <c r="J368" s="11" t="s">
        <v>5137</v>
      </c>
      <c r="K368" s="173" t="s">
        <v>5822</v>
      </c>
      <c r="L368" s="11">
        <v>7</v>
      </c>
      <c r="M368" s="31" t="s">
        <v>5823</v>
      </c>
      <c r="N368" s="11"/>
      <c r="O368" s="11"/>
      <c r="P368" s="11" t="s">
        <v>4544</v>
      </c>
      <c r="Q368" s="19"/>
      <c r="R368" s="19"/>
      <c r="S368" s="23" t="str">
        <f>HYPERLINK("https://www.google.com/maps/search/" &amp; Table24[[#This Row],[Tên hẻm]], "Xem trên Google Maps")</f>
        <v>Xem trên Google Maps</v>
      </c>
      <c r="T368" s="16" t="str">
        <f>"Hẻm "&amp;Table24[[#This Row],[Hẻm]]&amp;" "&amp;Table24[[#This Row],[Tuyến đường]]&amp;", Phường "&amp;Table24[[#This Row],[Phường]]&amp;", Quận "&amp;Table24[[#This Row],[Quận]]</f>
        <v>Hẻm 3395 Phạm Thế Hiển , Phường 7, Quận 8</v>
      </c>
      <c r="U368" s="36"/>
      <c r="V368" s="78" t="e">
        <f>HYPERLINK("https://www.google.com/maps/search/?api=1&amp;query=" &amp; _xlfn.ENCODEURL(Table24[[#This Row],[Tên hẻm]]), "Link Google Map")</f>
        <v>#VALUE!</v>
      </c>
    </row>
    <row r="369" spans="1:22" ht="47.25" hidden="1">
      <c r="A369" s="11">
        <v>390</v>
      </c>
      <c r="B369" s="16" t="s">
        <v>5824</v>
      </c>
      <c r="C369" s="16" t="s">
        <v>5825</v>
      </c>
      <c r="D369" s="11">
        <v>11</v>
      </c>
      <c r="E369" s="11">
        <v>14</v>
      </c>
      <c r="F369" s="11" t="s">
        <v>5826</v>
      </c>
      <c r="G369" s="172" t="s">
        <v>4840</v>
      </c>
      <c r="H369" s="11"/>
      <c r="I369" s="11"/>
      <c r="J369" s="11" t="s">
        <v>5827</v>
      </c>
      <c r="K369" s="173" t="s">
        <v>5828</v>
      </c>
      <c r="L369" s="11">
        <v>17</v>
      </c>
      <c r="M369" s="31" t="s">
        <v>5829</v>
      </c>
      <c r="N369" s="11"/>
      <c r="O369" s="11"/>
      <c r="P369" s="11" t="s">
        <v>5797</v>
      </c>
      <c r="Q369" s="19"/>
      <c r="R369" s="19"/>
      <c r="S369" s="23" t="str">
        <f>HYPERLINK("https://www.google.com/maps/search/" &amp; Table24[[#This Row],[Tên hẻm]], "Xem trên Google Maps")</f>
        <v>Xem trên Google Maps</v>
      </c>
      <c r="T369" s="16" t="str">
        <f>"Hẻm "&amp;Table24[[#This Row],[Hẻm]]&amp;" "&amp;Table24[[#This Row],[Tuyến đường]]&amp;", Phường "&amp;Table24[[#This Row],[Phường]]&amp;", Quận "&amp;Table24[[#This Row],[Quận]]</f>
        <v>Hẻm Hẻm 127 Âu cơ Hẻm 127 âu cơ, Phường 14, Quận 11</v>
      </c>
      <c r="U369" s="36"/>
      <c r="V369" s="78" t="e">
        <f>HYPERLINK("https://www.google.com/maps/search/?api=1&amp;query=" &amp; _xlfn.ENCODEURL(Table24[[#This Row],[Tên hẻm]]), "Link Google Map")</f>
        <v>#VALUE!</v>
      </c>
    </row>
    <row r="370" spans="1:22" ht="47.25" hidden="1">
      <c r="A370" s="11">
        <v>391</v>
      </c>
      <c r="B370" s="16" t="s">
        <v>5830</v>
      </c>
      <c r="C370" s="16" t="s">
        <v>5830</v>
      </c>
      <c r="D370" s="11">
        <v>11</v>
      </c>
      <c r="E370" s="11">
        <v>14</v>
      </c>
      <c r="F370" s="11" t="s">
        <v>5831</v>
      </c>
      <c r="G370" s="172">
        <v>4</v>
      </c>
      <c r="H370" s="11"/>
      <c r="I370" s="11"/>
      <c r="J370" s="11" t="s">
        <v>5832</v>
      </c>
      <c r="K370" s="173" t="s">
        <v>5833</v>
      </c>
      <c r="L370" s="11">
        <v>12</v>
      </c>
      <c r="M370" s="31" t="s">
        <v>5834</v>
      </c>
      <c r="N370" s="11"/>
      <c r="O370" s="11"/>
      <c r="P370" s="11" t="s">
        <v>5797</v>
      </c>
      <c r="Q370" s="19"/>
      <c r="R370" s="19"/>
      <c r="S370" s="23" t="str">
        <f>HYPERLINK("https://www.google.com/maps/search/" &amp; Table24[[#This Row],[Tên hẻm]], "Xem trên Google Maps")</f>
        <v>Xem trên Google Maps</v>
      </c>
      <c r="T370" s="16" t="str">
        <f>"Hẻm "&amp;Table24[[#This Row],[Hẻm]]&amp;" "&amp;Table24[[#This Row],[Tuyến đường]]&amp;", Phường "&amp;Table24[[#This Row],[Phường]]&amp;", Quận "&amp;Table24[[#This Row],[Quận]]</f>
        <v>Hẻm Đường 100 Bình Thới hẻm 67 Đường 100 Bình Thới hẻm 67, Phường 14, Quận 11</v>
      </c>
      <c r="U370" s="36"/>
      <c r="V370" s="78" t="e">
        <f>HYPERLINK("https://www.google.com/maps/search/?api=1&amp;query=" &amp; _xlfn.ENCODEURL(Table24[[#This Row],[Tên hẻm]]), "Link Google Map")</f>
        <v>#VALUE!</v>
      </c>
    </row>
    <row r="371" spans="1:22" ht="47.25" hidden="1">
      <c r="A371" s="11">
        <v>392</v>
      </c>
      <c r="B371" s="16" t="s">
        <v>5835</v>
      </c>
      <c r="C371" s="16" t="s">
        <v>5836</v>
      </c>
      <c r="D371" s="11">
        <v>11</v>
      </c>
      <c r="E371" s="11">
        <v>6</v>
      </c>
      <c r="F371" s="11" t="s">
        <v>5837</v>
      </c>
      <c r="G371" s="172" t="s">
        <v>4772</v>
      </c>
      <c r="H371" s="11"/>
      <c r="I371" s="11"/>
      <c r="J371" s="11" t="s">
        <v>5838</v>
      </c>
      <c r="K371" s="173" t="s">
        <v>5839</v>
      </c>
      <c r="L371" s="11">
        <v>18</v>
      </c>
      <c r="M371" s="31" t="s">
        <v>5840</v>
      </c>
      <c r="N371" s="11"/>
      <c r="O371" s="11"/>
      <c r="P371" s="11" t="s">
        <v>4861</v>
      </c>
      <c r="Q371" s="19"/>
      <c r="R371" s="19"/>
      <c r="S371" s="23" t="str">
        <f>HYPERLINK("https://www.google.com/maps/search/" &amp; Table24[[#This Row],[Tên hẻm]], "Xem trên Google Maps")</f>
        <v>Xem trên Google Maps</v>
      </c>
      <c r="T371" s="16" t="str">
        <f>"Hẻm "&amp;Table24[[#This Row],[Hẻm]]&amp;" "&amp;Table24[[#This Row],[Tuyến đường]]&amp;", Phường "&amp;Table24[[#This Row],[Phường]]&amp;", Quận "&amp;Table24[[#This Row],[Quận]]</f>
        <v>Hẻm Hẻm 159 Phó Cơ Điều  Phó Cơ Điều , Phường 6, Quận 11</v>
      </c>
      <c r="U371" s="36"/>
      <c r="V371" s="78" t="e">
        <f>HYPERLINK("https://www.google.com/maps/search/?api=1&amp;query=" &amp; _xlfn.ENCODEURL(Table24[[#This Row],[Tên hẻm]]), "Link Google Map")</f>
        <v>#VALUE!</v>
      </c>
    </row>
    <row r="372" spans="1:22" ht="47.25" hidden="1">
      <c r="A372" s="11">
        <v>393</v>
      </c>
      <c r="B372" s="16" t="s">
        <v>5841</v>
      </c>
      <c r="C372" s="16" t="s">
        <v>5841</v>
      </c>
      <c r="D372" s="11">
        <v>11</v>
      </c>
      <c r="E372" s="11">
        <v>14</v>
      </c>
      <c r="F372" s="11" t="s">
        <v>4201</v>
      </c>
      <c r="G372" s="172">
        <v>4</v>
      </c>
      <c r="H372" s="11"/>
      <c r="I372" s="11"/>
      <c r="J372" s="11" t="s">
        <v>5842</v>
      </c>
      <c r="K372" s="173" t="s">
        <v>5843</v>
      </c>
      <c r="L372" s="11">
        <v>4</v>
      </c>
      <c r="M372" s="31" t="s">
        <v>5844</v>
      </c>
      <c r="N372" s="11"/>
      <c r="O372" s="11"/>
      <c r="P372" s="11" t="s">
        <v>5845</v>
      </c>
      <c r="Q372" s="19"/>
      <c r="R372" s="19"/>
      <c r="S372" s="23" t="str">
        <f>HYPERLINK("https://www.google.com/maps/search/" &amp; Table24[[#This Row],[Tên hẻm]], "Xem trên Google Maps")</f>
        <v>Xem trên Google Maps</v>
      </c>
      <c r="T372" s="16" t="str">
        <f>"Hẻm "&amp;Table24[[#This Row],[Hẻm]]&amp;" "&amp;Table24[[#This Row],[Tuyến đường]]&amp;", Phường "&amp;Table24[[#This Row],[Phường]]&amp;", Quận "&amp;Table24[[#This Row],[Quận]]</f>
        <v>Hẻm Đường 100 Bình Thới hẻm 79 Đường 100 Bình Thới hẻm 79, Phường 14, Quận 11</v>
      </c>
      <c r="U372" s="36"/>
      <c r="V372" s="78" t="e">
        <f>HYPERLINK("https://www.google.com/maps/search/?api=1&amp;query=" &amp; _xlfn.ENCODEURL(Table24[[#This Row],[Tên hẻm]]), "Link Google Map")</f>
        <v>#VALUE!</v>
      </c>
    </row>
    <row r="373" spans="1:22" ht="47.25" hidden="1">
      <c r="A373" s="11">
        <v>394</v>
      </c>
      <c r="B373" s="16" t="s">
        <v>5846</v>
      </c>
      <c r="C373" s="16" t="s">
        <v>5846</v>
      </c>
      <c r="D373" s="11">
        <v>11</v>
      </c>
      <c r="E373" s="11">
        <v>14</v>
      </c>
      <c r="F373" s="11" t="s">
        <v>4201</v>
      </c>
      <c r="G373" s="172" t="s">
        <v>4993</v>
      </c>
      <c r="H373" s="11"/>
      <c r="I373" s="11"/>
      <c r="J373" s="11" t="s">
        <v>5847</v>
      </c>
      <c r="K373" s="173" t="s">
        <v>5848</v>
      </c>
      <c r="L373" s="11">
        <v>3</v>
      </c>
      <c r="M373" s="31" t="s">
        <v>5849</v>
      </c>
      <c r="N373" s="11"/>
      <c r="O373" s="11"/>
      <c r="P373" s="11" t="s">
        <v>5845</v>
      </c>
      <c r="Q373" s="19"/>
      <c r="R373" s="19"/>
      <c r="S373" s="23" t="str">
        <f>HYPERLINK("https://www.google.com/maps/search/" &amp; Table24[[#This Row],[Tên hẻm]], "Xem trên Google Maps")</f>
        <v>Xem trên Google Maps</v>
      </c>
      <c r="T373" s="16" t="str">
        <f>"Hẻm "&amp;Table24[[#This Row],[Hẻm]]&amp;" "&amp;Table24[[#This Row],[Tuyến đường]]&amp;", Phường "&amp;Table24[[#This Row],[Phường]]&amp;", Quận "&amp;Table24[[#This Row],[Quận]]</f>
        <v>Hẻm Đường 100 Bình Thới hẻm 88 Đường 100 Bình Thới hẻm 88, Phường 14, Quận 11</v>
      </c>
      <c r="U373" s="36"/>
      <c r="V373" s="78" t="e">
        <f>HYPERLINK("https://www.google.com/maps/search/?api=1&amp;query=" &amp; _xlfn.ENCODEURL(Table24[[#This Row],[Tên hẻm]]), "Link Google Map")</f>
        <v>#VALUE!</v>
      </c>
    </row>
    <row r="374" spans="1:22" ht="47.25" hidden="1">
      <c r="A374" s="11">
        <v>395</v>
      </c>
      <c r="B374" s="16" t="s">
        <v>5850</v>
      </c>
      <c r="C374" s="16" t="s">
        <v>5850</v>
      </c>
      <c r="D374" s="11">
        <v>11</v>
      </c>
      <c r="E374" s="11">
        <v>14</v>
      </c>
      <c r="F374" s="11" t="s">
        <v>5851</v>
      </c>
      <c r="G374" s="172">
        <v>4</v>
      </c>
      <c r="H374" s="11"/>
      <c r="I374" s="11"/>
      <c r="J374" s="11" t="s">
        <v>5852</v>
      </c>
      <c r="K374" s="173" t="s">
        <v>5853</v>
      </c>
      <c r="L374" s="11">
        <v>3</v>
      </c>
      <c r="M374" s="31" t="s">
        <v>5854</v>
      </c>
      <c r="N374" s="11"/>
      <c r="O374" s="11"/>
      <c r="P374" s="11" t="s">
        <v>5797</v>
      </c>
      <c r="Q374" s="19"/>
      <c r="R374" s="19"/>
      <c r="S374" s="23" t="str">
        <f>HYPERLINK("https://www.google.com/maps/search/" &amp; Table24[[#This Row],[Tên hẻm]], "Xem trên Google Maps")</f>
        <v>Xem trên Google Maps</v>
      </c>
      <c r="T374" s="16" t="str">
        <f>"Hẻm "&amp;Table24[[#This Row],[Hẻm]]&amp;" "&amp;Table24[[#This Row],[Tuyến đường]]&amp;", Phường "&amp;Table24[[#This Row],[Phường]]&amp;", Quận "&amp;Table24[[#This Row],[Quận]]</f>
        <v>Hẻm Hẻm 123 đường 100 Bình Thới Hẻm 123 đường 100 Bình Thới, Phường 14, Quận 11</v>
      </c>
      <c r="U374" s="36"/>
      <c r="V374" s="78" t="e">
        <f>HYPERLINK("https://www.google.com/maps/search/?api=1&amp;query=" &amp; _xlfn.ENCODEURL(Table24[[#This Row],[Tên hẻm]]), "Link Google Map")</f>
        <v>#VALUE!</v>
      </c>
    </row>
    <row r="375" spans="1:22" ht="47.25" hidden="1">
      <c r="A375" s="11">
        <v>396</v>
      </c>
      <c r="B375" s="16" t="s">
        <v>5855</v>
      </c>
      <c r="C375" s="16" t="s">
        <v>5856</v>
      </c>
      <c r="D375" s="11">
        <v>11</v>
      </c>
      <c r="E375" s="11">
        <v>14</v>
      </c>
      <c r="F375" s="11" t="s">
        <v>3498</v>
      </c>
      <c r="G375" s="172">
        <v>4</v>
      </c>
      <c r="H375" s="11"/>
      <c r="I375" s="11"/>
      <c r="J375" s="11" t="s">
        <v>5852</v>
      </c>
      <c r="K375" s="173" t="s">
        <v>5857</v>
      </c>
      <c r="L375" s="11">
        <v>5</v>
      </c>
      <c r="M375" s="31" t="s">
        <v>5858</v>
      </c>
      <c r="N375" s="11"/>
      <c r="O375" s="11"/>
      <c r="P375" s="11" t="s">
        <v>5845</v>
      </c>
      <c r="Q375" s="19"/>
      <c r="R375" s="19"/>
      <c r="S375" s="23" t="str">
        <f>HYPERLINK("https://www.google.com/maps/search/" &amp; Table24[[#This Row],[Tên hẻm]], "Xem trên Google Maps")</f>
        <v>Xem trên Google Maps</v>
      </c>
      <c r="T375" s="16" t="str">
        <f>"Hẻm "&amp;Table24[[#This Row],[Hẻm]]&amp;" "&amp;Table24[[#This Row],[Tuyến đường]]&amp;", Phường "&amp;Table24[[#This Row],[Phường]]&amp;", Quận "&amp;Table24[[#This Row],[Quận]]</f>
        <v>Hẻm Hẻm 126  đường 100 Bình Thới  Hẻm 126 đường 100 Bình Thới, Phường 14, Quận 11</v>
      </c>
      <c r="U375" s="36"/>
      <c r="V375" s="78" t="e">
        <f>HYPERLINK("https://www.google.com/maps/search/?api=1&amp;query=" &amp; _xlfn.ENCODEURL(Table24[[#This Row],[Tên hẻm]]), "Link Google Map")</f>
        <v>#VALUE!</v>
      </c>
    </row>
    <row r="376" spans="1:22" ht="47.25" hidden="1">
      <c r="A376" s="11">
        <v>397</v>
      </c>
      <c r="B376" s="16" t="s">
        <v>5859</v>
      </c>
      <c r="C376" s="16" t="s">
        <v>5046</v>
      </c>
      <c r="D376" s="11">
        <v>8</v>
      </c>
      <c r="E376" s="11">
        <v>16</v>
      </c>
      <c r="F376" s="11" t="s">
        <v>1405</v>
      </c>
      <c r="G376" s="172">
        <v>4</v>
      </c>
      <c r="H376" s="11"/>
      <c r="I376" s="11"/>
      <c r="J376" s="11" t="s">
        <v>5046</v>
      </c>
      <c r="K376" s="173" t="s">
        <v>4650</v>
      </c>
      <c r="L376" s="11">
        <v>6</v>
      </c>
      <c r="M376" s="31" t="s">
        <v>5860</v>
      </c>
      <c r="N376" s="11"/>
      <c r="O376" s="11"/>
      <c r="P376" s="11" t="s">
        <v>5861</v>
      </c>
      <c r="Q376" s="19"/>
      <c r="R376" s="19"/>
      <c r="S376" s="23" t="str">
        <f>HYPERLINK("https://www.google.com/maps/search/" &amp; Table24[[#This Row],[Tên hẻm]], "Xem trên Google Maps")</f>
        <v>Xem trên Google Maps</v>
      </c>
      <c r="T376" s="16" t="str">
        <f>"Hẻm "&amp;Table24[[#This Row],[Hẻm]]&amp;" "&amp;Table24[[#This Row],[Tuyến đường]]&amp;", Phường "&amp;Table24[[#This Row],[Phường]]&amp;", Quận "&amp;Table24[[#This Row],[Quận]]</f>
        <v>Hẻm  112 + 122 An Dương Vương, Phường 16, Quận 8</v>
      </c>
      <c r="U376" s="36"/>
      <c r="V376" s="78" t="e">
        <f>HYPERLINK("https://www.google.com/maps/search/?api=1&amp;query=" &amp; _xlfn.ENCODEURL(Table24[[#This Row],[Tên hẻm]]), "Link Google Map")</f>
        <v>#VALUE!</v>
      </c>
    </row>
    <row r="377" spans="1:22" ht="47.25" hidden="1">
      <c r="A377" s="11">
        <v>398</v>
      </c>
      <c r="B377" s="16" t="s">
        <v>5862</v>
      </c>
      <c r="C377" s="16" t="s">
        <v>4724</v>
      </c>
      <c r="D377" s="11">
        <v>11</v>
      </c>
      <c r="E377" s="11">
        <v>1</v>
      </c>
      <c r="F377" s="11" t="s">
        <v>3870</v>
      </c>
      <c r="G377" s="172" t="s">
        <v>5863</v>
      </c>
      <c r="H377" s="11"/>
      <c r="I377" s="11"/>
      <c r="J377" s="11" t="s">
        <v>5864</v>
      </c>
      <c r="K377" s="173" t="s">
        <v>5865</v>
      </c>
      <c r="L377" s="11">
        <v>2</v>
      </c>
      <c r="M377" s="31" t="s">
        <v>5866</v>
      </c>
      <c r="N377" s="11"/>
      <c r="O377" s="11"/>
      <c r="P377" s="11" t="s">
        <v>5191</v>
      </c>
      <c r="Q377" s="19"/>
      <c r="R377" s="19"/>
      <c r="S377" s="23" t="str">
        <f>HYPERLINK("https://www.google.com/maps/search/" &amp; Table24[[#This Row],[Tên hẻm]], "Xem trên Google Maps")</f>
        <v>Xem trên Google Maps</v>
      </c>
      <c r="T377" s="16" t="str">
        <f>"Hẻm "&amp;Table24[[#This Row],[Hẻm]]&amp;" "&amp;Table24[[#This Row],[Tuyến đường]]&amp;", Phường "&amp;Table24[[#This Row],[Phường]]&amp;", Quận "&amp;Table24[[#This Row],[Quận]]</f>
        <v>Hẻm Hẻm 129/1M8 Lạc Long Quân , Phường 1, Quận 11</v>
      </c>
      <c r="U377" s="36"/>
      <c r="V377" s="78" t="e">
        <f>HYPERLINK("https://www.google.com/maps/search/?api=1&amp;query=" &amp; _xlfn.ENCODEURL(Table24[[#This Row],[Tên hẻm]]), "Link Google Map")</f>
        <v>#VALUE!</v>
      </c>
    </row>
    <row r="378" spans="1:22" ht="47.25" hidden="1">
      <c r="A378" s="11">
        <v>399</v>
      </c>
      <c r="B378" s="16" t="s">
        <v>5867</v>
      </c>
      <c r="C378" s="16" t="s">
        <v>4724</v>
      </c>
      <c r="D378" s="11">
        <v>11</v>
      </c>
      <c r="E378" s="11">
        <v>1</v>
      </c>
      <c r="F378" s="11" t="s">
        <v>3870</v>
      </c>
      <c r="G378" s="172" t="s">
        <v>5863</v>
      </c>
      <c r="H378" s="11"/>
      <c r="I378" s="11"/>
      <c r="J378" s="11" t="s">
        <v>5868</v>
      </c>
      <c r="K378" s="173" t="s">
        <v>5869</v>
      </c>
      <c r="L378" s="11">
        <v>3</v>
      </c>
      <c r="M378" s="31" t="s">
        <v>5870</v>
      </c>
      <c r="N378" s="11"/>
      <c r="O378" s="11"/>
      <c r="P378" s="11" t="s">
        <v>5191</v>
      </c>
      <c r="Q378" s="19"/>
      <c r="R378" s="19"/>
      <c r="S378" s="23" t="str">
        <f>HYPERLINK("https://www.google.com/maps/search/" &amp; Table24[[#This Row],[Tên hẻm]], "Xem trên Google Maps")</f>
        <v>Xem trên Google Maps</v>
      </c>
      <c r="T378" s="16" t="str">
        <f>"Hẻm "&amp;Table24[[#This Row],[Hẻm]]&amp;" "&amp;Table24[[#This Row],[Tuyến đường]]&amp;", Phường "&amp;Table24[[#This Row],[Phường]]&amp;", Quận "&amp;Table24[[#This Row],[Quận]]</f>
        <v>Hẻm Hẻm 22/19/1 Lạc Long Quân , Phường 1, Quận 11</v>
      </c>
      <c r="U378" s="36"/>
      <c r="V378" s="78" t="e">
        <f>HYPERLINK("https://www.google.com/maps/search/?api=1&amp;query=" &amp; _xlfn.ENCODEURL(Table24[[#This Row],[Tên hẻm]]), "Link Google Map")</f>
        <v>#VALUE!</v>
      </c>
    </row>
    <row r="379" spans="1:22" ht="47.25" hidden="1">
      <c r="A379" s="11">
        <v>400</v>
      </c>
      <c r="B379" s="16" t="s">
        <v>5871</v>
      </c>
      <c r="C379" s="16" t="s">
        <v>5335</v>
      </c>
      <c r="D379" s="11">
        <v>11</v>
      </c>
      <c r="E379" s="11">
        <v>8</v>
      </c>
      <c r="F379" s="11" t="s">
        <v>3917</v>
      </c>
      <c r="G379" s="172" t="s">
        <v>5872</v>
      </c>
      <c r="H379" s="11"/>
      <c r="I379" s="11"/>
      <c r="J379" s="11" t="s">
        <v>5335</v>
      </c>
      <c r="K379" s="173" t="s">
        <v>5208</v>
      </c>
      <c r="L379" s="11">
        <v>3</v>
      </c>
      <c r="M379" s="31" t="s">
        <v>5873</v>
      </c>
      <c r="N379" s="11"/>
      <c r="O379" s="11"/>
      <c r="P379" s="11" t="s">
        <v>5191</v>
      </c>
      <c r="Q379" s="19"/>
      <c r="R379" s="19"/>
      <c r="S379" s="23" t="str">
        <f>HYPERLINK("https://www.google.com/maps/search/" &amp; Table24[[#This Row],[Tên hẻm]], "Xem trên Google Maps")</f>
        <v>Xem trên Google Maps</v>
      </c>
      <c r="T379" s="16" t="str">
        <f>"Hẻm "&amp;Table24[[#This Row],[Hẻm]]&amp;" "&amp;Table24[[#This Row],[Tuyến đường]]&amp;", Phường "&amp;Table24[[#This Row],[Phường]]&amp;", Quận "&amp;Table24[[#This Row],[Quận]]</f>
        <v>Hẻm Hẻm 140 Hàn Hải Nguyên , Phường 8, Quận 11</v>
      </c>
      <c r="U379" s="36"/>
      <c r="V379" s="78" t="e">
        <f>HYPERLINK("https://www.google.com/maps/search/?api=1&amp;query=" &amp; _xlfn.ENCODEURL(Table24[[#This Row],[Tên hẻm]]), "Link Google Map")</f>
        <v>#VALUE!</v>
      </c>
    </row>
    <row r="380" spans="1:22" ht="47.25" hidden="1">
      <c r="A380" s="11">
        <v>401</v>
      </c>
      <c r="B380" s="16" t="s">
        <v>5874</v>
      </c>
      <c r="C380" s="16" t="s">
        <v>5875</v>
      </c>
      <c r="D380" s="11">
        <v>11</v>
      </c>
      <c r="E380" s="11">
        <v>3</v>
      </c>
      <c r="F380" s="11" t="s">
        <v>5876</v>
      </c>
      <c r="G380" s="172" t="s">
        <v>4788</v>
      </c>
      <c r="H380" s="11"/>
      <c r="I380" s="11"/>
      <c r="J380" s="11" t="s">
        <v>5877</v>
      </c>
      <c r="K380" s="173" t="s">
        <v>5878</v>
      </c>
      <c r="L380" s="11">
        <v>5</v>
      </c>
      <c r="M380" s="31" t="s">
        <v>5879</v>
      </c>
      <c r="N380" s="11"/>
      <c r="O380" s="11"/>
      <c r="P380" s="11" t="s">
        <v>4861</v>
      </c>
      <c r="Q380" s="19"/>
      <c r="R380" s="19"/>
      <c r="S380" s="23" t="str">
        <f>HYPERLINK("https://www.google.com/maps/search/" &amp; Table24[[#This Row],[Tên hẻm]], "Xem trên Google Maps")</f>
        <v>Xem trên Google Maps</v>
      </c>
      <c r="T380" s="16" t="str">
        <f>"Hẻm "&amp;Table24[[#This Row],[Hẻm]]&amp;" "&amp;Table24[[#This Row],[Tuyến đường]]&amp;", Phường "&amp;Table24[[#This Row],[Phường]]&amp;", Quận "&amp;Table24[[#This Row],[Quận]]</f>
        <v>Hẻm Hẻm 106 i Lạc Long Quân  Hẻm 106 Lạc Long Quân , Phường 3, Quận 11</v>
      </c>
      <c r="U380" s="36"/>
      <c r="V380" s="78" t="e">
        <f>HYPERLINK("https://www.google.com/maps/search/?api=1&amp;query=" &amp; _xlfn.ENCODEURL(Table24[[#This Row],[Tên hẻm]]), "Link Google Map")</f>
        <v>#VALUE!</v>
      </c>
    </row>
    <row r="381" spans="1:22" ht="47.25" hidden="1">
      <c r="A381" s="11">
        <v>402</v>
      </c>
      <c r="B381" s="16">
        <v>85</v>
      </c>
      <c r="C381" s="16" t="s">
        <v>5880</v>
      </c>
      <c r="D381" s="11">
        <v>11</v>
      </c>
      <c r="E381" s="11">
        <v>16</v>
      </c>
      <c r="F381" s="11" t="s">
        <v>5881</v>
      </c>
      <c r="G381" s="172" t="s">
        <v>5872</v>
      </c>
      <c r="H381" s="11"/>
      <c r="I381" s="11"/>
      <c r="J381" s="11" t="s">
        <v>5880</v>
      </c>
      <c r="K381" s="173" t="s">
        <v>5882</v>
      </c>
      <c r="L381" s="11">
        <v>5</v>
      </c>
      <c r="M381" s="31" t="s">
        <v>5883</v>
      </c>
      <c r="N381" s="11"/>
      <c r="O381" s="11"/>
      <c r="P381" s="11" t="s">
        <v>5191</v>
      </c>
      <c r="Q381" s="19"/>
      <c r="R381" s="19"/>
      <c r="S381" s="23" t="str">
        <f>HYPERLINK("https://www.google.com/maps/search/" &amp; Table24[[#This Row],[Tên hẻm]], "Xem trên Google Maps")</f>
        <v>Xem trên Google Maps</v>
      </c>
      <c r="T381" s="16" t="str">
        <f>"Hẻm "&amp;Table24[[#This Row],[Hẻm]]&amp;" "&amp;Table24[[#This Row],[Tuyến đường]]&amp;", Phường "&amp;Table24[[#This Row],[Phường]]&amp;", Quận "&amp;Table24[[#This Row],[Quận]]</f>
        <v>Hẻm 85 Lò siêu , Phường 16, Quận 11</v>
      </c>
      <c r="U381" s="36"/>
      <c r="V381" s="78" t="e">
        <f>HYPERLINK("https://www.google.com/maps/search/?api=1&amp;query=" &amp; _xlfn.ENCODEURL(Table24[[#This Row],[Tên hẻm]]), "Link Google Map")</f>
        <v>#VALUE!</v>
      </c>
    </row>
    <row r="382" spans="1:22" ht="47.25" hidden="1">
      <c r="A382" s="11">
        <v>403</v>
      </c>
      <c r="B382" s="16" t="s">
        <v>5884</v>
      </c>
      <c r="C382" s="16" t="s">
        <v>5885</v>
      </c>
      <c r="D382" s="11">
        <v>8</v>
      </c>
      <c r="E382" s="11">
        <v>15</v>
      </c>
      <c r="F382" s="11" t="s">
        <v>4557</v>
      </c>
      <c r="G382" s="172">
        <v>4</v>
      </c>
      <c r="H382" s="11"/>
      <c r="I382" s="11"/>
      <c r="J382" s="11" t="s">
        <v>5884</v>
      </c>
      <c r="K382" s="173" t="s">
        <v>5886</v>
      </c>
      <c r="L382" s="11">
        <v>6</v>
      </c>
      <c r="M382" s="31" t="s">
        <v>5887</v>
      </c>
      <c r="N382" s="11"/>
      <c r="O382" s="11"/>
      <c r="P382" s="11" t="s">
        <v>5797</v>
      </c>
      <c r="Q382" s="19"/>
      <c r="R382" s="19"/>
      <c r="S382" s="23" t="str">
        <f>HYPERLINK("https://www.google.com/maps/search/" &amp; Table24[[#This Row],[Tên hẻm]], "Xem trên Google Maps")</f>
        <v>Xem trên Google Maps</v>
      </c>
      <c r="T382" s="16" t="str">
        <f>"Hẻm "&amp;Table24[[#This Row],[Hẻm]]&amp;" "&amp;Table24[[#This Row],[Tuyến đường]]&amp;", Phường "&amp;Table24[[#This Row],[Phường]]&amp;", Quận "&amp;Table24[[#This Row],[Quận]]</f>
        <v>Hẻm 374 Bình Đông Hẻm 374 Bình Đông, Phường 15, Quận 8</v>
      </c>
      <c r="U382" s="36"/>
      <c r="V382" s="78" t="e">
        <f>HYPERLINK("https://www.google.com/maps/search/?api=1&amp;query=" &amp; _xlfn.ENCODEURL(Table24[[#This Row],[Tên hẻm]]), "Link Google Map")</f>
        <v>#VALUE!</v>
      </c>
    </row>
    <row r="383" spans="1:22" ht="47.25" hidden="1">
      <c r="A383" s="11">
        <v>404</v>
      </c>
      <c r="B383" s="16">
        <v>155</v>
      </c>
      <c r="C383" s="16" t="s">
        <v>5335</v>
      </c>
      <c r="D383" s="11">
        <v>11</v>
      </c>
      <c r="E383" s="11">
        <v>2</v>
      </c>
      <c r="F383" s="11" t="s">
        <v>3917</v>
      </c>
      <c r="G383" s="172" t="s">
        <v>5888</v>
      </c>
      <c r="H383" s="11"/>
      <c r="I383" s="11"/>
      <c r="J383" s="11" t="s">
        <v>5335</v>
      </c>
      <c r="K383" s="173" t="s">
        <v>5889</v>
      </c>
      <c r="L383" s="11">
        <v>3</v>
      </c>
      <c r="M383" s="31" t="s">
        <v>5890</v>
      </c>
      <c r="N383" s="11"/>
      <c r="O383" s="11"/>
      <c r="P383" s="11" t="s">
        <v>5191</v>
      </c>
      <c r="Q383" s="19"/>
      <c r="R383" s="19"/>
      <c r="S383" s="23" t="str">
        <f>HYPERLINK("https://www.google.com/maps/search/" &amp; Table24[[#This Row],[Tên hẻm]], "Xem trên Google Maps")</f>
        <v>Xem trên Google Maps</v>
      </c>
      <c r="T383" s="16" t="str">
        <f>"Hẻm "&amp;Table24[[#This Row],[Hẻm]]&amp;" "&amp;Table24[[#This Row],[Tuyến đường]]&amp;", Phường "&amp;Table24[[#This Row],[Phường]]&amp;", Quận "&amp;Table24[[#This Row],[Quận]]</f>
        <v>Hẻm 155 Hàn Hải Nguyên , Phường 2, Quận 11</v>
      </c>
      <c r="U383" s="36"/>
      <c r="V383" s="78" t="e">
        <f>HYPERLINK("https://www.google.com/maps/search/?api=1&amp;query=" &amp; _xlfn.ENCODEURL(Table24[[#This Row],[Tên hẻm]]), "Link Google Map")</f>
        <v>#VALUE!</v>
      </c>
    </row>
    <row r="384" spans="1:22" ht="47.25" hidden="1">
      <c r="A384" s="11">
        <v>405</v>
      </c>
      <c r="B384" s="16" t="s">
        <v>5891</v>
      </c>
      <c r="C384" s="16" t="s">
        <v>5880</v>
      </c>
      <c r="D384" s="11">
        <v>11</v>
      </c>
      <c r="E384" s="11">
        <v>16</v>
      </c>
      <c r="F384" s="11" t="s">
        <v>5892</v>
      </c>
      <c r="G384" s="172" t="s">
        <v>5888</v>
      </c>
      <c r="H384" s="11"/>
      <c r="I384" s="11"/>
      <c r="J384" s="11" t="s">
        <v>5880</v>
      </c>
      <c r="K384" s="173" t="s">
        <v>5893</v>
      </c>
      <c r="L384" s="11">
        <v>5</v>
      </c>
      <c r="M384" s="31" t="s">
        <v>5894</v>
      </c>
      <c r="N384" s="11"/>
      <c r="O384" s="11"/>
      <c r="P384" s="11" t="s">
        <v>5191</v>
      </c>
      <c r="Q384" s="19"/>
      <c r="R384" s="19"/>
      <c r="S384" s="23" t="str">
        <f>HYPERLINK("https://www.google.com/maps/search/" &amp; Table24[[#This Row],[Tên hẻm]], "Xem trên Google Maps")</f>
        <v>Xem trên Google Maps</v>
      </c>
      <c r="T384" s="16" t="str">
        <f>"Hẻm "&amp;Table24[[#This Row],[Hẻm]]&amp;" "&amp;Table24[[#This Row],[Tuyến đường]]&amp;", Phường "&amp;Table24[[#This Row],[Phường]]&amp;", Quận "&amp;Table24[[#This Row],[Quận]]</f>
        <v>Hẻm Hẻm 3 Lò siêu , Phường 16, Quận 11</v>
      </c>
      <c r="U384" s="36"/>
      <c r="V384" s="78" t="e">
        <f>HYPERLINK("https://www.google.com/maps/search/?api=1&amp;query=" &amp; _xlfn.ENCODEURL(Table24[[#This Row],[Tên hẻm]]), "Link Google Map")</f>
        <v>#VALUE!</v>
      </c>
    </row>
    <row r="385" spans="1:22" ht="47.25" hidden="1">
      <c r="A385" s="11">
        <v>406</v>
      </c>
      <c r="B385" s="16" t="s">
        <v>5895</v>
      </c>
      <c r="C385" s="16" t="s">
        <v>5896</v>
      </c>
      <c r="D385" s="11">
        <v>11</v>
      </c>
      <c r="E385" s="11" t="s">
        <v>5897</v>
      </c>
      <c r="F385" s="11" t="s">
        <v>5898</v>
      </c>
      <c r="G385" s="172" t="s">
        <v>4788</v>
      </c>
      <c r="H385" s="11"/>
      <c r="I385" s="11"/>
      <c r="J385" s="11" t="s">
        <v>5899</v>
      </c>
      <c r="K385" s="173" t="s">
        <v>5900</v>
      </c>
      <c r="L385" s="11">
        <v>3</v>
      </c>
      <c r="M385" s="31" t="s">
        <v>5901</v>
      </c>
      <c r="N385" s="11"/>
      <c r="O385" s="11"/>
      <c r="P385" s="11" t="s">
        <v>4861</v>
      </c>
      <c r="Q385" s="19"/>
      <c r="R385" s="19"/>
      <c r="S385" s="23" t="str">
        <f>HYPERLINK("https://www.google.com/maps/search/" &amp; Table24[[#This Row],[Tên hẻm]], "Xem trên Google Maps")</f>
        <v>Xem trên Google Maps</v>
      </c>
      <c r="T385" s="16" t="str">
        <f>"Hẻm "&amp;Table24[[#This Row],[Hẻm]]&amp;" "&amp;Table24[[#This Row],[Tuyến đường]]&amp;", Phường "&amp;Table24[[#This Row],[Phường]]&amp;", Quận "&amp;Table24[[#This Row],[Quận]]</f>
        <v>Hẻm Hẻm 106E Lạc Long Quân  Hẻm 56 D Lạc Long Quân , Phường Hẻm 56 D lạc Long Quân , Quận 11</v>
      </c>
      <c r="U385" s="36"/>
      <c r="V385" s="78" t="e">
        <f>HYPERLINK("https://www.google.com/maps/search/?api=1&amp;query=" &amp; _xlfn.ENCODEURL(Table24[[#This Row],[Tên hẻm]]), "Link Google Map")</f>
        <v>#VALUE!</v>
      </c>
    </row>
    <row r="386" spans="1:22" ht="47.25" hidden="1">
      <c r="A386" s="11">
        <v>407</v>
      </c>
      <c r="B386" s="16" t="s">
        <v>5902</v>
      </c>
      <c r="C386" s="16" t="s">
        <v>5902</v>
      </c>
      <c r="D386" s="11">
        <v>8</v>
      </c>
      <c r="E386" s="11">
        <v>16</v>
      </c>
      <c r="F386" s="11" t="s">
        <v>1717</v>
      </c>
      <c r="G386" s="172" t="s">
        <v>4993</v>
      </c>
      <c r="H386" s="11"/>
      <c r="I386" s="11"/>
      <c r="J386" s="11" t="s">
        <v>5903</v>
      </c>
      <c r="K386" s="173" t="s">
        <v>5904</v>
      </c>
      <c r="L386" s="11">
        <v>15</v>
      </c>
      <c r="M386" s="31" t="s">
        <v>5905</v>
      </c>
      <c r="N386" s="11"/>
      <c r="O386" s="11"/>
      <c r="P386" s="11" t="s">
        <v>5797</v>
      </c>
      <c r="Q386" s="19"/>
      <c r="R386" s="19"/>
      <c r="S386" s="23" t="str">
        <f>HYPERLINK("https://www.google.com/maps/search/" &amp; Table24[[#This Row],[Tên hẻm]], "Xem trên Google Maps")</f>
        <v>Xem trên Google Maps</v>
      </c>
      <c r="T386" s="16" t="str">
        <f>"Hẻm "&amp;Table24[[#This Row],[Hẻm]]&amp;" "&amp;Table24[[#This Row],[Tuyến đường]]&amp;", Phường "&amp;Table24[[#This Row],[Phường]]&amp;", Quận "&amp;Table24[[#This Row],[Quận]]</f>
        <v>Hẻm Hẻm 79 bến Phú Định Hẻm 79 bến Phú Định, Phường 16, Quận 8</v>
      </c>
      <c r="U386" s="36"/>
      <c r="V386" s="78" t="e">
        <f>HYPERLINK("https://www.google.com/maps/search/?api=1&amp;query=" &amp; _xlfn.ENCODEURL(Table24[[#This Row],[Tên hẻm]]), "Link Google Map")</f>
        <v>#VALUE!</v>
      </c>
    </row>
    <row r="387" spans="1:22" ht="47.25" hidden="1">
      <c r="A387" s="11">
        <v>408</v>
      </c>
      <c r="B387" s="16" t="s">
        <v>5906</v>
      </c>
      <c r="C387" s="16" t="s">
        <v>5897</v>
      </c>
      <c r="D387" s="11">
        <v>11</v>
      </c>
      <c r="E387" s="11">
        <v>3</v>
      </c>
      <c r="F387" s="11" t="s">
        <v>3882</v>
      </c>
      <c r="G387" s="172" t="s">
        <v>4788</v>
      </c>
      <c r="H387" s="11"/>
      <c r="I387" s="11"/>
      <c r="J387" s="11" t="s">
        <v>5907</v>
      </c>
      <c r="K387" s="173" t="s">
        <v>5908</v>
      </c>
      <c r="L387" s="11">
        <v>4</v>
      </c>
      <c r="M387" s="31" t="s">
        <v>5909</v>
      </c>
      <c r="N387" s="11"/>
      <c r="O387" s="11"/>
      <c r="P387" s="11" t="s">
        <v>4861</v>
      </c>
      <c r="Q387" s="19"/>
      <c r="R387" s="19"/>
      <c r="S387" s="23" t="str">
        <f>HYPERLINK("https://www.google.com/maps/search/" &amp; Table24[[#This Row],[Tên hẻm]], "Xem trên Google Maps")</f>
        <v>Xem trên Google Maps</v>
      </c>
      <c r="T387" s="16" t="str">
        <f>"Hẻm "&amp;Table24[[#This Row],[Hẻm]]&amp;" "&amp;Table24[[#This Row],[Tuyến đường]]&amp;", Phường "&amp;Table24[[#This Row],[Phường]]&amp;", Quận "&amp;Table24[[#This Row],[Quận]]</f>
        <v>Hẻm Hẻm 106G Lạc Long Quân  Hẻm 56 D lạc Long Quân , Phường 3, Quận 11</v>
      </c>
      <c r="U387" s="36"/>
      <c r="V387" s="78" t="e">
        <f>HYPERLINK("https://www.google.com/maps/search/?api=1&amp;query=" &amp; _xlfn.ENCODEURL(Table24[[#This Row],[Tên hẻm]]), "Link Google Map")</f>
        <v>#VALUE!</v>
      </c>
    </row>
    <row r="388" spans="1:22" ht="47.25" hidden="1">
      <c r="A388" s="11">
        <v>409</v>
      </c>
      <c r="B388" s="16" t="s">
        <v>5910</v>
      </c>
      <c r="C388" s="16" t="s">
        <v>5911</v>
      </c>
      <c r="D388" s="11">
        <v>8</v>
      </c>
      <c r="E388" s="11">
        <v>16</v>
      </c>
      <c r="F388" s="11" t="s">
        <v>5912</v>
      </c>
      <c r="G388" s="172">
        <v>4</v>
      </c>
      <c r="H388" s="11"/>
      <c r="I388" s="11"/>
      <c r="J388" s="11" t="s">
        <v>5913</v>
      </c>
      <c r="K388" s="173" t="s">
        <v>5914</v>
      </c>
      <c r="L388" s="11">
        <v>20</v>
      </c>
      <c r="M388" s="31" t="s">
        <v>5915</v>
      </c>
      <c r="N388" s="11"/>
      <c r="O388" s="11"/>
      <c r="P388" s="11" t="s">
        <v>5797</v>
      </c>
      <c r="Q388" s="19"/>
      <c r="R388" s="19"/>
      <c r="S388" s="23" t="str">
        <f>HYPERLINK("https://www.google.com/maps/search/" &amp; Table24[[#This Row],[Tên hẻm]], "Xem trên Google Maps")</f>
        <v>Xem trên Google Maps</v>
      </c>
      <c r="T388" s="16" t="str">
        <f>"Hẻm "&amp;Table24[[#This Row],[Hẻm]]&amp;" "&amp;Table24[[#This Row],[Tuyến đường]]&amp;", Phường "&amp;Table24[[#This Row],[Phường]]&amp;", Quận "&amp;Table24[[#This Row],[Quận]]</f>
        <v>Hẻm Hẻm 80 Hoàng Ngân  Hẻm 80 Hoàn Ngân, Phường 16, Quận 8</v>
      </c>
      <c r="U388" s="36"/>
      <c r="V388" s="78" t="e">
        <f>HYPERLINK("https://www.google.com/maps/search/?api=1&amp;query=" &amp; _xlfn.ENCODEURL(Table24[[#This Row],[Tên hẻm]]), "Link Google Map")</f>
        <v>#VALUE!</v>
      </c>
    </row>
    <row r="389" spans="1:22" ht="47.25" hidden="1">
      <c r="A389" s="11">
        <v>410</v>
      </c>
      <c r="B389" s="16" t="s">
        <v>5916</v>
      </c>
      <c r="C389" s="16" t="s">
        <v>5917</v>
      </c>
      <c r="D389" s="11">
        <v>8</v>
      </c>
      <c r="E389" s="11">
        <v>16</v>
      </c>
      <c r="F389" s="11" t="s">
        <v>5918</v>
      </c>
      <c r="G389" s="172">
        <v>4</v>
      </c>
      <c r="H389" s="11"/>
      <c r="I389" s="11"/>
      <c r="J389" s="11" t="s">
        <v>5919</v>
      </c>
      <c r="K389" s="173" t="s">
        <v>5920</v>
      </c>
      <c r="L389" s="11">
        <v>5</v>
      </c>
      <c r="M389" s="31" t="s">
        <v>5921</v>
      </c>
      <c r="N389" s="11"/>
      <c r="O389" s="11"/>
      <c r="P389" s="11" t="s">
        <v>5845</v>
      </c>
      <c r="Q389" s="19"/>
      <c r="R389" s="19"/>
      <c r="S389" s="23" t="str">
        <f>HYPERLINK("https://www.google.com/maps/search/" &amp; Table24[[#This Row],[Tên hẻm]], "Xem trên Google Maps")</f>
        <v>Xem trên Google Maps</v>
      </c>
      <c r="T389" s="16" t="str">
        <f>"Hẻm "&amp;Table24[[#This Row],[Hẻm]]&amp;" "&amp;Table24[[#This Row],[Tuyến đường]]&amp;", Phường "&amp;Table24[[#This Row],[Phường]]&amp;", Quận "&amp;Table24[[#This Row],[Quận]]</f>
        <v>Hẻm Hẻm 150 bến Phú Định Hẻm 150/39 bến Phú Định, Phường 16, Quận 8</v>
      </c>
      <c r="U389" s="36"/>
      <c r="V389" s="78" t="e">
        <f>HYPERLINK("https://www.google.com/maps/search/?api=1&amp;query=" &amp; _xlfn.ENCODEURL(Table24[[#This Row],[Tên hẻm]]), "Link Google Map")</f>
        <v>#VALUE!</v>
      </c>
    </row>
    <row r="390" spans="1:22" ht="47.25" hidden="1">
      <c r="A390" s="11">
        <v>411</v>
      </c>
      <c r="B390" s="16" t="s">
        <v>5922</v>
      </c>
      <c r="C390" s="16" t="s">
        <v>4901</v>
      </c>
      <c r="D390" s="11">
        <v>11</v>
      </c>
      <c r="E390" s="11">
        <v>16</v>
      </c>
      <c r="F390" s="11" t="s">
        <v>3819</v>
      </c>
      <c r="G390" s="172" t="s">
        <v>5168</v>
      </c>
      <c r="H390" s="11"/>
      <c r="I390" s="11"/>
      <c r="J390" s="11" t="s">
        <v>5923</v>
      </c>
      <c r="K390" s="173" t="s">
        <v>5924</v>
      </c>
      <c r="L390" s="11">
        <v>10</v>
      </c>
      <c r="M390" s="31" t="s">
        <v>5925</v>
      </c>
      <c r="N390" s="11"/>
      <c r="O390" s="11"/>
      <c r="P390" s="11" t="s">
        <v>4861</v>
      </c>
      <c r="Q390" s="19"/>
      <c r="R390" s="19"/>
      <c r="S390" s="23" t="str">
        <f>HYPERLINK("https://www.google.com/maps/search/" &amp; Table24[[#This Row],[Tên hẻm]], "Xem trên Google Maps")</f>
        <v>Xem trên Google Maps</v>
      </c>
      <c r="T390" s="16" t="str">
        <f>"Hẻm "&amp;Table24[[#This Row],[Hẻm]]&amp;" "&amp;Table24[[#This Row],[Tuyến đường]]&amp;", Phường "&amp;Table24[[#This Row],[Phường]]&amp;", Quận "&amp;Table24[[#This Row],[Quận]]</f>
        <v>Hẻm Hẻm 1525 Ba Tháng Hai  Ba Tháng Hai , Phường 16, Quận 11</v>
      </c>
      <c r="U390" s="36"/>
      <c r="V390" s="78" t="e">
        <f>HYPERLINK("https://www.google.com/maps/search/?api=1&amp;query=" &amp; _xlfn.ENCODEURL(Table24[[#This Row],[Tên hẻm]]), "Link Google Map")</f>
        <v>#VALUE!</v>
      </c>
    </row>
    <row r="391" spans="1:22" ht="47.25" hidden="1">
      <c r="A391" s="11">
        <v>412</v>
      </c>
      <c r="B391" s="16" t="s">
        <v>5926</v>
      </c>
      <c r="C391" s="16" t="s">
        <v>5927</v>
      </c>
      <c r="D391" s="11" t="s">
        <v>669</v>
      </c>
      <c r="E391" s="11" t="s">
        <v>5928</v>
      </c>
      <c r="F391" s="11" t="s">
        <v>5929</v>
      </c>
      <c r="G391" s="172">
        <v>5</v>
      </c>
      <c r="H391" s="11"/>
      <c r="I391" s="11"/>
      <c r="J391" s="11" t="s">
        <v>5930</v>
      </c>
      <c r="K391" s="173" t="s">
        <v>5931</v>
      </c>
      <c r="L391" s="11" t="s">
        <v>5932</v>
      </c>
      <c r="M391" s="31" t="s">
        <v>5933</v>
      </c>
      <c r="N391" s="11"/>
      <c r="O391" s="11"/>
      <c r="P391" s="11" t="s">
        <v>5934</v>
      </c>
      <c r="Q391" s="19"/>
      <c r="R391" s="19"/>
      <c r="S391" s="23" t="str">
        <f>HYPERLINK("https://www.google.com/maps/search/" &amp; Table24[[#This Row],[Tên hẻm]], "Xem trên Google Maps")</f>
        <v>Xem trên Google Maps</v>
      </c>
      <c r="T391" s="16" t="str">
        <f>"Hẻm "&amp;Table24[[#This Row],[Hẻm]]&amp;" "&amp;Table24[[#This Row],[Tuyến đường]]&amp;", Phường "&amp;Table24[[#This Row],[Phường]]&amp;", Quận "&amp;Table24[[#This Row],[Quận]]</f>
        <v>Hẻm Hẻm 17 Lê Duẩn  Kéo cáp nối 83 m số Trụ 1 Đường Nguyễn Du , Phường Bến Nghé , Quận Quận 1</v>
      </c>
      <c r="U391" s="36"/>
      <c r="V391" s="78" t="e">
        <f>HYPERLINK("https://www.google.com/maps/search/?api=1&amp;query=" &amp; _xlfn.ENCODEURL(Table24[[#This Row],[Tên hẻm]]), "Link Google Map")</f>
        <v>#VALUE!</v>
      </c>
    </row>
    <row r="392" spans="1:22" ht="47.25" hidden="1">
      <c r="A392" s="11">
        <v>413</v>
      </c>
      <c r="B392" s="16" t="s">
        <v>5935</v>
      </c>
      <c r="C392" s="16" t="s">
        <v>5936</v>
      </c>
      <c r="D392" s="11">
        <v>1</v>
      </c>
      <c r="E392" s="11" t="s">
        <v>5937</v>
      </c>
      <c r="F392" s="11" t="s">
        <v>5938</v>
      </c>
      <c r="G392" s="172" t="s">
        <v>4371</v>
      </c>
      <c r="H392" s="11"/>
      <c r="I392" s="11"/>
      <c r="J392" s="11" t="s">
        <v>5939</v>
      </c>
      <c r="K392" s="173" t="s">
        <v>5940</v>
      </c>
      <c r="L392" s="11" t="s">
        <v>5941</v>
      </c>
      <c r="M392" s="31" t="s">
        <v>5942</v>
      </c>
      <c r="N392" s="11"/>
      <c r="O392" s="11"/>
      <c r="P392" s="11" t="s">
        <v>5934</v>
      </c>
      <c r="Q392" s="19"/>
      <c r="R392" s="19"/>
      <c r="S392" s="23" t="str">
        <f>HYPERLINK("https://www.google.com/maps/search/" &amp; Table24[[#This Row],[Tên hẻm]], "Xem trên Google Maps")</f>
        <v>Xem trên Google Maps</v>
      </c>
      <c r="T392" s="16" t="str">
        <f>"Hẻm "&amp;Table24[[#This Row],[Hẻm]]&amp;" "&amp;Table24[[#This Row],[Tuyến đường]]&amp;", Phường "&amp;Table24[[#This Row],[Phường]]&amp;", Quận "&amp;Table24[[#This Row],[Quận]]</f>
        <v>Hẻm Hẻm 18B Nguyễn Thị Minh Khai  Kéo 51 cáp nối trụ đỡ số nhà 8 Nguyễn Thị Minh Khai , Phường ĐaKao , Quận 1</v>
      </c>
      <c r="U392" s="36"/>
      <c r="V392" s="78" t="e">
        <f>HYPERLINK("https://www.google.com/maps/search/?api=1&amp;query=" &amp; _xlfn.ENCODEURL(Table24[[#This Row],[Tên hẻm]]), "Link Google Map")</f>
        <v>#VALUE!</v>
      </c>
    </row>
    <row r="393" spans="1:22" ht="47.25" hidden="1">
      <c r="A393" s="11">
        <v>414</v>
      </c>
      <c r="B393" s="16" t="s">
        <v>5943</v>
      </c>
      <c r="C393" s="16" t="s">
        <v>5944</v>
      </c>
      <c r="D393" s="11">
        <v>1</v>
      </c>
      <c r="E393" s="11" t="s">
        <v>5928</v>
      </c>
      <c r="F393" s="11" t="s">
        <v>5945</v>
      </c>
      <c r="G393" s="172">
        <v>5</v>
      </c>
      <c r="H393" s="11"/>
      <c r="I393" s="11"/>
      <c r="J393" s="11" t="s">
        <v>5946</v>
      </c>
      <c r="K393" s="173" t="s">
        <v>5947</v>
      </c>
      <c r="L393" s="11" t="s">
        <v>5948</v>
      </c>
      <c r="M393" s="31" t="s">
        <v>5949</v>
      </c>
      <c r="N393" s="11"/>
      <c r="O393" s="11"/>
      <c r="P393" s="11" t="s">
        <v>5934</v>
      </c>
      <c r="Q393" s="19"/>
      <c r="R393" s="19"/>
      <c r="S393" s="23" t="str">
        <f>HYPERLINK("https://www.google.com/maps/search/" &amp; Table24[[#This Row],[Tên hẻm]], "Xem trên Google Maps")</f>
        <v>Xem trên Google Maps</v>
      </c>
      <c r="T393" s="16" t="str">
        <f>"Hẻm "&amp;Table24[[#This Row],[Hẻm]]&amp;" "&amp;Table24[[#This Row],[Tuyến đường]]&amp;", Phường "&amp;Table24[[#This Row],[Phường]]&amp;", Quận "&amp;Table24[[#This Row],[Quận]]</f>
        <v>Hẻm 8 Lê Thánh Tôn  Cáp nối 116m + 25 câp ngầm số Trụ 2 Đường Lê Thánh Tôn , Phường Bến Nghé , Quận 1</v>
      </c>
      <c r="U393" s="36"/>
      <c r="V393" s="78" t="e">
        <f>HYPERLINK("https://www.google.com/maps/search/?api=1&amp;query=" &amp; _xlfn.ENCODEURL(Table24[[#This Row],[Tên hẻm]]), "Link Google Map")</f>
        <v>#VALUE!</v>
      </c>
    </row>
    <row r="394" spans="1:22" ht="47.25" hidden="1">
      <c r="A394" s="11">
        <v>415</v>
      </c>
      <c r="B394" s="16" t="s">
        <v>5950</v>
      </c>
      <c r="C394" s="16" t="s">
        <v>5951</v>
      </c>
      <c r="D394" s="11">
        <v>1</v>
      </c>
      <c r="E394" s="11" t="s">
        <v>5928</v>
      </c>
      <c r="F394" s="11" t="s">
        <v>5952</v>
      </c>
      <c r="G394" s="172" t="s">
        <v>5953</v>
      </c>
      <c r="H394" s="11"/>
      <c r="I394" s="11"/>
      <c r="J394" s="11" t="s">
        <v>5954</v>
      </c>
      <c r="K394" s="173" t="s">
        <v>5955</v>
      </c>
      <c r="L394" s="11" t="s">
        <v>5956</v>
      </c>
      <c r="M394" s="31" t="s">
        <v>5957</v>
      </c>
      <c r="N394" s="11"/>
      <c r="O394" s="11"/>
      <c r="P394" s="11" t="s">
        <v>5934</v>
      </c>
      <c r="Q394" s="19"/>
      <c r="R394" s="19"/>
      <c r="S394" s="23" t="str">
        <f>HYPERLINK("https://www.google.com/maps/search/" &amp; Table24[[#This Row],[Tên hẻm]], "Xem trên Google Maps")</f>
        <v>Xem trên Google Maps</v>
      </c>
      <c r="T394" s="16" t="str">
        <f>"Hẻm "&amp;Table24[[#This Row],[Hẻm]]&amp;" "&amp;Table24[[#This Row],[Tuyến đường]]&amp;", Phường "&amp;Table24[[#This Row],[Phường]]&amp;", Quận "&amp;Table24[[#This Row],[Quận]]</f>
        <v>Hẻm 8 Thái Văn Lung  Kéo cáp 274m số Trụ 7 Đường Thái Văn Lung , Phường Bến Nghé , Quận 1</v>
      </c>
      <c r="U394" s="36"/>
      <c r="V394" s="78" t="e">
        <f>HYPERLINK("https://www.google.com/maps/search/?api=1&amp;query=" &amp; _xlfn.ENCODEURL(Table24[[#This Row],[Tên hẻm]]), "Link Google Map")</f>
        <v>#VALUE!</v>
      </c>
    </row>
    <row r="395" spans="1:22" ht="47.25" hidden="1">
      <c r="A395" s="11">
        <v>416</v>
      </c>
      <c r="B395" s="16" t="s">
        <v>5958</v>
      </c>
      <c r="C395" s="16" t="s">
        <v>5959</v>
      </c>
      <c r="D395" s="11">
        <v>1</v>
      </c>
      <c r="E395" s="11" t="s">
        <v>5928</v>
      </c>
      <c r="F395" s="11" t="s">
        <v>5960</v>
      </c>
      <c r="G395" s="172" t="s">
        <v>5961</v>
      </c>
      <c r="H395" s="11"/>
      <c r="I395" s="11"/>
      <c r="J395" s="11" t="s">
        <v>5962</v>
      </c>
      <c r="K395" s="173" t="s">
        <v>5963</v>
      </c>
      <c r="L395" s="11" t="s">
        <v>5964</v>
      </c>
      <c r="M395" s="31" t="s">
        <v>5965</v>
      </c>
      <c r="N395" s="11"/>
      <c r="O395" s="11"/>
      <c r="P395" s="11" t="s">
        <v>5934</v>
      </c>
      <c r="Q395" s="19"/>
      <c r="R395" s="19"/>
      <c r="S395" s="23" t="str">
        <f>HYPERLINK("https://www.google.com/maps/search/" &amp; Table24[[#This Row],[Tên hẻm]], "Xem trên Google Maps")</f>
        <v>Xem trên Google Maps</v>
      </c>
      <c r="T395" s="16" t="str">
        <f>"Hẻm "&amp;Table24[[#This Row],[Hẻm]]&amp;" "&amp;Table24[[#This Row],[Tuyến đường]]&amp;", Phường "&amp;Table24[[#This Row],[Phường]]&amp;", Quận "&amp;Table24[[#This Row],[Quận]]</f>
        <v>Hẻm 31 Hải Triều  Kéo cáp 84m số Trụ 3 Đường Hải Triều , Phường Bến Nghé , Quận 1</v>
      </c>
      <c r="U395" s="36"/>
      <c r="V395" s="78" t="e">
        <f>HYPERLINK("https://www.google.com/maps/search/?api=1&amp;query=" &amp; _xlfn.ENCODEURL(Table24[[#This Row],[Tên hẻm]]), "Link Google Map")</f>
        <v>#VALUE!</v>
      </c>
    </row>
    <row r="396" spans="1:22" ht="47.25" hidden="1">
      <c r="A396" s="11">
        <v>417</v>
      </c>
      <c r="B396" s="16" t="s">
        <v>5966</v>
      </c>
      <c r="C396" s="16" t="s">
        <v>5967</v>
      </c>
      <c r="D396" s="11">
        <v>1</v>
      </c>
      <c r="E396" s="11" t="s">
        <v>5928</v>
      </c>
      <c r="F396" s="11" t="s">
        <v>5968</v>
      </c>
      <c r="G396" s="172" t="s">
        <v>5953</v>
      </c>
      <c r="H396" s="11"/>
      <c r="I396" s="11"/>
      <c r="J396" s="11" t="s">
        <v>5969</v>
      </c>
      <c r="K396" s="173" t="s">
        <v>5969</v>
      </c>
      <c r="L396" s="11" t="s">
        <v>5970</v>
      </c>
      <c r="M396" s="31" t="s">
        <v>5971</v>
      </c>
      <c r="N396" s="11"/>
      <c r="O396" s="11"/>
      <c r="P396" s="11" t="s">
        <v>5934</v>
      </c>
      <c r="Q396" s="19"/>
      <c r="R396" s="19"/>
      <c r="S396" s="23" t="str">
        <f>HYPERLINK("https://www.google.com/maps/search/" &amp; Table24[[#This Row],[Tên hẻm]], "Xem trên Google Maps")</f>
        <v>Xem trên Google Maps</v>
      </c>
      <c r="T396" s="16" t="str">
        <f>"Hẻm "&amp;Table24[[#This Row],[Hẻm]]&amp;" "&amp;Table24[[#This Row],[Tuyến đường]]&amp;", Phường "&amp;Table24[[#This Row],[Phường]]&amp;", Quận "&amp;Table24[[#This Row],[Quận]]</f>
        <v>Hẻm Hẻm 24/22 Đông Du Kéo 23 cáp nối số Trụ 6 Đường Đông Du , Phường Bến Nghé , Quận 1</v>
      </c>
      <c r="U396" s="36"/>
      <c r="V396" s="78" t="e">
        <f>HYPERLINK("https://www.google.com/maps/search/?api=1&amp;query=" &amp; _xlfn.ENCODEURL(Table24[[#This Row],[Tên hẻm]]), "Link Google Map")</f>
        <v>#VALUE!</v>
      </c>
    </row>
    <row r="397" spans="1:22" ht="47.25" hidden="1">
      <c r="A397" s="11">
        <v>418</v>
      </c>
      <c r="B397" s="16" t="s">
        <v>5972</v>
      </c>
      <c r="C397" s="16" t="s">
        <v>5973</v>
      </c>
      <c r="D397" s="11">
        <v>1</v>
      </c>
      <c r="E397" s="11" t="s">
        <v>5974</v>
      </c>
      <c r="F397" s="11" t="s">
        <v>5975</v>
      </c>
      <c r="G397" s="172" t="s">
        <v>5961</v>
      </c>
      <c r="H397" s="11"/>
      <c r="I397" s="11"/>
      <c r="J397" s="11" t="s">
        <v>5976</v>
      </c>
      <c r="K397" s="173" t="s">
        <v>5977</v>
      </c>
      <c r="L397" s="11" t="s">
        <v>5978</v>
      </c>
      <c r="M397" s="31" t="s">
        <v>5979</v>
      </c>
      <c r="N397" s="11"/>
      <c r="O397" s="11"/>
      <c r="P397" s="11" t="s">
        <v>5934</v>
      </c>
      <c r="Q397" s="19"/>
      <c r="R397" s="19"/>
      <c r="S397" s="23" t="str">
        <f>HYPERLINK("https://www.google.com/maps/search/" &amp; Table24[[#This Row],[Tên hẻm]], "Xem trên Google Maps")</f>
        <v>Xem trên Google Maps</v>
      </c>
      <c r="T397" s="16" t="str">
        <f>"Hẻm "&amp;Table24[[#This Row],[Hẻm]]&amp;" "&amp;Table24[[#This Row],[Tuyến đường]]&amp;", Phường "&amp;Table24[[#This Row],[Phường]]&amp;", Quận "&amp;Table24[[#This Row],[Quận]]</f>
        <v>Hẻm Hẻm 35 Nguyễn Trung Trực  Kéo cáp 54m cáp nối số Trụ 2 Hẻm 35 Nguyễn Trung Trực , Phường Bến Thành , Quận 1</v>
      </c>
      <c r="U397" s="36"/>
      <c r="V397" s="78" t="e">
        <f>HYPERLINK("https://www.google.com/maps/search/?api=1&amp;query=" &amp; _xlfn.ENCODEURL(Table24[[#This Row],[Tên hẻm]]), "Link Google Map")</f>
        <v>#VALUE!</v>
      </c>
    </row>
    <row r="398" spans="1:22" ht="47.25" hidden="1">
      <c r="A398" s="11">
        <v>419</v>
      </c>
      <c r="B398" s="16">
        <v>190</v>
      </c>
      <c r="C398" s="16" t="s">
        <v>5208</v>
      </c>
      <c r="D398" s="11">
        <v>11</v>
      </c>
      <c r="E398" s="11">
        <v>10</v>
      </c>
      <c r="F398" s="11" t="s">
        <v>5980</v>
      </c>
      <c r="G398" s="172" t="s">
        <v>5872</v>
      </c>
      <c r="H398" s="11"/>
      <c r="I398" s="11"/>
      <c r="J398" s="11" t="s">
        <v>5208</v>
      </c>
      <c r="K398" s="173" t="s">
        <v>5981</v>
      </c>
      <c r="L398" s="11">
        <v>5</v>
      </c>
      <c r="M398" s="31" t="s">
        <v>5982</v>
      </c>
      <c r="N398" s="11"/>
      <c r="O398" s="11"/>
      <c r="P398" s="11" t="s">
        <v>5191</v>
      </c>
      <c r="Q398" s="19"/>
      <c r="R398" s="19"/>
      <c r="S398" s="23" t="str">
        <f>HYPERLINK("https://www.google.com/maps/search/" &amp; Table24[[#This Row],[Tên hẻm]], "Xem trên Google Maps")</f>
        <v>Xem trên Google Maps</v>
      </c>
      <c r="T398" s="16" t="str">
        <f>"Hẻm "&amp;Table24[[#This Row],[Hẻm]]&amp;" "&amp;Table24[[#This Row],[Tuyến đường]]&amp;", Phường "&amp;Table24[[#This Row],[Phường]]&amp;", Quận "&amp;Table24[[#This Row],[Quận]]</f>
        <v>Hẻm 190 Xóm Đất , Phường 10, Quận 11</v>
      </c>
      <c r="U398" s="36"/>
      <c r="V398" s="78" t="e">
        <f>HYPERLINK("https://www.google.com/maps/search/?api=1&amp;query=" &amp; _xlfn.ENCODEURL(Table24[[#This Row],[Tên hẻm]]), "Link Google Map")</f>
        <v>#VALUE!</v>
      </c>
    </row>
    <row r="399" spans="1:22" ht="47.25" hidden="1">
      <c r="A399" s="11">
        <v>420</v>
      </c>
      <c r="B399" s="16" t="s">
        <v>5983</v>
      </c>
      <c r="C399" s="16" t="s">
        <v>5984</v>
      </c>
      <c r="D399" s="11">
        <v>11</v>
      </c>
      <c r="E399" s="11">
        <v>1</v>
      </c>
      <c r="F399" s="11" t="s">
        <v>5984</v>
      </c>
      <c r="G399" s="172" t="s">
        <v>4840</v>
      </c>
      <c r="H399" s="11"/>
      <c r="I399" s="11"/>
      <c r="J399" s="11">
        <v>702</v>
      </c>
      <c r="K399" s="173" t="s">
        <v>5985</v>
      </c>
      <c r="L399" s="11">
        <v>3</v>
      </c>
      <c r="M399" s="31" t="s">
        <v>5986</v>
      </c>
      <c r="N399" s="11"/>
      <c r="O399" s="11"/>
      <c r="P399" s="11" t="s">
        <v>5191</v>
      </c>
      <c r="Q399" s="19"/>
      <c r="R399" s="19"/>
      <c r="S399" s="23" t="str">
        <f>HYPERLINK("https://www.google.com/maps/search/" &amp; Table24[[#This Row],[Tên hẻm]], "Xem trên Google Maps")</f>
        <v>Xem trên Google Maps</v>
      </c>
      <c r="T399" s="16" t="str">
        <f>"Hẻm "&amp;Table24[[#This Row],[Hẻm]]&amp;" "&amp;Table24[[#This Row],[Tuyến đường]]&amp;", Phường "&amp;Table24[[#This Row],[Phường]]&amp;", Quận "&amp;Table24[[#This Row],[Quận]]</f>
        <v>Hẻm 100A2 702 hồng Bàng , Phường 1, Quận 11</v>
      </c>
      <c r="U399" s="36"/>
      <c r="V399" s="78" t="e">
        <f>HYPERLINK("https://www.google.com/maps/search/?api=1&amp;query=" &amp; _xlfn.ENCODEURL(Table24[[#This Row],[Tên hẻm]]), "Link Google Map")</f>
        <v>#VALUE!</v>
      </c>
    </row>
    <row r="400" spans="1:22" ht="47.25" hidden="1">
      <c r="A400" s="11">
        <v>421</v>
      </c>
      <c r="B400" s="16" t="s">
        <v>5987</v>
      </c>
      <c r="C400" s="16" t="s">
        <v>5988</v>
      </c>
      <c r="D400" s="11">
        <v>8</v>
      </c>
      <c r="E400" s="11">
        <v>5</v>
      </c>
      <c r="F400" s="11" t="s">
        <v>5989</v>
      </c>
      <c r="G400" s="172" t="s">
        <v>5990</v>
      </c>
      <c r="H400" s="11"/>
      <c r="I400" s="11"/>
      <c r="J400" s="11" t="s">
        <v>5991</v>
      </c>
      <c r="K400" s="173" t="s">
        <v>5992</v>
      </c>
      <c r="L400" s="11">
        <v>6</v>
      </c>
      <c r="M400" s="31" t="s">
        <v>5993</v>
      </c>
      <c r="N400" s="11"/>
      <c r="O400" s="11"/>
      <c r="P400" s="11" t="s">
        <v>4861</v>
      </c>
      <c r="Q400" s="19"/>
      <c r="R400" s="19"/>
      <c r="S400" s="23" t="str">
        <f>HYPERLINK("https://www.google.com/maps/search/" &amp; Table24[[#This Row],[Tên hẻm]], "Xem trên Google Maps")</f>
        <v>Xem trên Google Maps</v>
      </c>
      <c r="T400" s="16" t="str">
        <f>"Hẻm "&amp;Table24[[#This Row],[Hẻm]]&amp;" "&amp;Table24[[#This Row],[Tuyến đường]]&amp;", Phường "&amp;Table24[[#This Row],[Phường]]&amp;", Quận "&amp;Table24[[#This Row],[Quận]]</f>
        <v>Hẻm Hẻm 85 Bùi Minh trực  Bùi Minh trực , Phường 5, Quận 8</v>
      </c>
      <c r="U400" s="36"/>
      <c r="V400" s="78" t="e">
        <f>HYPERLINK("https://www.google.com/maps/search/?api=1&amp;query=" &amp; _xlfn.ENCODEURL(Table24[[#This Row],[Tên hẻm]]), "Link Google Map")</f>
        <v>#VALUE!</v>
      </c>
    </row>
    <row r="401" spans="1:22" ht="47.25" hidden="1">
      <c r="A401" s="11">
        <v>422</v>
      </c>
      <c r="B401" s="16" t="s">
        <v>5994</v>
      </c>
      <c r="C401" s="16" t="s">
        <v>5988</v>
      </c>
      <c r="D401" s="11">
        <v>8</v>
      </c>
      <c r="E401" s="11">
        <v>5</v>
      </c>
      <c r="F401" s="11" t="s">
        <v>5995</v>
      </c>
      <c r="G401" s="172" t="s">
        <v>4772</v>
      </c>
      <c r="H401" s="11"/>
      <c r="I401" s="11"/>
      <c r="J401" s="11" t="s">
        <v>5996</v>
      </c>
      <c r="K401" s="173" t="s">
        <v>5997</v>
      </c>
      <c r="L401" s="11">
        <v>6</v>
      </c>
      <c r="M401" s="31" t="s">
        <v>5998</v>
      </c>
      <c r="N401" s="11"/>
      <c r="O401" s="11"/>
      <c r="P401" s="11" t="s">
        <v>4861</v>
      </c>
      <c r="Q401" s="19"/>
      <c r="R401" s="19"/>
      <c r="S401" s="23" t="str">
        <f>HYPERLINK("https://www.google.com/maps/search/" &amp; Table24[[#This Row],[Tên hẻm]], "Xem trên Google Maps")</f>
        <v>Xem trên Google Maps</v>
      </c>
      <c r="T401" s="16" t="str">
        <f>"Hẻm "&amp;Table24[[#This Row],[Hẻm]]&amp;" "&amp;Table24[[#This Row],[Tuyến đường]]&amp;", Phường "&amp;Table24[[#This Row],[Phường]]&amp;", Quận "&amp;Table24[[#This Row],[Quận]]</f>
        <v>Hẻm Hẻm 157 Bùi Minh trực  Bùi Minh trực , Phường 5, Quận 8</v>
      </c>
      <c r="U401" s="36"/>
      <c r="V401" s="78" t="e">
        <f>HYPERLINK("https://www.google.com/maps/search/?api=1&amp;query=" &amp; _xlfn.ENCODEURL(Table24[[#This Row],[Tên hẻm]]), "Link Google Map")</f>
        <v>#VALUE!</v>
      </c>
    </row>
    <row r="402" spans="1:22" ht="47.25" hidden="1">
      <c r="A402" s="11">
        <v>423</v>
      </c>
      <c r="B402" s="16" t="s">
        <v>5999</v>
      </c>
      <c r="C402" s="16" t="s">
        <v>6000</v>
      </c>
      <c r="D402" s="11">
        <v>8</v>
      </c>
      <c r="E402" s="11">
        <v>7</v>
      </c>
      <c r="F402" s="11" t="s">
        <v>6001</v>
      </c>
      <c r="G402" s="172" t="s">
        <v>4954</v>
      </c>
      <c r="H402" s="11"/>
      <c r="I402" s="11"/>
      <c r="J402" s="11" t="s">
        <v>6000</v>
      </c>
      <c r="K402" s="173" t="s">
        <v>5343</v>
      </c>
      <c r="L402" s="11">
        <v>11</v>
      </c>
      <c r="M402" s="31" t="s">
        <v>6002</v>
      </c>
      <c r="N402" s="11"/>
      <c r="O402" s="11"/>
      <c r="P402" s="11" t="s">
        <v>6003</v>
      </c>
      <c r="Q402" s="19"/>
      <c r="R402" s="19"/>
      <c r="S402" s="23" t="str">
        <f>HYPERLINK("https://www.google.com/maps/search/" &amp; Table24[[#This Row],[Tên hẻm]], "Xem trên Google Maps")</f>
        <v>Xem trên Google Maps</v>
      </c>
      <c r="T402" s="16" t="str">
        <f>"Hẻm "&amp;Table24[[#This Row],[Hẻm]]&amp;" "&amp;Table24[[#This Row],[Tuyến đường]]&amp;", Phường "&amp;Table24[[#This Row],[Phường]]&amp;", Quận "&amp;Table24[[#This Row],[Quận]]</f>
        <v>Hẻm 138 hoàng đạo thúy  Hoàng đạo thúy , Phường 7, Quận 8</v>
      </c>
      <c r="U402" s="36"/>
      <c r="V402" s="78" t="e">
        <f>HYPERLINK("https://www.google.com/maps/search/?api=1&amp;query=" &amp; _xlfn.ENCODEURL(Table24[[#This Row],[Tên hẻm]]), "Link Google Map")</f>
        <v>#VALUE!</v>
      </c>
    </row>
    <row r="403" spans="1:22" ht="47.25" hidden="1">
      <c r="A403" s="11">
        <v>424</v>
      </c>
      <c r="B403" s="16" t="s">
        <v>6004</v>
      </c>
      <c r="C403" s="16" t="s">
        <v>6005</v>
      </c>
      <c r="D403" s="11">
        <v>8</v>
      </c>
      <c r="E403" s="11">
        <v>7</v>
      </c>
      <c r="F403" s="11" t="s">
        <v>6005</v>
      </c>
      <c r="G403" s="172" t="s">
        <v>5961</v>
      </c>
      <c r="H403" s="11"/>
      <c r="I403" s="11"/>
      <c r="J403" s="11" t="s">
        <v>6006</v>
      </c>
      <c r="K403" s="173" t="s">
        <v>6007</v>
      </c>
      <c r="L403" s="11">
        <v>18</v>
      </c>
      <c r="M403" s="31" t="s">
        <v>6008</v>
      </c>
      <c r="N403" s="11"/>
      <c r="O403" s="11"/>
      <c r="P403" s="11" t="s">
        <v>6003</v>
      </c>
      <c r="Q403" s="19"/>
      <c r="R403" s="19"/>
      <c r="S403" s="23" t="str">
        <f>HYPERLINK("https://www.google.com/maps/search/" &amp; Table24[[#This Row],[Tên hẻm]], "Xem trên Google Maps")</f>
        <v>Xem trên Google Maps</v>
      </c>
      <c r="T403" s="16" t="str">
        <f>"Hẻm "&amp;Table24[[#This Row],[Hẻm]]&amp;" "&amp;Table24[[#This Row],[Tuyến đường]]&amp;", Phường "&amp;Table24[[#This Row],[Phường]]&amp;", Quận "&amp;Table24[[#This Row],[Quận]]</f>
        <v>Hẻm Đs 9,8,2,A2 khu tái định cư bến lức  Khu tái Định cư bến lức , Phường 7, Quận 8</v>
      </c>
      <c r="U403" s="36"/>
      <c r="V403" s="78" t="e">
        <f>HYPERLINK("https://www.google.com/maps/search/?api=1&amp;query=" &amp; _xlfn.ENCODEURL(Table24[[#This Row],[Tên hẻm]]), "Link Google Map")</f>
        <v>#VALUE!</v>
      </c>
    </row>
    <row r="404" spans="1:22" ht="47.25" hidden="1">
      <c r="A404" s="11">
        <v>425</v>
      </c>
      <c r="B404" s="16">
        <v>2385</v>
      </c>
      <c r="C404" s="16" t="s">
        <v>4796</v>
      </c>
      <c r="D404" s="11">
        <v>8</v>
      </c>
      <c r="E404" s="11">
        <v>6</v>
      </c>
      <c r="F404" s="11" t="s">
        <v>2629</v>
      </c>
      <c r="G404" s="172" t="s">
        <v>6009</v>
      </c>
      <c r="H404" s="11"/>
      <c r="I404" s="11"/>
      <c r="J404" s="11" t="s">
        <v>6010</v>
      </c>
      <c r="K404" s="173" t="s">
        <v>6011</v>
      </c>
      <c r="L404" s="11">
        <v>6</v>
      </c>
      <c r="M404" s="31" t="s">
        <v>6012</v>
      </c>
      <c r="N404" s="11"/>
      <c r="O404" s="11"/>
      <c r="P404" s="11" t="s">
        <v>4544</v>
      </c>
      <c r="Q404" s="19"/>
      <c r="R404" s="19"/>
      <c r="S404" s="23" t="str">
        <f>HYPERLINK("https://www.google.com/maps/search/" &amp; Table24[[#This Row],[Tên hẻm]], "Xem trên Google Maps")</f>
        <v>Xem trên Google Maps</v>
      </c>
      <c r="T404" s="16" t="str">
        <f>"Hẻm "&amp;Table24[[#This Row],[Hẻm]]&amp;" "&amp;Table24[[#This Row],[Tuyến đường]]&amp;", Phường "&amp;Table24[[#This Row],[Phường]]&amp;", Quận "&amp;Table24[[#This Row],[Quận]]</f>
        <v>Hẻm 2385 Phạm Thế Hiển , Phường 6, Quận 8</v>
      </c>
      <c r="U404" s="36"/>
      <c r="V404" s="78" t="e">
        <f>HYPERLINK("https://www.google.com/maps/search/?api=1&amp;query=" &amp; _xlfn.ENCODEURL(Table24[[#This Row],[Tên hẻm]]), "Link Google Map")</f>
        <v>#VALUE!</v>
      </c>
    </row>
    <row r="405" spans="1:22" ht="47.25" hidden="1">
      <c r="A405" s="11">
        <v>426</v>
      </c>
      <c r="B405" s="16" t="s">
        <v>6013</v>
      </c>
      <c r="C405" s="16" t="s">
        <v>6014</v>
      </c>
      <c r="D405" s="11">
        <v>8</v>
      </c>
      <c r="E405" s="11">
        <v>16</v>
      </c>
      <c r="F405" s="11" t="s">
        <v>1915</v>
      </c>
      <c r="G405" s="172">
        <v>4</v>
      </c>
      <c r="H405" s="11"/>
      <c r="I405" s="11"/>
      <c r="J405" s="11" t="s">
        <v>6015</v>
      </c>
      <c r="K405" s="173" t="s">
        <v>6016</v>
      </c>
      <c r="L405" s="11">
        <v>4</v>
      </c>
      <c r="M405" s="31" t="s">
        <v>6017</v>
      </c>
      <c r="N405" s="11"/>
      <c r="O405" s="11"/>
      <c r="P405" s="11" t="s">
        <v>4544</v>
      </c>
      <c r="Q405" s="19"/>
      <c r="R405" s="19"/>
      <c r="S405" s="23" t="str">
        <f>HYPERLINK("https://www.google.com/maps/search/" &amp; Table24[[#This Row],[Tên hẻm]], "Xem trên Google Maps")</f>
        <v>Xem trên Google Maps</v>
      </c>
      <c r="T405" s="16" t="str">
        <f>"Hẻm "&amp;Table24[[#This Row],[Hẻm]]&amp;" "&amp;Table24[[#This Row],[Tuyến đường]]&amp;", Phường "&amp;Table24[[#This Row],[Phường]]&amp;", Quận "&amp;Table24[[#This Row],[Quận]]</f>
        <v>Hẻm 79/68 Phú Định , Phường 16, Quận 8</v>
      </c>
      <c r="U405" s="36"/>
      <c r="V405" s="78" t="e">
        <f>HYPERLINK("https://www.google.com/maps/search/?api=1&amp;query=" &amp; _xlfn.ENCODEURL(Table24[[#This Row],[Tên hẻm]]), "Link Google Map")</f>
        <v>#VALUE!</v>
      </c>
    </row>
    <row r="406" spans="1:22" ht="47.25" hidden="1">
      <c r="A406" s="11">
        <v>427</v>
      </c>
      <c r="B406" s="16">
        <v>122</v>
      </c>
      <c r="C406" s="16" t="s">
        <v>6014</v>
      </c>
      <c r="D406" s="11">
        <v>8</v>
      </c>
      <c r="E406" s="11">
        <v>16</v>
      </c>
      <c r="F406" s="11" t="s">
        <v>1915</v>
      </c>
      <c r="G406" s="172" t="s">
        <v>6018</v>
      </c>
      <c r="H406" s="11"/>
      <c r="I406" s="11"/>
      <c r="J406" s="11" t="s">
        <v>6019</v>
      </c>
      <c r="K406" s="173" t="s">
        <v>6020</v>
      </c>
      <c r="L406" s="11">
        <v>8</v>
      </c>
      <c r="M406" s="31" t="s">
        <v>6021</v>
      </c>
      <c r="N406" s="11"/>
      <c r="O406" s="11"/>
      <c r="P406" s="11" t="s">
        <v>4544</v>
      </c>
      <c r="Q406" s="19"/>
      <c r="R406" s="19"/>
      <c r="S406" s="23" t="str">
        <f>HYPERLINK("https://www.google.com/maps/search/" &amp; Table24[[#This Row],[Tên hẻm]], "Xem trên Google Maps")</f>
        <v>Xem trên Google Maps</v>
      </c>
      <c r="T406" s="16" t="str">
        <f>"Hẻm "&amp;Table24[[#This Row],[Hẻm]]&amp;" "&amp;Table24[[#This Row],[Tuyến đường]]&amp;", Phường "&amp;Table24[[#This Row],[Phường]]&amp;", Quận "&amp;Table24[[#This Row],[Quận]]</f>
        <v>Hẻm 122 Phú Định , Phường 16, Quận 8</v>
      </c>
      <c r="U406" s="36"/>
      <c r="V406" s="78" t="e">
        <f>HYPERLINK("https://www.google.com/maps/search/?api=1&amp;query=" &amp; _xlfn.ENCODEURL(Table24[[#This Row],[Tên hẻm]]), "Link Google Map")</f>
        <v>#VALUE!</v>
      </c>
    </row>
    <row r="407" spans="1:22" ht="47.25" hidden="1">
      <c r="A407" s="11">
        <v>428</v>
      </c>
      <c r="B407" s="16">
        <v>242</v>
      </c>
      <c r="C407" s="16" t="s">
        <v>5166</v>
      </c>
      <c r="D407" s="11">
        <v>8</v>
      </c>
      <c r="E407" s="11">
        <v>16</v>
      </c>
      <c r="F407" s="11" t="s">
        <v>6022</v>
      </c>
      <c r="G407" s="172" t="s">
        <v>6023</v>
      </c>
      <c r="H407" s="11"/>
      <c r="I407" s="11"/>
      <c r="J407" s="11" t="s">
        <v>5137</v>
      </c>
      <c r="K407" s="173" t="s">
        <v>6024</v>
      </c>
      <c r="L407" s="11">
        <v>22</v>
      </c>
      <c r="M407" s="31" t="s">
        <v>6025</v>
      </c>
      <c r="N407" s="11"/>
      <c r="O407" s="11"/>
      <c r="P407" s="11" t="s">
        <v>4544</v>
      </c>
      <c r="Q407" s="19"/>
      <c r="R407" s="19"/>
      <c r="S407" s="23" t="str">
        <f>HYPERLINK("https://www.google.com/maps/search/" &amp; Table24[[#This Row],[Tên hẻm]], "Xem trên Google Maps")</f>
        <v>Xem trên Google Maps</v>
      </c>
      <c r="T407" s="16" t="str">
        <f>"Hẻm "&amp;Table24[[#This Row],[Hẻm]]&amp;" "&amp;Table24[[#This Row],[Tuyến đường]]&amp;", Phường "&amp;Table24[[#This Row],[Phường]]&amp;", Quận "&amp;Table24[[#This Row],[Quận]]</f>
        <v>Hẻm 242 An Dương Vương , Phường 16, Quận 8</v>
      </c>
      <c r="U407" s="36"/>
      <c r="V407" s="78" t="e">
        <f>HYPERLINK("https://www.google.com/maps/search/?api=1&amp;query=" &amp; _xlfn.ENCODEURL(Table24[[#This Row],[Tên hẻm]]), "Link Google Map")</f>
        <v>#VALUE!</v>
      </c>
    </row>
    <row r="408" spans="1:22" ht="47.25" hidden="1">
      <c r="A408" s="11">
        <v>429</v>
      </c>
      <c r="B408" s="16">
        <v>204</v>
      </c>
      <c r="C408" s="16" t="s">
        <v>5007</v>
      </c>
      <c r="D408" s="11">
        <v>5</v>
      </c>
      <c r="E408" s="11">
        <v>1</v>
      </c>
      <c r="F408" s="11" t="s">
        <v>6026</v>
      </c>
      <c r="G408" s="172">
        <v>4</v>
      </c>
      <c r="H408" s="11"/>
      <c r="I408" s="11"/>
      <c r="J408" s="11" t="s">
        <v>5137</v>
      </c>
      <c r="K408" s="173" t="s">
        <v>6027</v>
      </c>
      <c r="L408" s="11">
        <v>5</v>
      </c>
      <c r="M408" s="31" t="s">
        <v>6028</v>
      </c>
      <c r="N408" s="11"/>
      <c r="O408" s="11"/>
      <c r="P408" s="11" t="s">
        <v>4544</v>
      </c>
      <c r="Q408" s="19"/>
      <c r="R408" s="19"/>
      <c r="S408" s="23" t="str">
        <f>HYPERLINK("https://www.google.com/maps/search/" &amp; Table24[[#This Row],[Tên hẻm]], "Xem trên Google Maps")</f>
        <v>Xem trên Google Maps</v>
      </c>
      <c r="T408" s="16" t="str">
        <f>"Hẻm "&amp;Table24[[#This Row],[Hẻm]]&amp;" "&amp;Table24[[#This Row],[Tuyến đường]]&amp;", Phường "&amp;Table24[[#This Row],[Phường]]&amp;", Quận "&amp;Table24[[#This Row],[Quận]]</f>
        <v>Hẻm 204 Cao Đạt , Phường 1, Quận 5</v>
      </c>
      <c r="U408" s="36"/>
      <c r="V408" s="78" t="e">
        <f>HYPERLINK("https://www.google.com/maps/search/?api=1&amp;query=" &amp; _xlfn.ENCODEURL(Table24[[#This Row],[Tên hẻm]]), "Link Google Map")</f>
        <v>#VALUE!</v>
      </c>
    </row>
    <row r="409" spans="1:22" ht="47.25" hidden="1">
      <c r="A409" s="11">
        <v>430</v>
      </c>
      <c r="B409" s="16">
        <v>188</v>
      </c>
      <c r="C409" s="16" t="s">
        <v>5007</v>
      </c>
      <c r="D409" s="11">
        <v>5</v>
      </c>
      <c r="E409" s="11">
        <v>1</v>
      </c>
      <c r="F409" s="11" t="s">
        <v>6026</v>
      </c>
      <c r="G409" s="172">
        <v>4</v>
      </c>
      <c r="H409" s="11"/>
      <c r="I409" s="11"/>
      <c r="J409" s="11" t="s">
        <v>5137</v>
      </c>
      <c r="K409" s="173" t="s">
        <v>6029</v>
      </c>
      <c r="L409" s="11">
        <v>3</v>
      </c>
      <c r="M409" s="31" t="s">
        <v>6030</v>
      </c>
      <c r="N409" s="11"/>
      <c r="O409" s="11"/>
      <c r="P409" s="11" t="s">
        <v>4544</v>
      </c>
      <c r="Q409" s="19"/>
      <c r="R409" s="19"/>
      <c r="S409" s="23" t="str">
        <f>HYPERLINK("https://www.google.com/maps/search/" &amp; Table24[[#This Row],[Tên hẻm]], "Xem trên Google Maps")</f>
        <v>Xem trên Google Maps</v>
      </c>
      <c r="T409" s="16" t="str">
        <f>"Hẻm "&amp;Table24[[#This Row],[Hẻm]]&amp;" "&amp;Table24[[#This Row],[Tuyến đường]]&amp;", Phường "&amp;Table24[[#This Row],[Phường]]&amp;", Quận "&amp;Table24[[#This Row],[Quận]]</f>
        <v>Hẻm 188 Cao Đạt , Phường 1, Quận 5</v>
      </c>
      <c r="U409" s="36"/>
      <c r="V409" s="78" t="e">
        <f>HYPERLINK("https://www.google.com/maps/search/?api=1&amp;query=" &amp; _xlfn.ENCODEURL(Table24[[#This Row],[Tên hẻm]]), "Link Google Map")</f>
        <v>#VALUE!</v>
      </c>
    </row>
    <row r="410" spans="1:22" ht="47.25" hidden="1">
      <c r="A410" s="11">
        <v>431</v>
      </c>
      <c r="B410" s="16" t="s">
        <v>6031</v>
      </c>
      <c r="C410" s="16" t="s">
        <v>4972</v>
      </c>
      <c r="D410" s="11">
        <v>5</v>
      </c>
      <c r="E410" s="11">
        <v>2</v>
      </c>
      <c r="F410" s="11" t="s">
        <v>6032</v>
      </c>
      <c r="G410" s="172" t="s">
        <v>6018</v>
      </c>
      <c r="H410" s="11"/>
      <c r="I410" s="11"/>
      <c r="J410" s="11" t="s">
        <v>5137</v>
      </c>
      <c r="K410" s="173" t="s">
        <v>6033</v>
      </c>
      <c r="L410" s="11">
        <v>4</v>
      </c>
      <c r="M410" s="31" t="s">
        <v>6034</v>
      </c>
      <c r="N410" s="11"/>
      <c r="O410" s="11"/>
      <c r="P410" s="11" t="s">
        <v>4544</v>
      </c>
      <c r="Q410" s="19"/>
      <c r="R410" s="19"/>
      <c r="S410" s="23" t="str">
        <f>HYPERLINK("https://www.google.com/maps/search/" &amp; Table24[[#This Row],[Tên hẻm]], "Xem trên Google Maps")</f>
        <v>Xem trên Google Maps</v>
      </c>
      <c r="T410" s="16" t="str">
        <f>"Hẻm "&amp;Table24[[#This Row],[Hẻm]]&amp;" "&amp;Table24[[#This Row],[Tuyến đường]]&amp;", Phường "&amp;Table24[[#This Row],[Phường]]&amp;", Quận "&amp;Table24[[#This Row],[Quận]]</f>
        <v>Hẻm 119+119/19 Nguyễn Văn cừ , Phường 2, Quận 5</v>
      </c>
      <c r="U410" s="36"/>
      <c r="V410" s="78" t="e">
        <f>HYPERLINK("https://www.google.com/maps/search/?api=1&amp;query=" &amp; _xlfn.ENCODEURL(Table24[[#This Row],[Tên hẻm]]), "Link Google Map")</f>
        <v>#VALUE!</v>
      </c>
    </row>
    <row r="411" spans="1:22" ht="47.25" hidden="1">
      <c r="A411" s="11">
        <v>432</v>
      </c>
      <c r="B411" s="16">
        <v>175</v>
      </c>
      <c r="C411" s="16" t="s">
        <v>6035</v>
      </c>
      <c r="D411" s="11">
        <v>5</v>
      </c>
      <c r="E411" s="11">
        <v>2</v>
      </c>
      <c r="F411" s="11" t="s">
        <v>1457</v>
      </c>
      <c r="G411" s="172">
        <v>3</v>
      </c>
      <c r="H411" s="11"/>
      <c r="I411" s="11"/>
      <c r="J411" s="11" t="s">
        <v>5137</v>
      </c>
      <c r="K411" s="173" t="s">
        <v>6036</v>
      </c>
      <c r="L411" s="11">
        <v>4</v>
      </c>
      <c r="M411" s="31" t="s">
        <v>6037</v>
      </c>
      <c r="N411" s="11"/>
      <c r="O411" s="11"/>
      <c r="P411" s="11" t="s">
        <v>4544</v>
      </c>
      <c r="Q411" s="19"/>
      <c r="R411" s="19"/>
      <c r="S411" s="23" t="str">
        <f>HYPERLINK("https://www.google.com/maps/search/" &amp; Table24[[#This Row],[Tên hẻm]], "Xem trên Google Maps")</f>
        <v>Xem trên Google Maps</v>
      </c>
      <c r="T411" s="16" t="str">
        <f>"Hẻm "&amp;Table24[[#This Row],[Hẻm]]&amp;" "&amp;Table24[[#This Row],[Tuyến đường]]&amp;", Phường "&amp;Table24[[#This Row],[Phường]]&amp;", Quận "&amp;Table24[[#This Row],[Quận]]</f>
        <v>Hẻm 175 Nguyễn Biểu , Phường 2, Quận 5</v>
      </c>
      <c r="U411" s="36"/>
      <c r="V411" s="78" t="e">
        <f>HYPERLINK("https://www.google.com/maps/search/?api=1&amp;query=" &amp; _xlfn.ENCODEURL(Table24[[#This Row],[Tên hẻm]]), "Link Google Map")</f>
        <v>#VALUE!</v>
      </c>
    </row>
    <row r="412" spans="1:22" ht="47.25" hidden="1">
      <c r="A412" s="11">
        <v>433</v>
      </c>
      <c r="B412" s="16">
        <v>120</v>
      </c>
      <c r="C412" s="16" t="s">
        <v>5017</v>
      </c>
      <c r="D412" s="11">
        <v>5</v>
      </c>
      <c r="E412" s="11">
        <v>2</v>
      </c>
      <c r="F412" s="11" t="s">
        <v>6038</v>
      </c>
      <c r="G412" s="172" t="s">
        <v>6039</v>
      </c>
      <c r="H412" s="11"/>
      <c r="I412" s="11"/>
      <c r="J412" s="11" t="s">
        <v>5137</v>
      </c>
      <c r="K412" s="173" t="s">
        <v>6040</v>
      </c>
      <c r="L412" s="11">
        <v>6</v>
      </c>
      <c r="M412" s="31" t="s">
        <v>6041</v>
      </c>
      <c r="N412" s="11"/>
      <c r="O412" s="11"/>
      <c r="P412" s="11" t="s">
        <v>4544</v>
      </c>
      <c r="Q412" s="19"/>
      <c r="R412" s="19"/>
      <c r="S412" s="23" t="str">
        <f>HYPERLINK("https://www.google.com/maps/search/" &amp; Table24[[#This Row],[Tên hẻm]], "Xem trên Google Maps")</f>
        <v>Xem trên Google Maps</v>
      </c>
      <c r="T412" s="16" t="str">
        <f>"Hẻm "&amp;Table24[[#This Row],[Hẻm]]&amp;" "&amp;Table24[[#This Row],[Tuyến đường]]&amp;", Phường "&amp;Table24[[#This Row],[Phường]]&amp;", Quận "&amp;Table24[[#This Row],[Quận]]</f>
        <v>Hẻm 120 Trần Bình Trọng , Phường 2, Quận 5</v>
      </c>
      <c r="U412" s="36"/>
      <c r="V412" s="78" t="e">
        <f>HYPERLINK("https://www.google.com/maps/search/?api=1&amp;query=" &amp; _xlfn.ENCODEURL(Table24[[#This Row],[Tên hẻm]]), "Link Google Map")</f>
        <v>#VALUE!</v>
      </c>
    </row>
    <row r="413" spans="1:22" ht="47.25" hidden="1">
      <c r="A413" s="11">
        <v>434</v>
      </c>
      <c r="B413" s="16" t="s">
        <v>6042</v>
      </c>
      <c r="C413" s="16" t="s">
        <v>6043</v>
      </c>
      <c r="D413" s="11">
        <v>5</v>
      </c>
      <c r="E413" s="11">
        <v>12</v>
      </c>
      <c r="F413" s="11" t="s">
        <v>1346</v>
      </c>
      <c r="G413" s="172" t="s">
        <v>4892</v>
      </c>
      <c r="H413" s="11"/>
      <c r="I413" s="11"/>
      <c r="J413" s="11" t="s">
        <v>6044</v>
      </c>
      <c r="K413" s="173" t="s">
        <v>6045</v>
      </c>
      <c r="L413" s="11">
        <v>4</v>
      </c>
      <c r="M413" s="31" t="s">
        <v>6046</v>
      </c>
      <c r="N413" s="11"/>
      <c r="O413" s="11"/>
      <c r="P413" s="11" t="s">
        <v>4861</v>
      </c>
      <c r="Q413" s="19"/>
      <c r="R413" s="19"/>
      <c r="S413" s="23" t="str">
        <f>HYPERLINK("https://www.google.com/maps/search/" &amp; Table24[[#This Row],[Tên hẻm]], "Xem trên Google Maps")</f>
        <v>Xem trên Google Maps</v>
      </c>
      <c r="T413" s="16" t="str">
        <f>"Hẻm "&amp;Table24[[#This Row],[Hẻm]]&amp;" "&amp;Table24[[#This Row],[Tuyến đường]]&amp;", Phường "&amp;Table24[[#This Row],[Phường]]&amp;", Quận "&amp;Table24[[#This Row],[Quận]]</f>
        <v>Hẻm Hẻm 277 Nguyễn Chí Thanh  Nguyễn Chí Thanh , Phường 12, Quận 5</v>
      </c>
      <c r="U413" s="36"/>
      <c r="V413" s="78" t="e">
        <f>HYPERLINK("https://www.google.com/maps/search/?api=1&amp;query=" &amp; _xlfn.ENCODEURL(Table24[[#This Row],[Tên hẻm]]), "Link Google Map")</f>
        <v>#VALUE!</v>
      </c>
    </row>
    <row r="414" spans="1:22" ht="47.25" hidden="1">
      <c r="A414" s="11">
        <v>435</v>
      </c>
      <c r="B414" s="16" t="s">
        <v>6047</v>
      </c>
      <c r="C414" s="16" t="s">
        <v>5836</v>
      </c>
      <c r="D414" s="11">
        <v>5</v>
      </c>
      <c r="E414" s="11">
        <v>12</v>
      </c>
      <c r="F414" s="11" t="s">
        <v>6048</v>
      </c>
      <c r="G414" s="172" t="s">
        <v>4772</v>
      </c>
      <c r="H414" s="11"/>
      <c r="I414" s="11"/>
      <c r="J414" s="11" t="s">
        <v>6049</v>
      </c>
      <c r="K414" s="173" t="s">
        <v>6050</v>
      </c>
      <c r="L414" s="11">
        <v>3</v>
      </c>
      <c r="M414" s="31" t="s">
        <v>6051</v>
      </c>
      <c r="N414" s="11"/>
      <c r="O414" s="11"/>
      <c r="P414" s="11" t="s">
        <v>4861</v>
      </c>
      <c r="Q414" s="19"/>
      <c r="R414" s="19"/>
      <c r="S414" s="23" t="str">
        <f>HYPERLINK("https://www.google.com/maps/search/" &amp; Table24[[#This Row],[Tên hẻm]], "Xem trên Google Maps")</f>
        <v>Xem trên Google Maps</v>
      </c>
      <c r="T414" s="16" t="str">
        <f>"Hẻm "&amp;Table24[[#This Row],[Hẻm]]&amp;" "&amp;Table24[[#This Row],[Tuyến đường]]&amp;", Phường "&amp;Table24[[#This Row],[Phường]]&amp;", Quận "&amp;Table24[[#This Row],[Quận]]</f>
        <v>Hẻm Hẻm 42 Phó Cơ Điều+ hẻm 59 Thuận Kiều  Phó Cơ Điều , Phường 12, Quận 5</v>
      </c>
      <c r="U414" s="36"/>
      <c r="V414" s="78" t="e">
        <f>HYPERLINK("https://www.google.com/maps/search/?api=1&amp;query=" &amp; _xlfn.ENCODEURL(Table24[[#This Row],[Tên hẻm]]), "Link Google Map")</f>
        <v>#VALUE!</v>
      </c>
    </row>
    <row r="415" spans="1:22" ht="47.25" hidden="1">
      <c r="A415" s="11">
        <v>436</v>
      </c>
      <c r="B415" s="16" t="s">
        <v>6052</v>
      </c>
      <c r="C415" s="16" t="s">
        <v>5075</v>
      </c>
      <c r="D415" s="11">
        <v>5</v>
      </c>
      <c r="E415" s="11">
        <v>12</v>
      </c>
      <c r="F415" s="11" t="s">
        <v>5075</v>
      </c>
      <c r="G415" s="172" t="s">
        <v>4892</v>
      </c>
      <c r="H415" s="11"/>
      <c r="I415" s="11"/>
      <c r="J415" s="11" t="s">
        <v>6053</v>
      </c>
      <c r="K415" s="173" t="s">
        <v>6054</v>
      </c>
      <c r="L415" s="11">
        <v>2</v>
      </c>
      <c r="M415" s="31" t="s">
        <v>6055</v>
      </c>
      <c r="N415" s="11"/>
      <c r="O415" s="11"/>
      <c r="P415" s="11" t="s">
        <v>4861</v>
      </c>
      <c r="Q415" s="19"/>
      <c r="R415" s="19"/>
      <c r="S415" s="23" t="str">
        <f>HYPERLINK("https://www.google.com/maps/search/" &amp; Table24[[#This Row],[Tên hẻm]], "Xem trên Google Maps")</f>
        <v>Xem trên Google Maps</v>
      </c>
      <c r="T415" s="16" t="str">
        <f>"Hẻm "&amp;Table24[[#This Row],[Hẻm]]&amp;" "&amp;Table24[[#This Row],[Tuyến đường]]&amp;", Phường "&amp;Table24[[#This Row],[Phường]]&amp;", Quận "&amp;Table24[[#This Row],[Quận]]</f>
        <v>Hẻm Hẻm 33 Hà Tôn Quyền  Hà Tôn Quyền , Phường 12, Quận 5</v>
      </c>
      <c r="U415" s="36"/>
      <c r="V415" s="78" t="e">
        <f>HYPERLINK("https://www.google.com/maps/search/?api=1&amp;query=" &amp; _xlfn.ENCODEURL(Table24[[#This Row],[Tên hẻm]]), "Link Google Map")</f>
        <v>#VALUE!</v>
      </c>
    </row>
    <row r="416" spans="1:22" ht="47.25" hidden="1">
      <c r="A416" s="11">
        <v>437</v>
      </c>
      <c r="B416" s="16" t="s">
        <v>6056</v>
      </c>
      <c r="C416" s="16" t="s">
        <v>6057</v>
      </c>
      <c r="D416" s="11">
        <v>5</v>
      </c>
      <c r="E416" s="11">
        <v>12</v>
      </c>
      <c r="F416" s="11" t="s">
        <v>6058</v>
      </c>
      <c r="G416" s="172" t="s">
        <v>6059</v>
      </c>
      <c r="H416" s="11"/>
      <c r="I416" s="11"/>
      <c r="J416" s="11" t="s">
        <v>6060</v>
      </c>
      <c r="K416" s="173" t="s">
        <v>6061</v>
      </c>
      <c r="L416" s="11">
        <v>3</v>
      </c>
      <c r="M416" s="31" t="s">
        <v>6062</v>
      </c>
      <c r="N416" s="11"/>
      <c r="O416" s="11"/>
      <c r="P416" s="11" t="s">
        <v>4861</v>
      </c>
      <c r="Q416" s="19"/>
      <c r="R416" s="19"/>
      <c r="S416" s="23" t="str">
        <f>HYPERLINK("https://www.google.com/maps/search/" &amp; Table24[[#This Row],[Tên hẻm]], "Xem trên Google Maps")</f>
        <v>Xem trên Google Maps</v>
      </c>
      <c r="T416" s="16" t="str">
        <f>"Hẻm "&amp;Table24[[#This Row],[Hẻm]]&amp;" "&amp;Table24[[#This Row],[Tuyến đường]]&amp;", Phường "&amp;Table24[[#This Row],[Phường]]&amp;", Quận "&amp;Table24[[#This Row],[Quận]]</f>
        <v>Hẻm Hẻm 117 Đổ Ngọc Thạch  Đổ Ngọc Thạch , Phường 12, Quận 5</v>
      </c>
      <c r="U416" s="36"/>
      <c r="V416" s="78" t="e">
        <f>HYPERLINK("https://www.google.com/maps/search/?api=1&amp;query=" &amp; _xlfn.ENCODEURL(Table24[[#This Row],[Tên hẻm]]), "Link Google Map")</f>
        <v>#VALUE!</v>
      </c>
    </row>
    <row r="417" spans="1:22" ht="47.25" hidden="1">
      <c r="A417" s="11">
        <v>438</v>
      </c>
      <c r="B417" s="16" t="s">
        <v>6063</v>
      </c>
      <c r="C417" s="16" t="s">
        <v>6058</v>
      </c>
      <c r="D417" s="11">
        <v>5</v>
      </c>
      <c r="E417" s="11">
        <v>12</v>
      </c>
      <c r="F417" s="11" t="s">
        <v>5075</v>
      </c>
      <c r="G417" s="172" t="s">
        <v>6059</v>
      </c>
      <c r="H417" s="11"/>
      <c r="I417" s="11"/>
      <c r="J417" s="11" t="s">
        <v>6064</v>
      </c>
      <c r="K417" s="173" t="s">
        <v>6065</v>
      </c>
      <c r="L417" s="11">
        <v>3</v>
      </c>
      <c r="M417" s="31" t="s">
        <v>6066</v>
      </c>
      <c r="N417" s="11"/>
      <c r="O417" s="11"/>
      <c r="P417" s="11" t="s">
        <v>4861</v>
      </c>
      <c r="Q417" s="19"/>
      <c r="R417" s="19"/>
      <c r="S417" s="23" t="str">
        <f>HYPERLINK("https://www.google.com/maps/search/" &amp; Table24[[#This Row],[Tên hẻm]], "Xem trên Google Maps")</f>
        <v>Xem trên Google Maps</v>
      </c>
      <c r="T417" s="16" t="str">
        <f>"Hẻm "&amp;Table24[[#This Row],[Hẻm]]&amp;" "&amp;Table24[[#This Row],[Tuyến đường]]&amp;", Phường "&amp;Table24[[#This Row],[Phường]]&amp;", Quận "&amp;Table24[[#This Row],[Quận]]</f>
        <v>Hẻm Hẻm 168 Tân Thành  Tân Thành , Phường 12, Quận 5</v>
      </c>
      <c r="U417" s="36"/>
      <c r="V417" s="78" t="e">
        <f>HYPERLINK("https://www.google.com/maps/search/?api=1&amp;query=" &amp; _xlfn.ENCODEURL(Table24[[#This Row],[Tên hẻm]]), "Link Google Map")</f>
        <v>#VALUE!</v>
      </c>
    </row>
    <row r="418" spans="1:22" ht="47.25" hidden="1">
      <c r="A418" s="11">
        <v>439</v>
      </c>
      <c r="B418" s="16" t="s">
        <v>6067</v>
      </c>
      <c r="C418" s="16" t="s">
        <v>6068</v>
      </c>
      <c r="D418" s="11">
        <v>5</v>
      </c>
      <c r="E418" s="11">
        <v>12</v>
      </c>
      <c r="F418" s="11" t="s">
        <v>6069</v>
      </c>
      <c r="G418" s="172" t="s">
        <v>4788</v>
      </c>
      <c r="H418" s="11"/>
      <c r="I418" s="11"/>
      <c r="J418" s="11" t="s">
        <v>6070</v>
      </c>
      <c r="K418" s="173" t="s">
        <v>6071</v>
      </c>
      <c r="L418" s="11">
        <v>3</v>
      </c>
      <c r="M418" s="31" t="s">
        <v>6072</v>
      </c>
      <c r="N418" s="11"/>
      <c r="O418" s="11"/>
      <c r="P418" s="11" t="s">
        <v>4861</v>
      </c>
      <c r="Q418" s="19"/>
      <c r="R418" s="19"/>
      <c r="S418" s="23" t="str">
        <f>HYPERLINK("https://www.google.com/maps/search/" &amp; Table24[[#This Row],[Tên hẻm]], "Xem trên Google Maps")</f>
        <v>Xem trên Google Maps</v>
      </c>
      <c r="T418" s="16" t="str">
        <f>"Hẻm "&amp;Table24[[#This Row],[Hẻm]]&amp;" "&amp;Table24[[#This Row],[Tuyến đường]]&amp;", Phường "&amp;Table24[[#This Row],[Phường]]&amp;", Quận "&amp;Table24[[#This Row],[Quận]]</f>
        <v>Hẻm Hẻm 79 Đổ Ngọc Thạnh  Đổ Ngọc Thạnh , Phường 12, Quận 5</v>
      </c>
      <c r="U418" s="36"/>
      <c r="V418" s="78" t="e">
        <f>HYPERLINK("https://www.google.com/maps/search/?api=1&amp;query=" &amp; _xlfn.ENCODEURL(Table24[[#This Row],[Tên hẻm]]), "Link Google Map")</f>
        <v>#VALUE!</v>
      </c>
    </row>
    <row r="419" spans="1:22" ht="47.25" hidden="1">
      <c r="A419" s="11">
        <v>440</v>
      </c>
      <c r="B419" s="16" t="s">
        <v>6073</v>
      </c>
      <c r="C419" s="16" t="s">
        <v>6068</v>
      </c>
      <c r="D419" s="11">
        <v>5</v>
      </c>
      <c r="E419" s="11">
        <v>12</v>
      </c>
      <c r="F419" s="11" t="s">
        <v>1306</v>
      </c>
      <c r="G419" s="172" t="s">
        <v>6059</v>
      </c>
      <c r="H419" s="11"/>
      <c r="I419" s="11"/>
      <c r="J419" s="11" t="s">
        <v>6074</v>
      </c>
      <c r="K419" s="173" t="s">
        <v>6075</v>
      </c>
      <c r="L419" s="11">
        <v>1</v>
      </c>
      <c r="M419" s="31" t="s">
        <v>6076</v>
      </c>
      <c r="N419" s="11"/>
      <c r="O419" s="11"/>
      <c r="P419" s="11" t="s">
        <v>4861</v>
      </c>
      <c r="Q419" s="19"/>
      <c r="R419" s="19"/>
      <c r="S419" s="23" t="str">
        <f>HYPERLINK("https://www.google.com/maps/search/" &amp; Table24[[#This Row],[Tên hẻm]], "Xem trên Google Maps")</f>
        <v>Xem trên Google Maps</v>
      </c>
      <c r="T419" s="16" t="str">
        <f>"Hẻm "&amp;Table24[[#This Row],[Hẻm]]&amp;" "&amp;Table24[[#This Row],[Tuyến đường]]&amp;", Phường "&amp;Table24[[#This Row],[Phường]]&amp;", Quận "&amp;Table24[[#This Row],[Quận]]</f>
        <v>Hẻm Hẻm 79 F Đổ Ngọc Thạch  Đổ Ngọc Thạnh , Phường 12, Quận 5</v>
      </c>
      <c r="U419" s="36"/>
      <c r="V419" s="78" t="e">
        <f>HYPERLINK("https://www.google.com/maps/search/?api=1&amp;query=" &amp; _xlfn.ENCODEURL(Table24[[#This Row],[Tên hẻm]]), "Link Google Map")</f>
        <v>#VALUE!</v>
      </c>
    </row>
    <row r="420" spans="1:22" ht="47.25" hidden="1">
      <c r="A420" s="11">
        <v>441</v>
      </c>
      <c r="B420" s="16" t="s">
        <v>6077</v>
      </c>
      <c r="C420" s="16" t="s">
        <v>6078</v>
      </c>
      <c r="D420" s="11">
        <v>5</v>
      </c>
      <c r="E420" s="11">
        <v>12</v>
      </c>
      <c r="F420" s="11" t="s">
        <v>6079</v>
      </c>
      <c r="G420" s="172" t="s">
        <v>6080</v>
      </c>
      <c r="H420" s="11"/>
      <c r="I420" s="11"/>
      <c r="J420" s="11" t="s">
        <v>6081</v>
      </c>
      <c r="K420" s="173" t="s">
        <v>6082</v>
      </c>
      <c r="L420" s="11">
        <v>3</v>
      </c>
      <c r="M420" s="31" t="s">
        <v>6083</v>
      </c>
      <c r="N420" s="11"/>
      <c r="O420" s="11"/>
      <c r="P420" s="11" t="s">
        <v>4861</v>
      </c>
      <c r="Q420" s="19"/>
      <c r="R420" s="19"/>
      <c r="S420" s="23" t="str">
        <f>HYPERLINK("https://www.google.com/maps/search/" &amp; Table24[[#This Row],[Tên hẻm]], "Xem trên Google Maps")</f>
        <v>Xem trên Google Maps</v>
      </c>
      <c r="T420" s="16" t="str">
        <f>"Hẻm "&amp;Table24[[#This Row],[Hẻm]]&amp;" "&amp;Table24[[#This Row],[Tuyến đường]]&amp;", Phường "&amp;Table24[[#This Row],[Phường]]&amp;", Quận "&amp;Table24[[#This Row],[Quận]]</f>
        <v>Hẻm Đường Võ Trường Toản  Võ Trường Toản , Phường 12, Quận 5</v>
      </c>
      <c r="U420" s="36"/>
      <c r="V420" s="78" t="e">
        <f>HYPERLINK("https://www.google.com/maps/search/?api=1&amp;query=" &amp; _xlfn.ENCODEURL(Table24[[#This Row],[Tên hẻm]]), "Link Google Map")</f>
        <v>#VALUE!</v>
      </c>
    </row>
    <row r="421" spans="1:22" ht="47.25" hidden="1">
      <c r="A421" s="11">
        <v>442</v>
      </c>
      <c r="B421" s="16" t="s">
        <v>6084</v>
      </c>
      <c r="C421" s="16" t="s">
        <v>6078</v>
      </c>
      <c r="D421" s="11">
        <v>5</v>
      </c>
      <c r="E421" s="11">
        <v>12</v>
      </c>
      <c r="F421" s="11" t="s">
        <v>6085</v>
      </c>
      <c r="G421" s="172" t="s">
        <v>6086</v>
      </c>
      <c r="H421" s="11"/>
      <c r="I421" s="11"/>
      <c r="J421" s="11" t="s">
        <v>6087</v>
      </c>
      <c r="K421" s="173" t="s">
        <v>6088</v>
      </c>
      <c r="L421" s="11">
        <v>3</v>
      </c>
      <c r="M421" s="31" t="s">
        <v>6089</v>
      </c>
      <c r="N421" s="11"/>
      <c r="O421" s="11"/>
      <c r="P421" s="11" t="s">
        <v>4861</v>
      </c>
      <c r="Q421" s="19"/>
      <c r="R421" s="19"/>
      <c r="S421" s="23" t="str">
        <f>HYPERLINK("https://www.google.com/maps/search/" &amp; Table24[[#This Row],[Tên hẻm]], "Xem trên Google Maps")</f>
        <v>Xem trên Google Maps</v>
      </c>
      <c r="T421" s="16" t="str">
        <f>"Hẻm "&amp;Table24[[#This Row],[Hẻm]]&amp;" "&amp;Table24[[#This Row],[Tuyến đường]]&amp;", Phường "&amp;Table24[[#This Row],[Phường]]&amp;", Quận "&amp;Table24[[#This Row],[Quận]]</f>
        <v>Hẻm Hẻm 45 Võ Trường Toản  Võ Trường Toản , Phường 12, Quận 5</v>
      </c>
      <c r="U421" s="36"/>
      <c r="V421" s="78" t="e">
        <f>HYPERLINK("https://www.google.com/maps/search/?api=1&amp;query=" &amp; _xlfn.ENCODEURL(Table24[[#This Row],[Tên hẻm]]), "Link Google Map")</f>
        <v>#VALUE!</v>
      </c>
    </row>
    <row r="422" spans="1:22" ht="47.25" hidden="1">
      <c r="A422" s="11">
        <v>443</v>
      </c>
      <c r="B422" s="16" t="s">
        <v>6090</v>
      </c>
      <c r="C422" s="16" t="s">
        <v>5075</v>
      </c>
      <c r="D422" s="11">
        <v>5</v>
      </c>
      <c r="E422" s="11">
        <v>12</v>
      </c>
      <c r="F422" s="11" t="s">
        <v>6058</v>
      </c>
      <c r="G422" s="172" t="s">
        <v>4772</v>
      </c>
      <c r="H422" s="11"/>
      <c r="I422" s="11"/>
      <c r="J422" s="11" t="s">
        <v>6091</v>
      </c>
      <c r="K422" s="173" t="s">
        <v>6092</v>
      </c>
      <c r="L422" s="11">
        <v>2</v>
      </c>
      <c r="M422" s="31" t="s">
        <v>6093</v>
      </c>
      <c r="N422" s="11"/>
      <c r="O422" s="11"/>
      <c r="P422" s="11" t="s">
        <v>4861</v>
      </c>
      <c r="Q422" s="19"/>
      <c r="R422" s="19"/>
      <c r="S422" s="23" t="str">
        <f>HYPERLINK("https://www.google.com/maps/search/" &amp; Table24[[#This Row],[Tên hẻm]], "Xem trên Google Maps")</f>
        <v>Xem trên Google Maps</v>
      </c>
      <c r="T422" s="16" t="str">
        <f>"Hẻm "&amp;Table24[[#This Row],[Hẻm]]&amp;" "&amp;Table24[[#This Row],[Tuyến đường]]&amp;", Phường "&amp;Table24[[#This Row],[Phường]]&amp;", Quận "&amp;Table24[[#This Row],[Quận]]</f>
        <v>Hẻm Hẻm 65 Hà Tôn Quyền  Hà Tôn Quyền , Phường 12, Quận 5</v>
      </c>
      <c r="U422" s="36"/>
      <c r="V422" s="78" t="e">
        <f>HYPERLINK("https://www.google.com/maps/search/?api=1&amp;query=" &amp; _xlfn.ENCODEURL(Table24[[#This Row],[Tên hẻm]]), "Link Google Map")</f>
        <v>#VALUE!</v>
      </c>
    </row>
    <row r="423" spans="1:22" ht="47.25" hidden="1">
      <c r="A423" s="11">
        <v>444</v>
      </c>
      <c r="B423" s="16" t="s">
        <v>6094</v>
      </c>
      <c r="C423" s="16" t="s">
        <v>6078</v>
      </c>
      <c r="D423" s="11">
        <v>5</v>
      </c>
      <c r="E423" s="11">
        <v>12</v>
      </c>
      <c r="F423" s="11" t="s">
        <v>6085</v>
      </c>
      <c r="G423" s="172" t="s">
        <v>4772</v>
      </c>
      <c r="H423" s="11"/>
      <c r="I423" s="11"/>
      <c r="J423" s="11" t="s">
        <v>6095</v>
      </c>
      <c r="K423" s="173" t="s">
        <v>6096</v>
      </c>
      <c r="L423" s="11">
        <v>1</v>
      </c>
      <c r="M423" s="31" t="s">
        <v>6097</v>
      </c>
      <c r="N423" s="11"/>
      <c r="O423" s="11"/>
      <c r="P423" s="11" t="s">
        <v>4861</v>
      </c>
      <c r="Q423" s="19"/>
      <c r="R423" s="19"/>
      <c r="S423" s="23" t="str">
        <f>HYPERLINK("https://www.google.com/maps/search/" &amp; Table24[[#This Row],[Tên hẻm]], "Xem trên Google Maps")</f>
        <v>Xem trên Google Maps</v>
      </c>
      <c r="T423" s="16" t="str">
        <f>"Hẻm "&amp;Table24[[#This Row],[Hẻm]]&amp;" "&amp;Table24[[#This Row],[Tuyến đường]]&amp;", Phường "&amp;Table24[[#This Row],[Phường]]&amp;", Quận "&amp;Table24[[#This Row],[Quận]]</f>
        <v>Hẻm Hẻm 52 Võ Trường toản  Võ Trường Toản , Phường 12, Quận 5</v>
      </c>
      <c r="U423" s="36"/>
      <c r="V423" s="78" t="e">
        <f>HYPERLINK("https://www.google.com/maps/search/?api=1&amp;query=" &amp; _xlfn.ENCODEURL(Table24[[#This Row],[Tên hẻm]]), "Link Google Map")</f>
        <v>#VALUE!</v>
      </c>
    </row>
    <row r="424" spans="1:22" ht="47.25" hidden="1">
      <c r="A424" s="11">
        <v>445</v>
      </c>
      <c r="B424" s="16" t="s">
        <v>6098</v>
      </c>
      <c r="C424" s="16" t="s">
        <v>6078</v>
      </c>
      <c r="D424" s="11">
        <v>5</v>
      </c>
      <c r="E424" s="11">
        <v>12</v>
      </c>
      <c r="F424" s="11" t="s">
        <v>6099</v>
      </c>
      <c r="G424" s="172" t="s">
        <v>4429</v>
      </c>
      <c r="H424" s="11"/>
      <c r="I424" s="11"/>
      <c r="J424" s="11" t="s">
        <v>6098</v>
      </c>
      <c r="K424" s="173" t="s">
        <v>6100</v>
      </c>
      <c r="L424" s="11">
        <v>2</v>
      </c>
      <c r="M424" s="31" t="s">
        <v>6101</v>
      </c>
      <c r="N424" s="11"/>
      <c r="O424" s="11"/>
      <c r="P424" s="11" t="s">
        <v>4861</v>
      </c>
      <c r="Q424" s="19"/>
      <c r="R424" s="19"/>
      <c r="S424" s="23" t="str">
        <f>HYPERLINK("https://www.google.com/maps/search/" &amp; Table24[[#This Row],[Tên hẻm]], "Xem trên Google Maps")</f>
        <v>Xem trên Google Maps</v>
      </c>
      <c r="T424" s="16" t="str">
        <f>"Hẻm "&amp;Table24[[#This Row],[Hẻm]]&amp;" "&amp;Table24[[#This Row],[Tuyến đường]]&amp;", Phường "&amp;Table24[[#This Row],[Phường]]&amp;", Quận "&amp;Table24[[#This Row],[Quận]]</f>
        <v>Hẻm 57 Võ Trường Toản  Võ Trường Toản , Phường 12, Quận 5</v>
      </c>
      <c r="U424" s="36"/>
      <c r="V424" s="78" t="e">
        <f>HYPERLINK("https://www.google.com/maps/search/?api=1&amp;query=" &amp; _xlfn.ENCODEURL(Table24[[#This Row],[Tên hẻm]]), "Link Google Map")</f>
        <v>#VALUE!</v>
      </c>
    </row>
    <row r="425" spans="1:22" ht="47.25" hidden="1">
      <c r="A425" s="11">
        <v>446</v>
      </c>
      <c r="B425" s="16" t="s">
        <v>6102</v>
      </c>
      <c r="C425" s="16" t="s">
        <v>6078</v>
      </c>
      <c r="D425" s="11">
        <v>5</v>
      </c>
      <c r="E425" s="11">
        <v>12</v>
      </c>
      <c r="F425" s="11" t="s">
        <v>6099</v>
      </c>
      <c r="G425" s="172" t="s">
        <v>4429</v>
      </c>
      <c r="H425" s="11"/>
      <c r="I425" s="11"/>
      <c r="J425" s="11" t="s">
        <v>6103</v>
      </c>
      <c r="K425" s="173" t="s">
        <v>6104</v>
      </c>
      <c r="L425" s="11">
        <v>3</v>
      </c>
      <c r="M425" s="31" t="s">
        <v>6105</v>
      </c>
      <c r="N425" s="11"/>
      <c r="O425" s="11"/>
      <c r="P425" s="11" t="s">
        <v>4861</v>
      </c>
      <c r="Q425" s="19"/>
      <c r="R425" s="19"/>
      <c r="S425" s="23" t="str">
        <f>HYPERLINK("https://www.google.com/maps/search/" &amp; Table24[[#This Row],[Tên hẻm]], "Xem trên Google Maps")</f>
        <v>Xem trên Google Maps</v>
      </c>
      <c r="T425" s="16" t="str">
        <f>"Hẻm "&amp;Table24[[#This Row],[Hẻm]]&amp;" "&amp;Table24[[#This Row],[Tuyến đường]]&amp;", Phường "&amp;Table24[[#This Row],[Phường]]&amp;", Quận "&amp;Table24[[#This Row],[Quận]]</f>
        <v>Hẻm Hẻm 77 Hà Tôn Quyền  Võ Trường Toản , Phường 12, Quận 5</v>
      </c>
      <c r="U425" s="36"/>
      <c r="V425" s="78" t="e">
        <f>HYPERLINK("https://www.google.com/maps/search/?api=1&amp;query=" &amp; _xlfn.ENCODEURL(Table24[[#This Row],[Tên hẻm]]), "Link Google Map")</f>
        <v>#VALUE!</v>
      </c>
    </row>
    <row r="426" spans="1:22" ht="47.25" hidden="1">
      <c r="A426" s="11">
        <v>447</v>
      </c>
      <c r="B426" s="16" t="s">
        <v>6106</v>
      </c>
      <c r="C426" s="16" t="s">
        <v>4796</v>
      </c>
      <c r="D426" s="11">
        <v>8</v>
      </c>
      <c r="E426" s="11">
        <v>3</v>
      </c>
      <c r="F426" s="11" t="s">
        <v>6107</v>
      </c>
      <c r="G426" s="172" t="s">
        <v>6108</v>
      </c>
      <c r="H426" s="11"/>
      <c r="I426" s="11"/>
      <c r="J426" s="11" t="s">
        <v>5137</v>
      </c>
      <c r="K426" s="173" t="s">
        <v>6109</v>
      </c>
      <c r="L426" s="11">
        <v>18</v>
      </c>
      <c r="M426" s="31" t="s">
        <v>6110</v>
      </c>
      <c r="N426" s="11"/>
      <c r="O426" s="11"/>
      <c r="P426" s="11" t="s">
        <v>4544</v>
      </c>
      <c r="Q426" s="19"/>
      <c r="R426" s="19"/>
      <c r="S426" s="23" t="str">
        <f>HYPERLINK("https://www.google.com/maps/search/" &amp; Table24[[#This Row],[Tên hẻm]], "Xem trên Google Maps")</f>
        <v>Xem trên Google Maps</v>
      </c>
      <c r="T426" s="16" t="str">
        <f>"Hẻm "&amp;Table24[[#This Row],[Hẻm]]&amp;" "&amp;Table24[[#This Row],[Tuyến đường]]&amp;", Phường "&amp;Table24[[#This Row],[Phường]]&amp;", Quận "&amp;Table24[[#This Row],[Quận]]</f>
        <v>Hẻm 280A+304 Phạm Thế Hiển , Phường 3, Quận 8</v>
      </c>
      <c r="U426" s="36"/>
      <c r="V426" s="78" t="e">
        <f>HYPERLINK("https://www.google.com/maps/search/?api=1&amp;query=" &amp; _xlfn.ENCODEURL(Table24[[#This Row],[Tên hẻm]]), "Link Google Map")</f>
        <v>#VALUE!</v>
      </c>
    </row>
    <row r="427" spans="1:22" ht="47.25" hidden="1">
      <c r="A427" s="11">
        <v>448</v>
      </c>
      <c r="B427" s="16" t="s">
        <v>6111</v>
      </c>
      <c r="C427" s="16" t="s">
        <v>5017</v>
      </c>
      <c r="D427" s="11">
        <v>5</v>
      </c>
      <c r="E427" s="11">
        <v>4</v>
      </c>
      <c r="F427" s="11" t="s">
        <v>6112</v>
      </c>
      <c r="G427" s="172" t="s">
        <v>6039</v>
      </c>
      <c r="H427" s="11"/>
      <c r="I427" s="11"/>
      <c r="J427" s="11" t="s">
        <v>5137</v>
      </c>
      <c r="K427" s="173" t="s">
        <v>6113</v>
      </c>
      <c r="L427" s="11">
        <v>11</v>
      </c>
      <c r="M427" s="31" t="s">
        <v>6114</v>
      </c>
      <c r="N427" s="11"/>
      <c r="O427" s="11"/>
      <c r="P427" s="11" t="s">
        <v>4544</v>
      </c>
      <c r="Q427" s="19"/>
      <c r="R427" s="19"/>
      <c r="S427" s="23" t="str">
        <f>HYPERLINK("https://www.google.com/maps/search/" &amp; Table24[[#This Row],[Tên hẻm]], "Xem trên Google Maps")</f>
        <v>Xem trên Google Maps</v>
      </c>
      <c r="T427" s="16" t="str">
        <f>"Hẻm "&amp;Table24[[#This Row],[Hẻm]]&amp;" "&amp;Table24[[#This Row],[Tuyến đường]]&amp;", Phường "&amp;Table24[[#This Row],[Phường]]&amp;", Quận "&amp;Table24[[#This Row],[Quận]]</f>
        <v>Hẻm 285;303;315 Trần Bình Trọng , Phường 4, Quận 5</v>
      </c>
      <c r="U427" s="36"/>
      <c r="V427" s="78" t="e">
        <f>HYPERLINK("https://www.google.com/maps/search/?api=1&amp;query=" &amp; _xlfn.ENCODEURL(Table24[[#This Row],[Tên hẻm]]), "Link Google Map")</f>
        <v>#VALUE!</v>
      </c>
    </row>
    <row r="428" spans="1:22" ht="47.25" hidden="1">
      <c r="A428" s="11">
        <v>449</v>
      </c>
      <c r="B428" s="16" t="s">
        <v>6115</v>
      </c>
      <c r="C428" s="16" t="s">
        <v>6115</v>
      </c>
      <c r="D428" s="11">
        <v>5</v>
      </c>
      <c r="E428" s="11">
        <v>7</v>
      </c>
      <c r="F428" s="11" t="s">
        <v>1016</v>
      </c>
      <c r="G428" s="172">
        <v>5</v>
      </c>
      <c r="H428" s="11"/>
      <c r="I428" s="11"/>
      <c r="J428" s="11">
        <v>129</v>
      </c>
      <c r="K428" s="173" t="s">
        <v>6116</v>
      </c>
      <c r="L428" s="11">
        <v>2</v>
      </c>
      <c r="M428" s="31" t="s">
        <v>6117</v>
      </c>
      <c r="N428" s="11"/>
      <c r="O428" s="11"/>
      <c r="P428" s="11" t="s">
        <v>5797</v>
      </c>
      <c r="Q428" s="19"/>
      <c r="R428" s="19"/>
      <c r="S428" s="23" t="str">
        <f>HYPERLINK("https://www.google.com/maps/search/" &amp; Table24[[#This Row],[Tên hẻm]], "Xem trên Google Maps")</f>
        <v>Xem trên Google Maps</v>
      </c>
      <c r="T428" s="16" t="str">
        <f>"Hẻm "&amp;Table24[[#This Row],[Hẻm]]&amp;" "&amp;Table24[[#This Row],[Tuyến đường]]&amp;", Phường "&amp;Table24[[#This Row],[Phường]]&amp;", Quận "&amp;Table24[[#This Row],[Quận]]</f>
        <v>Hẻm Hẻm 129 Nguyễn Tri Phương Hẻm 129 Nguyễn Tri Phương, Phường 7, Quận 5</v>
      </c>
      <c r="U428" s="36"/>
      <c r="V428" s="78" t="e">
        <f>HYPERLINK("https://www.google.com/maps/search/?api=1&amp;query=" &amp; _xlfn.ENCODEURL(Table24[[#This Row],[Tên hẻm]]), "Link Google Map")</f>
        <v>#VALUE!</v>
      </c>
    </row>
    <row r="429" spans="1:22" ht="47.25" hidden="1">
      <c r="A429" s="11">
        <v>450</v>
      </c>
      <c r="B429" s="16" t="s">
        <v>6118</v>
      </c>
      <c r="C429" s="16" t="s">
        <v>6118</v>
      </c>
      <c r="D429" s="11">
        <v>5</v>
      </c>
      <c r="E429" s="11">
        <v>7</v>
      </c>
      <c r="F429" s="11" t="s">
        <v>1016</v>
      </c>
      <c r="G429" s="172">
        <v>3</v>
      </c>
      <c r="H429" s="11"/>
      <c r="I429" s="11"/>
      <c r="J429" s="11" t="s">
        <v>6119</v>
      </c>
      <c r="K429" s="173" t="s">
        <v>6120</v>
      </c>
      <c r="L429" s="11">
        <v>3</v>
      </c>
      <c r="M429" s="31" t="s">
        <v>6121</v>
      </c>
      <c r="N429" s="11"/>
      <c r="O429" s="11"/>
      <c r="P429" s="11" t="s">
        <v>5797</v>
      </c>
      <c r="Q429" s="19"/>
      <c r="R429" s="19"/>
      <c r="S429" s="23" t="str">
        <f>HYPERLINK("https://www.google.com/maps/search/" &amp; Table24[[#This Row],[Tên hẻm]], "Xem trên Google Maps")</f>
        <v>Xem trên Google Maps</v>
      </c>
      <c r="T429" s="16" t="str">
        <f>"Hẻm "&amp;Table24[[#This Row],[Hẻm]]&amp;" "&amp;Table24[[#This Row],[Tuyến đường]]&amp;", Phường "&amp;Table24[[#This Row],[Phường]]&amp;", Quận "&amp;Table24[[#This Row],[Quận]]</f>
        <v>Hẻm Hẻm 149 Nguyễn Tri Phương Hẻm 149 Nguyễn Tri Phương, Phường 7, Quận 5</v>
      </c>
      <c r="U429" s="36"/>
      <c r="V429" s="78" t="e">
        <f>HYPERLINK("https://www.google.com/maps/search/?api=1&amp;query=" &amp; _xlfn.ENCODEURL(Table24[[#This Row],[Tên hẻm]]), "Link Google Map")</f>
        <v>#VALUE!</v>
      </c>
    </row>
    <row r="430" spans="1:22" ht="47.25" hidden="1">
      <c r="A430" s="11">
        <v>451</v>
      </c>
      <c r="B430" s="16" t="s">
        <v>6122</v>
      </c>
      <c r="C430" s="16" t="s">
        <v>6122</v>
      </c>
      <c r="D430" s="11">
        <v>5</v>
      </c>
      <c r="E430" s="11">
        <v>7</v>
      </c>
      <c r="F430" s="11" t="s">
        <v>1531</v>
      </c>
      <c r="G430" s="172">
        <v>3</v>
      </c>
      <c r="H430" s="11"/>
      <c r="I430" s="11"/>
      <c r="J430" s="11" t="s">
        <v>6123</v>
      </c>
      <c r="K430" s="173" t="s">
        <v>6124</v>
      </c>
      <c r="L430" s="11">
        <v>4</v>
      </c>
      <c r="M430" s="31" t="s">
        <v>6125</v>
      </c>
      <c r="N430" s="11"/>
      <c r="O430" s="11"/>
      <c r="P430" s="11" t="s">
        <v>5845</v>
      </c>
      <c r="Q430" s="19"/>
      <c r="R430" s="19"/>
      <c r="S430" s="23" t="str">
        <f>HYPERLINK("https://www.google.com/maps/search/" &amp; Table24[[#This Row],[Tên hẻm]], "Xem trên Google Maps")</f>
        <v>Xem trên Google Maps</v>
      </c>
      <c r="T430" s="16" t="str">
        <f>"Hẻm "&amp;Table24[[#This Row],[Hẻm]]&amp;" "&amp;Table24[[#This Row],[Tuyến đường]]&amp;", Phường "&amp;Table24[[#This Row],[Phường]]&amp;", Quận "&amp;Table24[[#This Row],[Quận]]</f>
        <v>Hẻm Hẻm 161 Bùi Hữu Nghĩa Hẻm 161 Bùi Hữu Nghĩa, Phường 7, Quận 5</v>
      </c>
      <c r="U430" s="36"/>
      <c r="V430" s="78" t="e">
        <f>HYPERLINK("https://www.google.com/maps/search/?api=1&amp;query=" &amp; _xlfn.ENCODEURL(Table24[[#This Row],[Tên hẻm]]), "Link Google Map")</f>
        <v>#VALUE!</v>
      </c>
    </row>
    <row r="431" spans="1:22" ht="47.25" hidden="1">
      <c r="A431" s="11">
        <v>452</v>
      </c>
      <c r="B431" s="16" t="s">
        <v>6126</v>
      </c>
      <c r="C431" s="16" t="s">
        <v>6126</v>
      </c>
      <c r="D431" s="11">
        <v>8</v>
      </c>
      <c r="E431" s="11">
        <v>7</v>
      </c>
      <c r="F431" s="11" t="s">
        <v>6127</v>
      </c>
      <c r="G431" s="172">
        <v>14</v>
      </c>
      <c r="H431" s="11"/>
      <c r="I431" s="11"/>
      <c r="J431" s="11" t="s">
        <v>6128</v>
      </c>
      <c r="K431" s="173" t="s">
        <v>6129</v>
      </c>
      <c r="L431" s="11">
        <v>4</v>
      </c>
      <c r="M431" s="31" t="s">
        <v>6130</v>
      </c>
      <c r="N431" s="11"/>
      <c r="O431" s="11"/>
      <c r="P431" s="11" t="s">
        <v>5797</v>
      </c>
      <c r="Q431" s="19"/>
      <c r="R431" s="19"/>
      <c r="S431" s="23" t="str">
        <f>HYPERLINK("https://www.google.com/maps/search/" &amp; Table24[[#This Row],[Tên hẻm]], "Xem trên Google Maps")</f>
        <v>Xem trên Google Maps</v>
      </c>
      <c r="T431" s="16" t="str">
        <f>"Hẻm "&amp;Table24[[#This Row],[Hẻm]]&amp;" "&amp;Table24[[#This Row],[Tuyến đường]]&amp;", Phường "&amp;Table24[[#This Row],[Phường]]&amp;", Quận "&amp;Table24[[#This Row],[Quận]]</f>
        <v>Hẻm Phạm thế hiển nối dài Phạm thế hiển nối dài, Phường 7, Quận 8</v>
      </c>
      <c r="U431" s="36"/>
      <c r="V431" s="78" t="e">
        <f>HYPERLINK("https://www.google.com/maps/search/?api=1&amp;query=" &amp; _xlfn.ENCODEURL(Table24[[#This Row],[Tên hẻm]]), "Link Google Map")</f>
        <v>#VALUE!</v>
      </c>
    </row>
    <row r="432" spans="1:22" ht="47.25" hidden="1">
      <c r="A432" s="11">
        <v>453</v>
      </c>
      <c r="B432" s="16" t="s">
        <v>6131</v>
      </c>
      <c r="C432" s="16" t="s">
        <v>6126</v>
      </c>
      <c r="D432" s="11">
        <v>8</v>
      </c>
      <c r="E432" s="11">
        <v>7</v>
      </c>
      <c r="F432" s="11" t="s">
        <v>6132</v>
      </c>
      <c r="G432" s="172">
        <v>14</v>
      </c>
      <c r="H432" s="11"/>
      <c r="I432" s="11"/>
      <c r="J432" s="11" t="s">
        <v>6133</v>
      </c>
      <c r="K432" s="173" t="s">
        <v>6134</v>
      </c>
      <c r="L432" s="11">
        <v>17</v>
      </c>
      <c r="M432" s="31" t="s">
        <v>6135</v>
      </c>
      <c r="N432" s="11"/>
      <c r="O432" s="11"/>
      <c r="P432" s="11" t="s">
        <v>5845</v>
      </c>
      <c r="Q432" s="19"/>
      <c r="R432" s="19"/>
      <c r="S432" s="23" t="str">
        <f>HYPERLINK("https://www.google.com/maps/search/" &amp; Table24[[#This Row],[Tên hẻm]], "Xem trên Google Maps")</f>
        <v>Xem trên Google Maps</v>
      </c>
      <c r="T432" s="16" t="str">
        <f>"Hẻm "&amp;Table24[[#This Row],[Hẻm]]&amp;" "&amp;Table24[[#This Row],[Tuyến đường]]&amp;", Phường "&amp;Table24[[#This Row],[Phường]]&amp;", Quận "&amp;Table24[[#This Row],[Quận]]</f>
        <v>Hẻm Phạm thế hiển nói dài Phạm thế hiển nối dài, Phường 7, Quận 8</v>
      </c>
      <c r="U432" s="36"/>
      <c r="V432" s="78" t="e">
        <f>HYPERLINK("https://www.google.com/maps/search/?api=1&amp;query=" &amp; _xlfn.ENCODEURL(Table24[[#This Row],[Tên hẻm]]), "Link Google Map")</f>
        <v>#VALUE!</v>
      </c>
    </row>
    <row r="433" spans="1:22" ht="47.25" hidden="1">
      <c r="A433" s="11">
        <v>454</v>
      </c>
      <c r="B433" s="16" t="s">
        <v>6136</v>
      </c>
      <c r="C433" s="16" t="s">
        <v>6137</v>
      </c>
      <c r="D433" s="11">
        <v>5</v>
      </c>
      <c r="E433" s="11">
        <v>9</v>
      </c>
      <c r="F433" s="11" t="s">
        <v>6137</v>
      </c>
      <c r="G433" s="172" t="s">
        <v>4892</v>
      </c>
      <c r="H433" s="11"/>
      <c r="I433" s="11"/>
      <c r="J433" s="11" t="s">
        <v>6138</v>
      </c>
      <c r="K433" s="173" t="s">
        <v>6139</v>
      </c>
      <c r="L433" s="11">
        <v>4</v>
      </c>
      <c r="M433" s="31" t="s">
        <v>6140</v>
      </c>
      <c r="N433" s="11"/>
      <c r="O433" s="11"/>
      <c r="P433" s="11" t="s">
        <v>4861</v>
      </c>
      <c r="Q433" s="19"/>
      <c r="R433" s="19"/>
      <c r="S433" s="23" t="str">
        <f>HYPERLINK("https://www.google.com/maps/search/" &amp; Table24[[#This Row],[Tên hẻm]], "Xem trên Google Maps")</f>
        <v>Xem trên Google Maps</v>
      </c>
      <c r="T433" s="16" t="str">
        <f>"Hẻm "&amp;Table24[[#This Row],[Hẻm]]&amp;" "&amp;Table24[[#This Row],[Tuyến đường]]&amp;", Phường "&amp;Table24[[#This Row],[Phường]]&amp;", Quận "&amp;Table24[[#This Row],[Quận]]</f>
        <v>Hẻm Hẻm 57 Trần Nhân Tôn  Trần Nhân Tôn , Phường 9, Quận 5</v>
      </c>
      <c r="U433" s="36"/>
      <c r="V433" s="78" t="e">
        <f>HYPERLINK("https://www.google.com/maps/search/?api=1&amp;query=" &amp; _xlfn.ENCODEURL(Table24[[#This Row],[Tên hẻm]]), "Link Google Map")</f>
        <v>#VALUE!</v>
      </c>
    </row>
    <row r="434" spans="1:22" ht="47.25" hidden="1">
      <c r="A434" s="11">
        <v>455</v>
      </c>
      <c r="B434" s="16" t="s">
        <v>6141</v>
      </c>
      <c r="C434" s="16" t="s">
        <v>6142</v>
      </c>
      <c r="D434" s="11">
        <v>10</v>
      </c>
      <c r="E434" s="11">
        <v>13</v>
      </c>
      <c r="F434" s="11" t="s">
        <v>6143</v>
      </c>
      <c r="G434" s="172" t="s">
        <v>6059</v>
      </c>
      <c r="H434" s="11"/>
      <c r="I434" s="11"/>
      <c r="J434" s="11" t="s">
        <v>6144</v>
      </c>
      <c r="K434" s="173" t="s">
        <v>6145</v>
      </c>
      <c r="L434" s="11">
        <v>20</v>
      </c>
      <c r="M434" s="31" t="s">
        <v>6146</v>
      </c>
      <c r="N434" s="11"/>
      <c r="O434" s="11"/>
      <c r="P434" s="11" t="s">
        <v>4861</v>
      </c>
      <c r="Q434" s="19"/>
      <c r="R434" s="19"/>
      <c r="S434" s="23" t="str">
        <f>HYPERLINK("https://www.google.com/maps/search/" &amp; Table24[[#This Row],[Tên hẻm]], "Xem trên Google Maps")</f>
        <v>Xem trên Google Maps</v>
      </c>
      <c r="T434" s="16" t="str">
        <f>"Hẻm "&amp;Table24[[#This Row],[Hẻm]]&amp;" "&amp;Table24[[#This Row],[Tuyến đường]]&amp;", Phường "&amp;Table24[[#This Row],[Phường]]&amp;", Quận "&amp;Table24[[#This Row],[Quận]]</f>
        <v>Hẻm Hẻm 521 Cách Mạng Tháng 8 Cách Mạng Tháng 8, Phường 13, Quận 10</v>
      </c>
      <c r="U434" s="36"/>
      <c r="V434" s="78" t="e">
        <f>HYPERLINK("https://www.google.com/maps/search/?api=1&amp;query=" &amp; _xlfn.ENCODEURL(Table24[[#This Row],[Tên hẻm]]), "Link Google Map")</f>
        <v>#VALUE!</v>
      </c>
    </row>
    <row r="435" spans="1:22" ht="47.25">
      <c r="A435" s="11">
        <v>457</v>
      </c>
      <c r="B435" s="16" t="s">
        <v>6147</v>
      </c>
      <c r="C435" s="16" t="s">
        <v>6148</v>
      </c>
      <c r="D435" s="11">
        <v>11</v>
      </c>
      <c r="E435" s="11" t="s">
        <v>6149</v>
      </c>
      <c r="F435" s="11" t="s">
        <v>6150</v>
      </c>
      <c r="G435" s="172" t="s">
        <v>4993</v>
      </c>
      <c r="H435" s="11"/>
      <c r="I435" s="11"/>
      <c r="J435" s="11" t="s">
        <v>6151</v>
      </c>
      <c r="K435" s="173" t="s">
        <v>6152</v>
      </c>
      <c r="L435" s="11">
        <v>7</v>
      </c>
      <c r="M435" s="31" t="s">
        <v>6153</v>
      </c>
      <c r="N435" s="11"/>
      <c r="O435" s="11"/>
      <c r="P435" s="11" t="s">
        <v>6154</v>
      </c>
      <c r="Q435" s="19"/>
      <c r="R435" s="19"/>
      <c r="S435" s="23" t="str">
        <f>HYPERLINK("https://www.google.com/maps/search/" &amp; Table24[[#This Row],[Tên hẻm]], "Xem trên Google Maps")</f>
        <v>Xem trên Google Maps</v>
      </c>
      <c r="T435" s="16" t="str">
        <f>"Hẻm "&amp;Table24[[#This Row],[Hẻm]]&amp;" "&amp;Table24[[#This Row],[Tuyến đường]]&amp;", Phường "&amp;Table24[[#This Row],[Phường]]&amp;", Quận "&amp;Table24[[#This Row],[Quận]]</f>
        <v>Hẻm Hẻm 195 Bình Thới  Hẻm 195 bình thới , Phường Bình thới , Quận 11</v>
      </c>
      <c r="U435" s="36"/>
      <c r="V435" s="78" t="e">
        <f>HYPERLINK("https://www.google.com/maps/search/?api=1&amp;query=" &amp; _xlfn.ENCODEURL(Table24[[#This Row],[Tên hẻm]]), "Link Google Map")</f>
        <v>#VALUE!</v>
      </c>
    </row>
    <row r="436" spans="1:22" ht="47.25">
      <c r="A436" s="11">
        <v>458</v>
      </c>
      <c r="B436" s="16" t="s">
        <v>6155</v>
      </c>
      <c r="C436" s="16" t="s">
        <v>6156</v>
      </c>
      <c r="D436" s="11" t="s">
        <v>6157</v>
      </c>
      <c r="E436" s="11">
        <v>12</v>
      </c>
      <c r="F436" s="11" t="s">
        <v>6158</v>
      </c>
      <c r="G436" s="172">
        <v>2</v>
      </c>
      <c r="H436" s="11"/>
      <c r="I436" s="11"/>
      <c r="J436" s="11" t="s">
        <v>6159</v>
      </c>
      <c r="K436" s="173" t="s">
        <v>6159</v>
      </c>
      <c r="L436" s="11">
        <v>3</v>
      </c>
      <c r="M436" s="31" t="s">
        <v>6160</v>
      </c>
      <c r="N436" s="11"/>
      <c r="O436" s="11"/>
      <c r="P436" s="11" t="s">
        <v>6161</v>
      </c>
      <c r="Q436" s="19"/>
      <c r="R436" s="19"/>
      <c r="S436" s="23" t="str">
        <f>HYPERLINK("https://www.google.com/maps/search/" &amp; Table24[[#This Row],[Tên hẻm]], "Xem trên Google Maps")</f>
        <v>Xem trên Google Maps</v>
      </c>
      <c r="T436" s="16" t="str">
        <f>"Hẻm "&amp;Table24[[#This Row],[Hẻm]]&amp;" "&amp;Table24[[#This Row],[Tuyến đường]]&amp;", Phường "&amp;Table24[[#This Row],[Phường]]&amp;", Quận "&amp;Table24[[#This Row],[Quận]]</f>
        <v>Hẻm Hẻm 175 Huỳnh Văn bánh Huỳnh văn  bánh, Phường 12, Quận Phú nhuận</v>
      </c>
      <c r="U436" s="36"/>
      <c r="V436" s="78" t="e">
        <f>HYPERLINK("https://www.google.com/maps/search/?api=1&amp;query=" &amp; _xlfn.ENCODEURL(Table24[[#This Row],[Tên hẻm]]), "Link Google Map")</f>
        <v>#VALUE!</v>
      </c>
    </row>
    <row r="437" spans="1:22" ht="47.25">
      <c r="A437" s="11">
        <v>460</v>
      </c>
      <c r="B437" s="16" t="s">
        <v>6162</v>
      </c>
      <c r="C437" s="16" t="s">
        <v>6163</v>
      </c>
      <c r="D437" s="11" t="s">
        <v>6157</v>
      </c>
      <c r="E437" s="11">
        <v>12</v>
      </c>
      <c r="F437" s="11" t="s">
        <v>6164</v>
      </c>
      <c r="G437" s="172">
        <v>2</v>
      </c>
      <c r="H437" s="11"/>
      <c r="I437" s="11"/>
      <c r="J437" s="11" t="s">
        <v>6165</v>
      </c>
      <c r="K437" s="173" t="s">
        <v>6165</v>
      </c>
      <c r="L437" s="11">
        <v>3</v>
      </c>
      <c r="M437" s="31" t="s">
        <v>6166</v>
      </c>
      <c r="N437" s="11"/>
      <c r="O437" s="11"/>
      <c r="P437" s="11" t="s">
        <v>6161</v>
      </c>
      <c r="Q437" s="19"/>
      <c r="R437" s="19"/>
      <c r="S437" s="23" t="str">
        <f>HYPERLINK("https://www.google.com/maps/search/" &amp; Table24[[#This Row],[Tên hẻm]], "Xem trên Google Maps")</f>
        <v>Xem trên Google Maps</v>
      </c>
      <c r="T437" s="16" t="str">
        <f>"Hẻm "&amp;Table24[[#This Row],[Hẻm]]&amp;" "&amp;Table24[[#This Row],[Tuyến đường]]&amp;", Phường "&amp;Table24[[#This Row],[Phường]]&amp;", Quận "&amp;Table24[[#This Row],[Quận]]</f>
        <v>Hẻm Hẻm 163  huỳnh văn bánh Huỳnh văn bánh, Phường 12, Quận Phú nhuận</v>
      </c>
      <c r="U437" s="36"/>
      <c r="V437" s="78" t="e">
        <f>HYPERLINK("https://www.google.com/maps/search/?api=1&amp;query=" &amp; _xlfn.ENCODEURL(Table24[[#This Row],[Tên hẻm]]), "Link Google Map")</f>
        <v>#VALUE!</v>
      </c>
    </row>
    <row r="438" spans="1:22" ht="47.25">
      <c r="A438" s="11">
        <v>459</v>
      </c>
      <c r="B438" s="16" t="s">
        <v>6167</v>
      </c>
      <c r="C438" s="16" t="s">
        <v>6168</v>
      </c>
      <c r="D438" s="11">
        <v>11</v>
      </c>
      <c r="E438" s="11" t="s">
        <v>6149</v>
      </c>
      <c r="F438" s="11" t="s">
        <v>3965</v>
      </c>
      <c r="G438" s="172" t="s">
        <v>5961</v>
      </c>
      <c r="H438" s="11"/>
      <c r="I438" s="11"/>
      <c r="J438" s="11" t="s">
        <v>6169</v>
      </c>
      <c r="K438" s="173" t="s">
        <v>6170</v>
      </c>
      <c r="L438" s="11">
        <v>3</v>
      </c>
      <c r="M438" s="31" t="s">
        <v>6171</v>
      </c>
      <c r="N438" s="11"/>
      <c r="O438" s="11"/>
      <c r="P438" s="11" t="s">
        <v>6154</v>
      </c>
      <c r="Q438" s="19"/>
      <c r="R438" s="19" t="s">
        <v>6172</v>
      </c>
      <c r="S438" s="23" t="str">
        <f>HYPERLINK("https://www.google.com/maps/search/" &amp; Table24[[#This Row],[Tên hẻm]], "Xem trên Google Maps")</f>
        <v>Xem trên Google Maps</v>
      </c>
      <c r="T438" s="16" t="str">
        <f>"Hẻm "&amp;Table24[[#This Row],[Hẻm]]&amp;" "&amp;Table24[[#This Row],[Tuyến đường]]&amp;", Phường "&amp;Table24[[#This Row],[Phường]]&amp;", Quận "&amp;Table24[[#This Row],[Quận]]</f>
        <v>Hẻm Hẻm 238 Đội cung, Phường Bình thới , Quận 11</v>
      </c>
      <c r="U438" s="36"/>
      <c r="V438" s="78" t="e">
        <f>HYPERLINK("https://www.google.com/maps/search/?api=1&amp;query=" &amp; _xlfn.ENCODEURL(Table24[[#This Row],[Tên hẻm]]), "Link Google Map")</f>
        <v>#VALUE!</v>
      </c>
    </row>
    <row r="439" spans="1:22" ht="47.25">
      <c r="A439" s="11">
        <v>461</v>
      </c>
      <c r="B439" s="16" t="s">
        <v>6173</v>
      </c>
      <c r="C439" s="16" t="s">
        <v>6168</v>
      </c>
      <c r="D439" s="11">
        <v>11</v>
      </c>
      <c r="E439" s="11" t="s">
        <v>6149</v>
      </c>
      <c r="F439" s="11" t="s">
        <v>6174</v>
      </c>
      <c r="G439" s="172" t="s">
        <v>4993</v>
      </c>
      <c r="H439" s="11"/>
      <c r="I439" s="11"/>
      <c r="J439" s="11" t="s">
        <v>6168</v>
      </c>
      <c r="K439" s="173" t="s">
        <v>6175</v>
      </c>
      <c r="L439" s="11">
        <v>3</v>
      </c>
      <c r="M439" s="31" t="s">
        <v>6176</v>
      </c>
      <c r="N439" s="11"/>
      <c r="O439" s="11"/>
      <c r="P439" s="11" t="s">
        <v>6154</v>
      </c>
      <c r="Q439" s="19"/>
      <c r="R439" s="19" t="s">
        <v>6177</v>
      </c>
      <c r="S439" s="23" t="str">
        <f>HYPERLINK("https://www.google.com/maps/search/" &amp; Table24[[#This Row],[Tên hẻm]], "Xem trên Google Maps")</f>
        <v>Xem trên Google Maps</v>
      </c>
      <c r="T439" s="16" t="str">
        <f>"Hẻm "&amp;Table24[[#This Row],[Hẻm]]&amp;" "&amp;Table24[[#This Row],[Tuyến đường]]&amp;", Phường "&amp;Table24[[#This Row],[Phường]]&amp;", Quận "&amp;Table24[[#This Row],[Quận]]</f>
        <v>Hẻm Hẻm 160 Đội cung, Phường Bình thới , Quận 11</v>
      </c>
      <c r="U439" s="36"/>
      <c r="V439" s="78" t="e">
        <f>HYPERLINK("https://www.google.com/maps/search/?api=1&amp;query=" &amp; _xlfn.ENCODEURL(Table24[[#This Row],[Tên hẻm]]), "Link Google Map")</f>
        <v>#VALUE!</v>
      </c>
    </row>
    <row r="440" spans="1:22" ht="47.25">
      <c r="A440" s="11">
        <v>462</v>
      </c>
      <c r="B440" s="16" t="s">
        <v>6178</v>
      </c>
      <c r="C440" s="16" t="s">
        <v>6179</v>
      </c>
      <c r="D440" s="11">
        <v>11</v>
      </c>
      <c r="E440" s="11" t="s">
        <v>6179</v>
      </c>
      <c r="F440" s="11" t="s">
        <v>3635</v>
      </c>
      <c r="G440" s="172" t="s">
        <v>6180</v>
      </c>
      <c r="H440" s="11"/>
      <c r="I440" s="11"/>
      <c r="J440" s="11" t="s">
        <v>4855</v>
      </c>
      <c r="K440" s="173" t="s">
        <v>6178</v>
      </c>
      <c r="L440" s="11">
        <v>3</v>
      </c>
      <c r="M440" s="31" t="s">
        <v>6181</v>
      </c>
      <c r="N440" s="11"/>
      <c r="O440" s="11"/>
      <c r="P440" s="11" t="s">
        <v>6154</v>
      </c>
      <c r="Q440" s="19"/>
      <c r="R440" s="19" t="s">
        <v>6182</v>
      </c>
      <c r="S440" s="23" t="str">
        <f>HYPERLINK("https://www.google.com/maps/search/" &amp; Table24[[#This Row],[Tên hẻm]], "Xem trên Google Maps")</f>
        <v>Xem trên Google Maps</v>
      </c>
      <c r="T440" s="16" t="str">
        <f>"Hẻm "&amp;Table24[[#This Row],[Hẻm]]&amp;" "&amp;Table24[[#This Row],[Tuyến đường]]&amp;", Phường "&amp;Table24[[#This Row],[Phường]]&amp;", Quận "&amp;Table24[[#This Row],[Quận]]</f>
        <v>Hẻm Hẻm 177/6 Bình thới, Phường Bình thới, Quận 11</v>
      </c>
      <c r="U440" s="36"/>
      <c r="V440" s="78" t="e">
        <f>HYPERLINK("https://www.google.com/maps/search/?api=1&amp;query=" &amp; _xlfn.ENCODEURL(Table24[[#This Row],[Tên hẻm]]), "Link Google Map")</f>
        <v>#VALUE!</v>
      </c>
    </row>
    <row r="441" spans="1:22" ht="47.25">
      <c r="A441" s="11">
        <v>463</v>
      </c>
      <c r="B441" s="16" t="s">
        <v>6183</v>
      </c>
      <c r="C441" s="16" t="s">
        <v>6149</v>
      </c>
      <c r="D441" s="11">
        <v>11</v>
      </c>
      <c r="E441" s="11" t="s">
        <v>6179</v>
      </c>
      <c r="F441" s="11" t="s">
        <v>6184</v>
      </c>
      <c r="G441" s="172" t="s">
        <v>4993</v>
      </c>
      <c r="H441" s="11"/>
      <c r="I441" s="11"/>
      <c r="J441" s="11" t="s">
        <v>6179</v>
      </c>
      <c r="K441" s="173" t="s">
        <v>6174</v>
      </c>
      <c r="L441" s="11">
        <v>2</v>
      </c>
      <c r="M441" s="31" t="s">
        <v>6185</v>
      </c>
      <c r="N441" s="11"/>
      <c r="O441" s="11"/>
      <c r="P441" s="11" t="s">
        <v>6154</v>
      </c>
      <c r="Q441" s="19"/>
      <c r="R441" s="19" t="s">
        <v>6186</v>
      </c>
      <c r="S441" s="23" t="str">
        <f>HYPERLINK("https://www.google.com/maps/search/" &amp; Table24[[#This Row],[Tên hẻm]], "Xem trên Google Maps")</f>
        <v>Xem trên Google Maps</v>
      </c>
      <c r="T441" s="16" t="str">
        <f>"Hẻm "&amp;Table24[[#This Row],[Hẻm]]&amp;" "&amp;Table24[[#This Row],[Tuyến đường]]&amp;", Phường "&amp;Table24[[#This Row],[Phường]]&amp;", Quận "&amp;Table24[[#This Row],[Quận]]</f>
        <v>Hẻm Hẻm 181J  Bình thới , Phường Bình thới, Quận 11</v>
      </c>
      <c r="U441" s="36"/>
      <c r="V441" s="78" t="e">
        <f>HYPERLINK("https://www.google.com/maps/search/?api=1&amp;query=" &amp; _xlfn.ENCODEURL(Table24[[#This Row],[Tên hẻm]]), "Link Google Map")</f>
        <v>#VALUE!</v>
      </c>
    </row>
    <row r="442" spans="1:22" ht="47.25">
      <c r="A442" s="11">
        <v>464</v>
      </c>
      <c r="B442" s="16" t="s">
        <v>6187</v>
      </c>
      <c r="C442" s="16" t="s">
        <v>6188</v>
      </c>
      <c r="D442" s="11">
        <v>10</v>
      </c>
      <c r="E442" s="11" t="s">
        <v>6189</v>
      </c>
      <c r="F442" s="11" t="s">
        <v>3437</v>
      </c>
      <c r="G442" s="172" t="s">
        <v>6190</v>
      </c>
      <c r="H442" s="11"/>
      <c r="I442" s="11"/>
      <c r="J442" s="11" t="s">
        <v>6191</v>
      </c>
      <c r="K442" s="173" t="s">
        <v>6192</v>
      </c>
      <c r="L442" s="11">
        <v>12</v>
      </c>
      <c r="M442" s="31" t="s">
        <v>6193</v>
      </c>
      <c r="N442" s="11"/>
      <c r="O442" s="11"/>
      <c r="P442" s="11" t="s">
        <v>6154</v>
      </c>
      <c r="Q442" s="19"/>
      <c r="R442" s="19" t="s">
        <v>6194</v>
      </c>
      <c r="S442" s="23" t="str">
        <f>HYPERLINK("https://www.google.com/maps/search/" &amp; Table24[[#This Row],[Tên hẻm]], "Xem trên Google Maps")</f>
        <v>Xem trên Google Maps</v>
      </c>
      <c r="T442" s="16" t="str">
        <f>"Hẻm "&amp;Table24[[#This Row],[Hẻm]]&amp;" "&amp;Table24[[#This Row],[Tuyến đường]]&amp;", Phường "&amp;Table24[[#This Row],[Phường]]&amp;", Quận "&amp;Table24[[#This Row],[Quận]]</f>
        <v>Hẻm Hẻm 273 Tô Hiến Thành, Phường Hoà hưng , Quận 10</v>
      </c>
      <c r="U442" s="36"/>
      <c r="V442" s="78" t="e">
        <f>HYPERLINK("https://www.google.com/maps/search/?api=1&amp;query=" &amp; _xlfn.ENCODEURL(Table24[[#This Row],[Tên hẻm]]), "Link Google Map")</f>
        <v>#VALUE!</v>
      </c>
    </row>
    <row r="443" spans="1:22" ht="47.25">
      <c r="A443" s="11">
        <v>465</v>
      </c>
      <c r="B443" s="16" t="s">
        <v>6195</v>
      </c>
      <c r="C443" s="16" t="s">
        <v>6196</v>
      </c>
      <c r="D443" s="11" t="s">
        <v>230</v>
      </c>
      <c r="E443" s="11" t="s">
        <v>741</v>
      </c>
      <c r="F443" s="11" t="s">
        <v>6197</v>
      </c>
      <c r="G443" s="172">
        <v>5</v>
      </c>
      <c r="H443" s="11"/>
      <c r="I443" s="11"/>
      <c r="J443" s="11" t="s">
        <v>6198</v>
      </c>
      <c r="K443" s="173" t="s">
        <v>6199</v>
      </c>
      <c r="L443" s="11">
        <v>5</v>
      </c>
      <c r="M443" s="31" t="s">
        <v>6200</v>
      </c>
      <c r="N443" s="11"/>
      <c r="O443" s="11"/>
      <c r="P443" s="11" t="s">
        <v>5323</v>
      </c>
      <c r="Q443" s="19"/>
      <c r="R443" s="19" t="s">
        <v>6201</v>
      </c>
      <c r="S443" s="23" t="str">
        <f>HYPERLINK("https://www.google.com/maps/search/" &amp; Table24[[#This Row],[Tên hẻm]], "Xem trên Google Maps")</f>
        <v>Xem trên Google Maps</v>
      </c>
      <c r="T443" s="16" t="str">
        <f>"Hẻm "&amp;Table24[[#This Row],[Hẻm]]&amp;" "&amp;Table24[[#This Row],[Tuyến đường]]&amp;", Phường "&amp;Table24[[#This Row],[Phường]]&amp;", Quận "&amp;Table24[[#This Row],[Quận]]</f>
        <v>Hẻm hẻm 180   Nguyễn Hữu Cảnh, Phường Thạnh Mỹ Tây, Quận BT</v>
      </c>
      <c r="U443" s="36"/>
      <c r="V443" s="78" t="e">
        <f>HYPERLINK("https://www.google.com/maps/search/?api=1&amp;query=" &amp; _xlfn.ENCODEURL(Table24[[#This Row],[Tên hẻm]]), "Link Google Map")</f>
        <v>#VALUE!</v>
      </c>
    </row>
    <row r="444" spans="1:22" ht="47.25">
      <c r="A444" s="11">
        <v>466</v>
      </c>
      <c r="B444" s="16" t="s">
        <v>6202</v>
      </c>
      <c r="C444" s="16" t="s">
        <v>6196</v>
      </c>
      <c r="D444" s="11" t="s">
        <v>230</v>
      </c>
      <c r="E444" s="11" t="s">
        <v>741</v>
      </c>
      <c r="F444" s="11" t="s">
        <v>6203</v>
      </c>
      <c r="G444" s="172">
        <v>5</v>
      </c>
      <c r="H444" s="11"/>
      <c r="I444" s="11"/>
      <c r="J444" s="11" t="s">
        <v>6204</v>
      </c>
      <c r="K444" s="173" t="s">
        <v>6205</v>
      </c>
      <c r="L444" s="11">
        <v>6</v>
      </c>
      <c r="M444" s="31" t="s">
        <v>6206</v>
      </c>
      <c r="N444" s="11"/>
      <c r="O444" s="11"/>
      <c r="P444" s="11" t="s">
        <v>5323</v>
      </c>
      <c r="Q444" s="19"/>
      <c r="R444" s="19" t="s">
        <v>6201</v>
      </c>
      <c r="S444" s="23" t="str">
        <f>HYPERLINK("https://www.google.com/maps/search/" &amp; Table24[[#This Row],[Tên hẻm]], "Xem trên Google Maps")</f>
        <v>Xem trên Google Maps</v>
      </c>
      <c r="T444" s="16" t="str">
        <f>"Hẻm "&amp;Table24[[#This Row],[Hẻm]]&amp;" "&amp;Table24[[#This Row],[Tuyến đường]]&amp;", Phường "&amp;Table24[[#This Row],[Phường]]&amp;", Quận "&amp;Table24[[#This Row],[Quận]]</f>
        <v>Hẻm Hẻm 180 Nguyễn Hữu Cảnh, Phường Thạnh Mỹ Tây, Quận BT</v>
      </c>
      <c r="U444" s="36"/>
      <c r="V444" s="78" t="e">
        <f>HYPERLINK("https://www.google.com/maps/search/?api=1&amp;query=" &amp; _xlfn.ENCODEURL(Table24[[#This Row],[Tên hẻm]]), "Link Google Map")</f>
        <v>#VALUE!</v>
      </c>
    </row>
    <row r="445" spans="1:22" ht="47.25">
      <c r="A445" s="11">
        <v>467</v>
      </c>
      <c r="B445" s="16">
        <v>180</v>
      </c>
      <c r="C445" s="16" t="s">
        <v>6196</v>
      </c>
      <c r="D445" s="11" t="s">
        <v>230</v>
      </c>
      <c r="E445" s="11" t="s">
        <v>6207</v>
      </c>
      <c r="F445" s="11" t="s">
        <v>6197</v>
      </c>
      <c r="G445" s="172">
        <v>5</v>
      </c>
      <c r="H445" s="11"/>
      <c r="I445" s="11"/>
      <c r="J445" s="11" t="s">
        <v>6204</v>
      </c>
      <c r="K445" s="173" t="s">
        <v>6208</v>
      </c>
      <c r="L445" s="11">
        <v>5</v>
      </c>
      <c r="M445" s="31" t="s">
        <v>6209</v>
      </c>
      <c r="N445" s="11"/>
      <c r="O445" s="11"/>
      <c r="P445" s="11" t="s">
        <v>5323</v>
      </c>
      <c r="Q445" s="19"/>
      <c r="R445" s="19" t="s">
        <v>6201</v>
      </c>
      <c r="S445" s="23" t="str">
        <f>HYPERLINK("https://www.google.com/maps/search/" &amp; Table24[[#This Row],[Tên hẻm]], "Xem trên Google Maps")</f>
        <v>Xem trên Google Maps</v>
      </c>
      <c r="T445" s="16" t="str">
        <f>"Hẻm "&amp;Table24[[#This Row],[Hẻm]]&amp;" "&amp;Table24[[#This Row],[Tuyến đường]]&amp;", Phường "&amp;Table24[[#This Row],[Phường]]&amp;", Quận "&amp;Table24[[#This Row],[Quận]]</f>
        <v>Hẻm 180 Nguyễn Hữu Cảnh, Phường Thạnh mỹ Tây, Quận BT</v>
      </c>
      <c r="U445" s="36"/>
      <c r="V445" s="78" t="e">
        <f>HYPERLINK("https://www.google.com/maps/search/?api=1&amp;query=" &amp; _xlfn.ENCODEURL(Table24[[#This Row],[Tên hẻm]]), "Link Google Map")</f>
        <v>#VALUE!</v>
      </c>
    </row>
    <row r="446" spans="1:22" ht="47.25">
      <c r="A446" s="11">
        <v>468</v>
      </c>
      <c r="B446" s="16" t="s">
        <v>6210</v>
      </c>
      <c r="C446" s="16" t="s">
        <v>6211</v>
      </c>
      <c r="D446" s="11" t="s">
        <v>6212</v>
      </c>
      <c r="E446" s="11" t="s">
        <v>6213</v>
      </c>
      <c r="F446" s="11" t="s">
        <v>6214</v>
      </c>
      <c r="G446" s="172" t="s">
        <v>6190</v>
      </c>
      <c r="H446" s="11"/>
      <c r="I446" s="11"/>
      <c r="J446" s="11" t="s">
        <v>6215</v>
      </c>
      <c r="K446" s="173">
        <v>656</v>
      </c>
      <c r="L446" s="11" t="s">
        <v>6216</v>
      </c>
      <c r="M446" s="31" t="s">
        <v>6217</v>
      </c>
      <c r="N446" s="11"/>
      <c r="O446" s="11"/>
      <c r="P446" s="11" t="s">
        <v>6218</v>
      </c>
      <c r="Q446" s="19"/>
      <c r="R446" s="19" t="s">
        <v>6219</v>
      </c>
      <c r="S446" s="23" t="str">
        <f>HYPERLINK("https://www.google.com/maps/search/" &amp; Table24[[#This Row],[Tên hẻm]], "Xem trên Google Maps")</f>
        <v>Xem trên Google Maps</v>
      </c>
      <c r="T446" s="16" t="str">
        <f>"Hẻm "&amp;Table24[[#This Row],[Hẻm]]&amp;" "&amp;Table24[[#This Row],[Tuyến đường]]&amp;", Phường "&amp;Table24[[#This Row],[Phường]]&amp;", Quận "&amp;Table24[[#This Row],[Quận]]</f>
        <v xml:space="preserve">Hẻm Hẻm 658- CMT8  Đường CMT8 , Phường Phường nhiêu lộc , Quận Q3(cũ </v>
      </c>
      <c r="U446" s="36"/>
      <c r="V446" s="78" t="e">
        <f>HYPERLINK("https://www.google.com/maps/search/?api=1&amp;query=" &amp; _xlfn.ENCODEURL(Table24[[#This Row],[Tên hẻm]]), "Link Google Map")</f>
        <v>#VALUE!</v>
      </c>
    </row>
    <row r="447" spans="1:22" ht="47.25">
      <c r="A447" s="11">
        <v>469</v>
      </c>
      <c r="B447" s="16" t="s">
        <v>6220</v>
      </c>
      <c r="C447" s="16" t="s">
        <v>6191</v>
      </c>
      <c r="D447" s="11" t="s">
        <v>6221</v>
      </c>
      <c r="E447" s="11" t="s">
        <v>6222</v>
      </c>
      <c r="F447" s="11" t="s">
        <v>6223</v>
      </c>
      <c r="G447" s="172" t="s">
        <v>4993</v>
      </c>
      <c r="H447" s="11"/>
      <c r="I447" s="11"/>
      <c r="J447" s="11" t="s">
        <v>6223</v>
      </c>
      <c r="K447" s="173" t="s">
        <v>6220</v>
      </c>
      <c r="L447" s="11" t="s">
        <v>6224</v>
      </c>
      <c r="M447" s="31" t="s">
        <v>6225</v>
      </c>
      <c r="N447" s="11"/>
      <c r="O447" s="11"/>
      <c r="P447" s="11" t="s">
        <v>6154</v>
      </c>
      <c r="Q447" s="19"/>
      <c r="R447" s="19" t="s">
        <v>6226</v>
      </c>
      <c r="S447" s="23" t="str">
        <f>HYPERLINK("https://www.google.com/maps/search/" &amp; Table24[[#This Row],[Tên hẻm]], "Xem trên Google Maps")</f>
        <v>Xem trên Google Maps</v>
      </c>
      <c r="T447" s="16" t="str">
        <f>"Hẻm "&amp;Table24[[#This Row],[Hẻm]]&amp;" "&amp;Table24[[#This Row],[Tuyến đường]]&amp;", Phường "&amp;Table24[[#This Row],[Phường]]&amp;", Quận "&amp;Table24[[#This Row],[Quận]]</f>
        <v>Hẻm Hẻm 495/4 Tô Hiến Thành , Phường Diên Hồng , Quận 10cũ</v>
      </c>
      <c r="U447" s="36"/>
      <c r="V447" s="78" t="e">
        <f>HYPERLINK("https://www.google.com/maps/search/?api=1&amp;query=" &amp; _xlfn.ENCODEURL(Table24[[#This Row],[Tên hẻm]]), "Link Google Map")</f>
        <v>#VALUE!</v>
      </c>
    </row>
    <row r="448" spans="1:22" ht="47.25">
      <c r="A448" s="11">
        <v>470</v>
      </c>
      <c r="B448" s="16" t="s">
        <v>6227</v>
      </c>
      <c r="C448" s="16" t="s">
        <v>6228</v>
      </c>
      <c r="D448" s="11" t="s">
        <v>6229</v>
      </c>
      <c r="E448" s="11" t="s">
        <v>6230</v>
      </c>
      <c r="F448" s="11" t="s">
        <v>6231</v>
      </c>
      <c r="G448" s="172" t="s">
        <v>4993</v>
      </c>
      <c r="H448" s="11"/>
      <c r="I448" s="11"/>
      <c r="J448" s="11" t="s">
        <v>6228</v>
      </c>
      <c r="K448" s="173" t="s">
        <v>6232</v>
      </c>
      <c r="L448" s="11">
        <v>6</v>
      </c>
      <c r="M448" s="31" t="s">
        <v>6233</v>
      </c>
      <c r="N448" s="11"/>
      <c r="O448" s="11"/>
      <c r="P448" s="11" t="s">
        <v>6154</v>
      </c>
      <c r="Q448" s="19"/>
      <c r="R448" s="19" t="s">
        <v>6234</v>
      </c>
      <c r="S448" s="23" t="str">
        <f>HYPERLINK("https://www.google.com/maps/search/" &amp; Table24[[#This Row],[Tên hẻm]], "Xem trên Google Maps")</f>
        <v>Xem trên Google Maps</v>
      </c>
      <c r="T448" s="16" t="str">
        <f>"Hẻm "&amp;Table24[[#This Row],[Hẻm]]&amp;" "&amp;Table24[[#This Row],[Tuyến đường]]&amp;", Phường "&amp;Table24[[#This Row],[Phường]]&amp;", Quận "&amp;Table24[[#This Row],[Quận]]</f>
        <v xml:space="preserve">Hẻm Hẻm 382 Điện Biên phủ , Phường Vườn lài, Quận 10 cũ </v>
      </c>
      <c r="U448" s="36"/>
      <c r="V448" s="78" t="e">
        <f>HYPERLINK("https://www.google.com/maps/search/?api=1&amp;query=" &amp; _xlfn.ENCODEURL(Table24[[#This Row],[Tên hẻm]]), "Link Google Map")</f>
        <v>#VALUE!</v>
      </c>
    </row>
    <row r="449" spans="1:22" ht="47.25">
      <c r="A449" s="11">
        <v>471</v>
      </c>
      <c r="B449" s="16" t="s">
        <v>6235</v>
      </c>
      <c r="C449" s="16" t="s">
        <v>6191</v>
      </c>
      <c r="D449" s="11">
        <v>10</v>
      </c>
      <c r="E449" s="11" t="s">
        <v>6222</v>
      </c>
      <c r="F449" s="11" t="s">
        <v>6236</v>
      </c>
      <c r="G449" s="172" t="s">
        <v>5647</v>
      </c>
      <c r="H449" s="11"/>
      <c r="I449" s="11"/>
      <c r="J449" s="11" t="s">
        <v>6237</v>
      </c>
      <c r="K449" s="173" t="s">
        <v>6238</v>
      </c>
      <c r="L449" s="11">
        <v>4</v>
      </c>
      <c r="M449" s="31" t="s">
        <v>6239</v>
      </c>
      <c r="N449" s="11"/>
      <c r="O449" s="11"/>
      <c r="P449" s="11" t="s">
        <v>6154</v>
      </c>
      <c r="Q449" s="19"/>
      <c r="R449" s="19" t="s">
        <v>6240</v>
      </c>
      <c r="S449" s="23" t="str">
        <f>HYPERLINK("https://www.google.com/maps/search/" &amp; Table24[[#This Row],[Tên hẻm]], "Xem trên Google Maps")</f>
        <v>Xem trên Google Maps</v>
      </c>
      <c r="T449" s="16" t="str">
        <f>"Hẻm "&amp;Table24[[#This Row],[Hẻm]]&amp;" "&amp;Table24[[#This Row],[Tuyến đường]]&amp;", Phường "&amp;Table24[[#This Row],[Phường]]&amp;", Quận "&amp;Table24[[#This Row],[Quận]]</f>
        <v>Hẻm Hẻm 451 Tô Hiến Thành , Phường Diên Hồng , Quận 10</v>
      </c>
      <c r="U449" s="36"/>
      <c r="V449" s="78" t="e">
        <f>HYPERLINK("https://www.google.com/maps/search/?api=1&amp;query=" &amp; _xlfn.ENCODEURL(Table24[[#This Row],[Tên hẻm]]), "Link Google Map")</f>
        <v>#VALUE!</v>
      </c>
    </row>
    <row r="450" spans="1:22" ht="30.75">
      <c r="A450" s="219">
        <v>472</v>
      </c>
      <c r="B450" s="220" t="s">
        <v>6241</v>
      </c>
      <c r="C450" s="220" t="s">
        <v>5174</v>
      </c>
      <c r="D450" s="219" t="s">
        <v>6242</v>
      </c>
      <c r="E450" s="219" t="s">
        <v>6243</v>
      </c>
      <c r="F450" s="219" t="s">
        <v>6244</v>
      </c>
      <c r="G450" s="221">
        <v>7</v>
      </c>
      <c r="H450" s="219"/>
      <c r="I450" s="219"/>
      <c r="J450" s="219" t="s">
        <v>5174</v>
      </c>
      <c r="K450" s="222" t="s">
        <v>6245</v>
      </c>
      <c r="L450" s="219">
        <v>1</v>
      </c>
      <c r="M450" s="223" t="s">
        <v>6246</v>
      </c>
      <c r="N450" s="219"/>
      <c r="O450" s="219"/>
      <c r="P450" s="219" t="s">
        <v>5164</v>
      </c>
      <c r="Q450" s="224"/>
      <c r="R450" s="224"/>
      <c r="S450" s="23" t="str">
        <f>HYPERLINK("https://www.google.com/maps/search/" &amp; Table24[[#This Row],[Tên hẻm]], "Xem trên Google Maps")</f>
        <v>Xem trên Google Maps</v>
      </c>
      <c r="T450" s="220" t="str">
        <f>"Hẻm "&amp;Table24[[#This Row],[Hẻm]]&amp;" "&amp;Table24[[#This Row],[Tuyến đường]]&amp;", Phường "&amp;Table24[[#This Row],[Phường]]&amp;", Quận "&amp;Table24[[#This Row],[Quận]]</f>
        <v xml:space="preserve">Hẻm 220 trần hưng đạo  Trần Hưng Đạo , Phường Chợ lớn , Quận 5 cũ </v>
      </c>
      <c r="U450" s="225"/>
      <c r="V450" s="78" t="e">
        <f>HYPERLINK("https://www.google.com/maps/search/?api=1&amp;query=" &amp; _xlfn.ENCODEURL(Table24[[#This Row],[Tên hẻm]]), "Link Google Map")</f>
        <v>#VALUE!</v>
      </c>
    </row>
  </sheetData>
  <phoneticPr fontId="6" type="noConversion"/>
  <hyperlinks>
    <hyperlink ref="Q72" r:id="rId1" xr:uid="{905D7417-FDE9-4E0C-ABA9-E564CD101882}"/>
    <hyperlink ref="Q56" r:id="rId2" xr:uid="{FA607D7A-7B53-444F-8C0A-F903B5691398}"/>
    <hyperlink ref="Q57" r:id="rId3" xr:uid="{3F4EB70F-AA0C-467C-82A8-AB33B08D77C5}"/>
    <hyperlink ref="Q58" r:id="rId4" xr:uid="{E5FF3CC2-B65D-4AAE-8CA0-5F2E646E053B}"/>
    <hyperlink ref="Q59" r:id="rId5" xr:uid="{C7354AD2-73B9-4728-8CAF-B71F490D0EB0}"/>
    <hyperlink ref="Q61" r:id="rId6" xr:uid="{8C456E9C-94BC-4DEB-8015-4630408DBCE4}"/>
    <hyperlink ref="Q60" r:id="rId7" xr:uid="{0FA95748-F1C3-4980-96B0-F1EAD0119BFB}"/>
    <hyperlink ref="Q62" r:id="rId8" xr:uid="{D02355DA-12F6-45BE-993F-E8F2F4930DEB}"/>
    <hyperlink ref="Q63" r:id="rId9" xr:uid="{E980685E-3130-451A-8BD3-A97C0AF4F5CC}"/>
    <hyperlink ref="Q64" r:id="rId10" xr:uid="{74AB080F-E5CD-4A48-9689-98B90A2E605B}"/>
    <hyperlink ref="Q65" r:id="rId11" xr:uid="{940138A8-D6C9-4310-900A-E822C9533D60}"/>
    <hyperlink ref="Q66" r:id="rId12" xr:uid="{D9C72B87-9B71-4138-80DD-0CB4B1DF4501}"/>
    <hyperlink ref="Q67" r:id="rId13" xr:uid="{A310CC99-BFCD-4D65-9354-884259500238}"/>
    <hyperlink ref="Q68" r:id="rId14" xr:uid="{363046E9-5E02-45AC-96C0-297978EC09FC}"/>
    <hyperlink ref="Q69" r:id="rId15" xr:uid="{C282D8D3-EE29-43F5-81EA-44CCBB9B216C}"/>
    <hyperlink ref="Q70" r:id="rId16" xr:uid="{155A8CB0-773A-4240-82D0-9A1DD22C0A8B}"/>
    <hyperlink ref="Q71" r:id="rId17" xr:uid="{1116BEA2-F918-4906-B2A2-9C229842F12D}"/>
    <hyperlink ref="Q73" r:id="rId18" xr:uid="{CAA61BD5-4332-4A63-BCF7-482272B4CC42}"/>
    <hyperlink ref="Q74" r:id="rId19" xr:uid="{FF52E95D-025E-4108-9C05-73DBAC5BA757}"/>
    <hyperlink ref="Q75" r:id="rId20" xr:uid="{FF51AEE5-FFC2-4B38-B17A-9F2AB4932A5E}"/>
    <hyperlink ref="Q52" r:id="rId21" xr:uid="{89D51DFE-1BEB-46DF-A91C-4AE7D19CA6E5}"/>
    <hyperlink ref="Q51" r:id="rId22" xr:uid="{C5B2BBB6-630E-438E-914E-F91711D0B194}"/>
    <hyperlink ref="Q49" r:id="rId23" xr:uid="{8273B860-BD41-4046-AC1A-F8A29E4666AF}"/>
    <hyperlink ref="Q54" r:id="rId24" xr:uid="{736049D8-B3DF-489A-B22E-96BCE6509B53}"/>
    <hyperlink ref="Q53" r:id="rId25" xr:uid="{5BF1A31F-5151-460F-9BA9-D9C5529BACBB}"/>
    <hyperlink ref="Q50" r:id="rId26" xr:uid="{57B0413D-4CAC-46C3-9CCA-10F4FCCD1CC0}"/>
    <hyperlink ref="Q2" r:id="rId27" xr:uid="{48A6BDE9-A130-4A55-BB1B-B4193D21370F}"/>
    <hyperlink ref="Q3" r:id="rId28" xr:uid="{C02D9BE7-D0E0-4EFD-BA99-BB840033EF84}"/>
    <hyperlink ref="Q4" r:id="rId29" xr:uid="{8F8D8331-ECDC-4589-A274-8A1D66D2D307}"/>
    <hyperlink ref="Q5" r:id="rId30" xr:uid="{C2AAB5AD-6F96-4C77-9F77-DA2B582A6C4C}"/>
    <hyperlink ref="Q6" r:id="rId31" xr:uid="{A7DC602F-0C30-4868-9A78-6390DF03C8FC}"/>
    <hyperlink ref="Q7" r:id="rId32" xr:uid="{9D498F33-A0B4-4F73-98CB-8A83CF1E9D6B}"/>
    <hyperlink ref="Q8" r:id="rId33" xr:uid="{5FDAF0F1-F633-4BE3-8D6D-1FCB8D127E4E}"/>
    <hyperlink ref="Q10" r:id="rId34" xr:uid="{D6724668-E27F-4976-8EEF-132FFD524B31}"/>
    <hyperlink ref="Q11" r:id="rId35" xr:uid="{A2E84F5E-6693-4C61-9BA3-41D20A64397C}"/>
    <hyperlink ref="Q12" r:id="rId36" xr:uid="{D04203A8-4CC6-46A3-A746-EC63C0F0FBF6}"/>
    <hyperlink ref="Q13" r:id="rId37" xr:uid="{F7FDE06A-4425-4A82-9D9A-21690183FBBF}"/>
    <hyperlink ref="Q14" r:id="rId38" xr:uid="{305FD318-A0B2-49FA-A49A-F506B4896E03}"/>
    <hyperlink ref="Q15" r:id="rId39" xr:uid="{F0CA4836-0BC1-49F7-BB55-E8DC14C90457}"/>
    <hyperlink ref="Q16" r:id="rId40" xr:uid="{D08805F5-E02A-4F19-9BE2-87EDE2058BBA}"/>
    <hyperlink ref="Q31" r:id="rId41" xr:uid="{1851FF1D-68AE-46CA-AEBC-84F6133D7B64}"/>
    <hyperlink ref="Q32" r:id="rId42" xr:uid="{765C39C3-3ABC-4751-8FAA-DF0F532B6E71}"/>
    <hyperlink ref="Q33" r:id="rId43" xr:uid="{D9DFE9BE-42DD-497F-8F7F-7EE3E859183A}"/>
    <hyperlink ref="Q34" r:id="rId44" xr:uid="{45F6817D-778B-4001-AE6E-2B48D1AF508B}"/>
    <hyperlink ref="Q35" r:id="rId45" xr:uid="{757BA318-53DE-45DF-B22E-F8D45B0BF8E4}"/>
    <hyperlink ref="Q36" r:id="rId46" xr:uid="{6AF78E11-6407-4A83-BD64-F78E80C8D384}"/>
    <hyperlink ref="Q37" r:id="rId47" xr:uid="{8BC7C101-25EF-4FE0-8066-BC98FB975F65}"/>
    <hyperlink ref="Q38" r:id="rId48" xr:uid="{3824D064-5F06-487D-9FB2-4168824A07E4}"/>
    <hyperlink ref="Q39" r:id="rId49" xr:uid="{EE0BE0BC-0A41-4251-98BA-1487B0721867}"/>
    <hyperlink ref="Q40" r:id="rId50" xr:uid="{084A7BE2-47BF-4D83-B607-6C7208AF07E0}"/>
    <hyperlink ref="Q41" r:id="rId51" xr:uid="{3C9EE202-F3D5-403E-AFC3-2A96AC1D15E0}"/>
    <hyperlink ref="Q42" r:id="rId52" xr:uid="{6FA23A14-CDC3-4D99-A5AA-F2F3D08DD0C3}"/>
    <hyperlink ref="Q43" r:id="rId53" xr:uid="{37328E55-8470-4546-BC43-EF1DA9A51AD5}"/>
    <hyperlink ref="Q44" r:id="rId54" xr:uid="{15C08A2C-1397-476E-8BE3-E319F30936CE}"/>
    <hyperlink ref="Q45" r:id="rId55" xr:uid="{EC380254-85DE-4940-847B-80680282DB29}"/>
    <hyperlink ref="Q46" r:id="rId56" xr:uid="{211A3922-1E63-4D12-A130-B735544832C6}"/>
    <hyperlink ref="Q47" r:id="rId57" xr:uid="{329FE64B-1C40-4258-9C30-8EC2828FC78D}"/>
    <hyperlink ref="Q48" r:id="rId58" xr:uid="{3D9AF461-499A-472C-8552-A8332A45419A}"/>
  </hyperlinks>
  <printOptions headings="1"/>
  <pageMargins left="0.7" right="0.7" top="0.75" bottom="0.75" header="0.3" footer="0.3"/>
  <pageSetup paperSize="8" scale="88" fitToHeight="0" orientation="landscape" r:id="rId59"/>
  <legacyDrawing r:id="rId60"/>
  <tableParts count="1">
    <tablePart r:id="rId6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D525-DD00-4B28-9110-45B11A6BEE20}">
  <sheetPr codeName="Sheet3">
    <tabColor rgb="FF002060"/>
  </sheetPr>
  <dimension ref="A1:W102"/>
  <sheetViews>
    <sheetView tabSelected="1" zoomScale="70" zoomScaleNormal="70" workbookViewId="0">
      <selection activeCell="E18" sqref="E18"/>
    </sheetView>
  </sheetViews>
  <sheetFormatPr defaultRowHeight="14.25"/>
  <cols>
    <col min="1" max="1" width="4.75" customWidth="1"/>
    <col min="2" max="2" width="39.375" customWidth="1"/>
    <col min="3" max="3" width="10" style="43" customWidth="1"/>
    <col min="4" max="4" width="13.75" style="48" customWidth="1"/>
    <col min="5" max="5" width="38.375" customWidth="1"/>
    <col min="6" max="6" width="12.25" customWidth="1"/>
    <col min="7" max="7" width="9.25" customWidth="1"/>
    <col min="8" max="8" width="11.25" bestFit="1" customWidth="1"/>
    <col min="9" max="9" width="17.75" customWidth="1"/>
    <col min="10" max="10" width="19.125" customWidth="1"/>
    <col min="11" max="17" width="16.25" customWidth="1"/>
    <col min="18" max="18" width="14.75" customWidth="1"/>
    <col min="19" max="19" width="9.25" customWidth="1"/>
    <col min="21" max="21" width="16.375" customWidth="1"/>
    <col min="22" max="22" width="40.25" customWidth="1"/>
    <col min="23" max="23" width="35.625" customWidth="1"/>
  </cols>
  <sheetData>
    <row r="1" spans="1:23" s="3" customFormat="1" ht="33.75" customHeight="1">
      <c r="A1" s="28" t="s">
        <v>0</v>
      </c>
      <c r="B1" s="28" t="s">
        <v>2</v>
      </c>
      <c r="C1" s="41" t="s">
        <v>3</v>
      </c>
      <c r="D1" s="44" t="s">
        <v>4</v>
      </c>
      <c r="E1" s="28" t="s">
        <v>5</v>
      </c>
      <c r="F1" s="28" t="s">
        <v>6</v>
      </c>
      <c r="G1" s="28" t="s">
        <v>4329</v>
      </c>
      <c r="H1" s="28" t="s">
        <v>4330</v>
      </c>
      <c r="I1" s="28" t="s">
        <v>7</v>
      </c>
      <c r="J1" s="28" t="s">
        <v>8</v>
      </c>
      <c r="K1" s="28" t="s">
        <v>4331</v>
      </c>
      <c r="L1" s="28" t="s">
        <v>6247</v>
      </c>
      <c r="M1" s="28" t="s">
        <v>6248</v>
      </c>
      <c r="N1" s="28" t="s">
        <v>6249</v>
      </c>
      <c r="O1" s="28" t="s">
        <v>6250</v>
      </c>
      <c r="P1" s="28" t="s">
        <v>6251</v>
      </c>
      <c r="Q1" s="28" t="s">
        <v>6252</v>
      </c>
      <c r="R1" s="28" t="s">
        <v>9</v>
      </c>
      <c r="S1" s="28" t="s">
        <v>11</v>
      </c>
      <c r="T1" s="28" t="s">
        <v>10</v>
      </c>
      <c r="U1" s="28" t="s">
        <v>13</v>
      </c>
      <c r="V1" s="28" t="s">
        <v>14</v>
      </c>
      <c r="W1" s="29" t="s">
        <v>189</v>
      </c>
    </row>
    <row r="2" spans="1:23">
      <c r="A2" s="2"/>
      <c r="B2" s="2"/>
      <c r="C2" s="42"/>
      <c r="D2" s="45"/>
      <c r="E2" s="2"/>
      <c r="F2" s="2"/>
      <c r="G2" s="2"/>
      <c r="H2" s="2"/>
      <c r="I2" s="2"/>
      <c r="J2" s="2"/>
      <c r="K2" s="2"/>
      <c r="L2" s="2"/>
      <c r="M2" s="2"/>
      <c r="N2" s="2"/>
      <c r="O2" s="2"/>
      <c r="P2" s="2"/>
      <c r="Q2" s="2"/>
      <c r="R2" s="186"/>
      <c r="S2" s="2"/>
      <c r="T2" s="2"/>
      <c r="U2" s="2"/>
      <c r="V2" s="2"/>
      <c r="W2" s="3"/>
    </row>
    <row r="3" spans="1:23" s="38" customFormat="1">
      <c r="A3" s="38">
        <v>1</v>
      </c>
      <c r="B3" s="38" t="s">
        <v>1497</v>
      </c>
      <c r="C3" s="43">
        <v>5</v>
      </c>
      <c r="D3" s="46" t="s">
        <v>6253</v>
      </c>
      <c r="E3" s="38" t="s">
        <v>6254</v>
      </c>
      <c r="F3">
        <v>12</v>
      </c>
      <c r="G3" t="s">
        <v>6255</v>
      </c>
      <c r="H3">
        <v>2</v>
      </c>
      <c r="I3" t="s">
        <v>1617</v>
      </c>
      <c r="J3" t="s">
        <v>6256</v>
      </c>
      <c r="K3">
        <v>20</v>
      </c>
      <c r="L3"/>
      <c r="M3">
        <v>272</v>
      </c>
      <c r="N3">
        <v>215</v>
      </c>
      <c r="O3"/>
      <c r="P3"/>
      <c r="Q3"/>
      <c r="R3" s="178">
        <v>45499.355231481481</v>
      </c>
      <c r="S3"/>
      <c r="T3"/>
      <c r="U3" t="s">
        <v>6257</v>
      </c>
      <c r="V3" s="24" t="s">
        <v>6258</v>
      </c>
      <c r="W3" s="70"/>
    </row>
    <row r="4" spans="1:23" s="38" customFormat="1">
      <c r="C4" s="43"/>
      <c r="D4" s="46"/>
      <c r="F4"/>
      <c r="G4"/>
      <c r="H4"/>
      <c r="I4"/>
      <c r="J4"/>
      <c r="K4"/>
      <c r="L4"/>
      <c r="M4"/>
      <c r="N4"/>
      <c r="O4"/>
      <c r="P4"/>
      <c r="Q4"/>
      <c r="R4" s="178"/>
      <c r="S4"/>
      <c r="T4"/>
      <c r="U4"/>
      <c r="V4" s="24"/>
      <c r="W4" s="70"/>
    </row>
    <row r="5" spans="1:23" s="38" customFormat="1">
      <c r="A5" s="38">
        <v>6</v>
      </c>
      <c r="B5" s="38" t="s">
        <v>2998</v>
      </c>
      <c r="C5" s="43">
        <v>10</v>
      </c>
      <c r="D5" s="46">
        <v>11</v>
      </c>
      <c r="E5" s="38" t="s">
        <v>2997</v>
      </c>
      <c r="F5">
        <v>6</v>
      </c>
      <c r="G5" t="s">
        <v>6255</v>
      </c>
      <c r="H5">
        <v>2</v>
      </c>
      <c r="I5" t="s">
        <v>6259</v>
      </c>
      <c r="J5" t="s">
        <v>6260</v>
      </c>
      <c r="K5">
        <v>10</v>
      </c>
      <c r="L5"/>
      <c r="M5"/>
      <c r="N5">
        <v>2</v>
      </c>
      <c r="O5"/>
      <c r="P5">
        <v>8</v>
      </c>
      <c r="Q5">
        <v>271</v>
      </c>
      <c r="R5" s="178">
        <v>45507.117812500001</v>
      </c>
      <c r="S5"/>
      <c r="T5"/>
      <c r="U5" t="s">
        <v>6257</v>
      </c>
      <c r="V5" s="24"/>
      <c r="W5" s="70" t="s">
        <v>4643</v>
      </c>
    </row>
    <row r="6" spans="1:23" s="38" customFormat="1">
      <c r="A6" s="38">
        <v>7</v>
      </c>
      <c r="B6" s="38" t="s">
        <v>6261</v>
      </c>
      <c r="C6" s="43">
        <v>10</v>
      </c>
      <c r="D6" s="46">
        <v>14</v>
      </c>
      <c r="E6" s="38" t="s">
        <v>3170</v>
      </c>
      <c r="F6">
        <v>9</v>
      </c>
      <c r="G6" t="s">
        <v>6255</v>
      </c>
      <c r="H6">
        <v>4</v>
      </c>
      <c r="I6" t="s">
        <v>4936</v>
      </c>
      <c r="J6" t="s">
        <v>6262</v>
      </c>
      <c r="K6">
        <v>6</v>
      </c>
      <c r="L6"/>
      <c r="M6"/>
      <c r="N6"/>
      <c r="O6"/>
      <c r="P6">
        <v>6</v>
      </c>
      <c r="Q6">
        <v>188</v>
      </c>
      <c r="R6" s="178">
        <v>45507.119155092594</v>
      </c>
      <c r="S6"/>
      <c r="T6"/>
      <c r="U6" t="s">
        <v>6257</v>
      </c>
      <c r="V6" s="24"/>
      <c r="W6" s="70" t="s">
        <v>4643</v>
      </c>
    </row>
    <row r="7" spans="1:23" s="38" customFormat="1">
      <c r="A7" s="38">
        <v>8</v>
      </c>
      <c r="B7" s="38" t="s">
        <v>3082</v>
      </c>
      <c r="C7" s="43">
        <v>10</v>
      </c>
      <c r="D7" s="46">
        <v>6</v>
      </c>
      <c r="E7" s="38" t="s">
        <v>2959</v>
      </c>
      <c r="F7">
        <v>8</v>
      </c>
      <c r="G7" t="s">
        <v>6255</v>
      </c>
      <c r="H7">
        <v>2</v>
      </c>
      <c r="I7" t="s">
        <v>1106</v>
      </c>
      <c r="J7" t="s">
        <v>6263</v>
      </c>
      <c r="K7">
        <v>10</v>
      </c>
      <c r="L7"/>
      <c r="M7"/>
      <c r="N7">
        <v>13</v>
      </c>
      <c r="O7"/>
      <c r="P7">
        <v>10</v>
      </c>
      <c r="Q7">
        <v>303</v>
      </c>
      <c r="R7" s="178">
        <v>45507.12164351852</v>
      </c>
      <c r="S7"/>
      <c r="T7"/>
      <c r="U7" t="s">
        <v>6257</v>
      </c>
      <c r="V7" s="24"/>
      <c r="W7" s="70" t="s">
        <v>4643</v>
      </c>
    </row>
    <row r="8" spans="1:23" s="38" customFormat="1">
      <c r="A8" s="38">
        <v>9</v>
      </c>
      <c r="B8" s="38" t="s">
        <v>1106</v>
      </c>
      <c r="C8" s="43">
        <v>10</v>
      </c>
      <c r="D8" s="46">
        <v>7</v>
      </c>
      <c r="E8" s="38" t="s">
        <v>3093</v>
      </c>
      <c r="F8">
        <v>8</v>
      </c>
      <c r="G8" t="s">
        <v>6255</v>
      </c>
      <c r="H8">
        <v>4</v>
      </c>
      <c r="I8" t="s">
        <v>3082</v>
      </c>
      <c r="J8" t="s">
        <v>6264</v>
      </c>
      <c r="K8">
        <v>2</v>
      </c>
      <c r="L8"/>
      <c r="M8">
        <v>56</v>
      </c>
      <c r="N8"/>
      <c r="O8"/>
      <c r="P8">
        <v>3</v>
      </c>
      <c r="Q8">
        <v>56</v>
      </c>
      <c r="R8" s="178">
        <v>45507.123877314814</v>
      </c>
      <c r="S8"/>
      <c r="T8"/>
      <c r="U8" t="s">
        <v>6257</v>
      </c>
      <c r="V8" s="24"/>
      <c r="W8" s="70" t="s">
        <v>4643</v>
      </c>
    </row>
    <row r="9" spans="1:23" s="38" customFormat="1">
      <c r="A9" s="38">
        <v>10</v>
      </c>
      <c r="B9" s="38" t="s">
        <v>1699</v>
      </c>
      <c r="C9" s="43">
        <v>8</v>
      </c>
      <c r="D9" s="46">
        <v>16</v>
      </c>
      <c r="E9" s="38" t="s">
        <v>6265</v>
      </c>
      <c r="F9">
        <v>10.5</v>
      </c>
      <c r="G9" t="s">
        <v>6255</v>
      </c>
      <c r="H9">
        <v>4</v>
      </c>
      <c r="I9" t="s">
        <v>6266</v>
      </c>
      <c r="J9" t="s">
        <v>6267</v>
      </c>
      <c r="K9">
        <v>22</v>
      </c>
      <c r="L9"/>
      <c r="M9">
        <v>525</v>
      </c>
      <c r="N9">
        <v>78</v>
      </c>
      <c r="O9"/>
      <c r="P9"/>
      <c r="Q9"/>
      <c r="R9" s="178">
        <v>45507.125868055555</v>
      </c>
      <c r="S9"/>
      <c r="T9"/>
      <c r="U9" t="s">
        <v>6257</v>
      </c>
      <c r="V9" s="24"/>
      <c r="W9" s="70" t="s">
        <v>4643</v>
      </c>
    </row>
    <row r="10" spans="1:23" s="38" customFormat="1">
      <c r="A10" s="38">
        <v>11</v>
      </c>
      <c r="B10" s="38" t="s">
        <v>6268</v>
      </c>
      <c r="C10" s="43">
        <v>8</v>
      </c>
      <c r="D10" s="46">
        <v>5</v>
      </c>
      <c r="E10" s="38" t="s">
        <v>6269</v>
      </c>
      <c r="F10">
        <v>6</v>
      </c>
      <c r="G10" t="s">
        <v>6255</v>
      </c>
      <c r="H10">
        <v>2</v>
      </c>
      <c r="I10" t="s">
        <v>6270</v>
      </c>
      <c r="J10" t="s">
        <v>6271</v>
      </c>
      <c r="K10">
        <v>22</v>
      </c>
      <c r="L10"/>
      <c r="M10">
        <v>187</v>
      </c>
      <c r="N10">
        <v>34</v>
      </c>
      <c r="O10"/>
      <c r="P10"/>
      <c r="Q10"/>
      <c r="R10" s="178">
        <v>45507.128229166665</v>
      </c>
      <c r="S10"/>
      <c r="T10"/>
      <c r="U10" t="s">
        <v>6257</v>
      </c>
      <c r="V10" s="24"/>
      <c r="W10" s="70" t="s">
        <v>4643</v>
      </c>
    </row>
    <row r="11" spans="1:23" s="38" customFormat="1">
      <c r="A11" s="38">
        <v>12</v>
      </c>
      <c r="B11" s="38" t="s">
        <v>6272</v>
      </c>
      <c r="C11" s="43">
        <v>8</v>
      </c>
      <c r="D11" s="46">
        <v>4</v>
      </c>
      <c r="E11" s="38" t="s">
        <v>2052</v>
      </c>
      <c r="F11">
        <v>8</v>
      </c>
      <c r="G11" t="s">
        <v>6255</v>
      </c>
      <c r="H11">
        <v>2</v>
      </c>
      <c r="I11" t="s">
        <v>4927</v>
      </c>
      <c r="J11" t="s">
        <v>6273</v>
      </c>
      <c r="K11">
        <v>12</v>
      </c>
      <c r="L11"/>
      <c r="M11"/>
      <c r="N11"/>
      <c r="O11"/>
      <c r="P11"/>
      <c r="Q11"/>
      <c r="R11" s="178">
        <v>45507.1328587963</v>
      </c>
      <c r="S11"/>
      <c r="T11"/>
      <c r="U11" t="s">
        <v>6257</v>
      </c>
      <c r="V11" s="24"/>
      <c r="W11" s="70" t="s">
        <v>4643</v>
      </c>
    </row>
    <row r="12" spans="1:23" s="38" customFormat="1">
      <c r="A12" s="38">
        <v>13</v>
      </c>
      <c r="B12" s="38" t="s">
        <v>6274</v>
      </c>
      <c r="C12" s="43">
        <v>8</v>
      </c>
      <c r="D12" s="46">
        <v>4</v>
      </c>
      <c r="E12" s="38" t="s">
        <v>2060</v>
      </c>
      <c r="F12">
        <v>8</v>
      </c>
      <c r="G12" t="s">
        <v>6255</v>
      </c>
      <c r="H12">
        <v>2</v>
      </c>
      <c r="I12" t="s">
        <v>2053</v>
      </c>
      <c r="J12" t="s">
        <v>6273</v>
      </c>
      <c r="K12">
        <v>5</v>
      </c>
      <c r="L12"/>
      <c r="M12"/>
      <c r="N12"/>
      <c r="O12"/>
      <c r="P12"/>
      <c r="Q12"/>
      <c r="R12" s="178">
        <v>45507.133877314816</v>
      </c>
      <c r="S12"/>
      <c r="T12"/>
      <c r="U12" t="s">
        <v>6257</v>
      </c>
      <c r="V12" s="24"/>
      <c r="W12" s="70" t="s">
        <v>4643</v>
      </c>
    </row>
    <row r="13" spans="1:23" s="38" customFormat="1">
      <c r="A13" s="38">
        <v>14</v>
      </c>
      <c r="B13" s="38" t="s">
        <v>6275</v>
      </c>
      <c r="C13" s="43">
        <v>8</v>
      </c>
      <c r="D13" s="46">
        <v>4</v>
      </c>
      <c r="E13" s="38" t="s">
        <v>2060</v>
      </c>
      <c r="F13">
        <v>8</v>
      </c>
      <c r="G13" t="s">
        <v>6255</v>
      </c>
      <c r="H13">
        <v>2</v>
      </c>
      <c r="I13" t="s">
        <v>2053</v>
      </c>
      <c r="J13" t="s">
        <v>6273</v>
      </c>
      <c r="K13">
        <v>5</v>
      </c>
      <c r="L13"/>
      <c r="M13"/>
      <c r="N13"/>
      <c r="O13"/>
      <c r="P13"/>
      <c r="Q13"/>
      <c r="R13" s="178">
        <v>45507.135057870371</v>
      </c>
      <c r="S13"/>
      <c r="T13"/>
      <c r="U13" t="s">
        <v>6257</v>
      </c>
      <c r="V13" s="24"/>
      <c r="W13" s="70" t="s">
        <v>4643</v>
      </c>
    </row>
    <row r="14" spans="1:23" s="38" customFormat="1">
      <c r="A14" s="38">
        <v>15</v>
      </c>
      <c r="B14" s="38" t="s">
        <v>2061</v>
      </c>
      <c r="C14" s="43">
        <v>8</v>
      </c>
      <c r="D14" s="46">
        <v>4</v>
      </c>
      <c r="E14" s="38" t="s">
        <v>2060</v>
      </c>
      <c r="F14">
        <v>6</v>
      </c>
      <c r="G14" t="s">
        <v>6255</v>
      </c>
      <c r="H14">
        <v>2</v>
      </c>
      <c r="I14" t="s">
        <v>2053</v>
      </c>
      <c r="J14" t="s">
        <v>6273</v>
      </c>
      <c r="K14">
        <v>4</v>
      </c>
      <c r="L14"/>
      <c r="M14"/>
      <c r="N14"/>
      <c r="O14"/>
      <c r="P14"/>
      <c r="Q14"/>
      <c r="R14" s="178">
        <v>45507.138923611114</v>
      </c>
      <c r="S14"/>
      <c r="T14"/>
      <c r="U14" t="s">
        <v>6257</v>
      </c>
      <c r="V14" s="24"/>
      <c r="W14" s="70" t="s">
        <v>4643</v>
      </c>
    </row>
    <row r="15" spans="1:23" s="38" customFormat="1">
      <c r="A15" s="38">
        <v>16</v>
      </c>
      <c r="B15" s="38" t="s">
        <v>6276</v>
      </c>
      <c r="C15" s="43">
        <v>8</v>
      </c>
      <c r="D15" s="46">
        <v>4</v>
      </c>
      <c r="E15" s="38" t="s">
        <v>2060</v>
      </c>
      <c r="F15">
        <v>8</v>
      </c>
      <c r="G15" t="s">
        <v>6255</v>
      </c>
      <c r="H15">
        <v>2</v>
      </c>
      <c r="I15" t="s">
        <v>4927</v>
      </c>
      <c r="J15" t="s">
        <v>6273</v>
      </c>
      <c r="K15">
        <v>13</v>
      </c>
      <c r="L15"/>
      <c r="M15"/>
      <c r="N15"/>
      <c r="O15"/>
      <c r="P15"/>
      <c r="Q15"/>
      <c r="R15" s="178">
        <v>45507.139988425923</v>
      </c>
      <c r="S15"/>
      <c r="T15"/>
      <c r="U15" t="s">
        <v>6257</v>
      </c>
      <c r="V15" s="24"/>
      <c r="W15" s="70" t="s">
        <v>4643</v>
      </c>
    </row>
    <row r="16" spans="1:23" s="38" customFormat="1">
      <c r="A16" s="38">
        <v>17</v>
      </c>
      <c r="B16" s="38" t="s">
        <v>6277</v>
      </c>
      <c r="C16" s="43">
        <v>8</v>
      </c>
      <c r="D16" s="46">
        <v>4</v>
      </c>
      <c r="E16" s="38" t="s">
        <v>6278</v>
      </c>
      <c r="F16">
        <v>8</v>
      </c>
      <c r="G16" t="s">
        <v>6279</v>
      </c>
      <c r="H16">
        <v>4</v>
      </c>
      <c r="I16" t="s">
        <v>4927</v>
      </c>
      <c r="J16" t="s">
        <v>2053</v>
      </c>
      <c r="K16">
        <v>14</v>
      </c>
      <c r="L16"/>
      <c r="M16"/>
      <c r="N16"/>
      <c r="O16"/>
      <c r="P16"/>
      <c r="Q16"/>
      <c r="R16" s="178">
        <v>45507.141412037039</v>
      </c>
      <c r="S16"/>
      <c r="T16"/>
      <c r="U16" t="s">
        <v>6257</v>
      </c>
      <c r="V16" s="24"/>
      <c r="W16" s="70" t="s">
        <v>4643</v>
      </c>
    </row>
    <row r="17" spans="1:23" s="38" customFormat="1">
      <c r="A17" s="38">
        <v>18</v>
      </c>
      <c r="B17" s="38" t="s">
        <v>6280</v>
      </c>
      <c r="C17" s="43">
        <v>8</v>
      </c>
      <c r="D17" s="46">
        <v>4</v>
      </c>
      <c r="E17" s="38" t="s">
        <v>2068</v>
      </c>
      <c r="F17">
        <v>8</v>
      </c>
      <c r="G17" t="s">
        <v>6255</v>
      </c>
      <c r="H17">
        <v>2</v>
      </c>
      <c r="I17" t="s">
        <v>4927</v>
      </c>
      <c r="J17" t="s">
        <v>2053</v>
      </c>
      <c r="K17">
        <v>8</v>
      </c>
      <c r="L17"/>
      <c r="M17"/>
      <c r="N17"/>
      <c r="O17"/>
      <c r="P17"/>
      <c r="Q17"/>
      <c r="R17" s="178">
        <v>45507.142442129632</v>
      </c>
      <c r="S17"/>
      <c r="T17"/>
      <c r="U17" t="s">
        <v>6257</v>
      </c>
      <c r="V17" s="24"/>
      <c r="W17" s="70" t="s">
        <v>4643</v>
      </c>
    </row>
    <row r="18" spans="1:23" s="38" customFormat="1">
      <c r="A18" s="38">
        <v>19</v>
      </c>
      <c r="B18" s="38" t="s">
        <v>6281</v>
      </c>
      <c r="C18" s="43">
        <v>8</v>
      </c>
      <c r="D18" s="46">
        <v>4</v>
      </c>
      <c r="E18" s="38" t="s">
        <v>2068</v>
      </c>
      <c r="F18">
        <v>8</v>
      </c>
      <c r="G18" t="s">
        <v>6255</v>
      </c>
      <c r="H18">
        <v>2</v>
      </c>
      <c r="I18" t="s">
        <v>4927</v>
      </c>
      <c r="J18" t="s">
        <v>2053</v>
      </c>
      <c r="K18">
        <v>25</v>
      </c>
      <c r="L18"/>
      <c r="M18"/>
      <c r="N18"/>
      <c r="O18"/>
      <c r="P18"/>
      <c r="Q18"/>
      <c r="R18" s="178">
        <v>45507.144097222219</v>
      </c>
      <c r="S18"/>
      <c r="T18"/>
      <c r="U18" t="s">
        <v>6257</v>
      </c>
      <c r="V18" s="24"/>
      <c r="W18" s="70" t="s">
        <v>4643</v>
      </c>
    </row>
    <row r="19" spans="1:23" s="38" customFormat="1">
      <c r="A19" s="38">
        <v>20</v>
      </c>
      <c r="B19" s="38" t="s">
        <v>2053</v>
      </c>
      <c r="C19" s="43">
        <v>8</v>
      </c>
      <c r="D19" s="46">
        <v>4</v>
      </c>
      <c r="E19" s="38" t="s">
        <v>6282</v>
      </c>
      <c r="F19">
        <v>8</v>
      </c>
      <c r="G19" t="s">
        <v>6255</v>
      </c>
      <c r="H19">
        <v>2</v>
      </c>
      <c r="I19" t="s">
        <v>6270</v>
      </c>
      <c r="J19" t="s">
        <v>2223</v>
      </c>
      <c r="K19">
        <v>23</v>
      </c>
      <c r="L19"/>
      <c r="M19"/>
      <c r="N19"/>
      <c r="O19"/>
      <c r="P19"/>
      <c r="Q19"/>
      <c r="R19" s="178">
        <v>45507.147615740738</v>
      </c>
      <c r="S19"/>
      <c r="T19"/>
      <c r="U19" t="s">
        <v>6257</v>
      </c>
      <c r="V19" s="24"/>
      <c r="W19" s="70" t="s">
        <v>4643</v>
      </c>
    </row>
    <row r="20" spans="1:23" s="38" customFormat="1">
      <c r="A20" s="38">
        <v>21</v>
      </c>
      <c r="B20" s="38" t="s">
        <v>6273</v>
      </c>
      <c r="C20" s="43">
        <v>8</v>
      </c>
      <c r="D20" s="46">
        <v>4</v>
      </c>
      <c r="E20" s="38" t="s">
        <v>2060</v>
      </c>
      <c r="F20">
        <v>11</v>
      </c>
      <c r="G20" t="s">
        <v>6255</v>
      </c>
      <c r="H20">
        <v>4</v>
      </c>
      <c r="I20" t="s">
        <v>2061</v>
      </c>
      <c r="J20" t="s">
        <v>2223</v>
      </c>
      <c r="K20">
        <v>14</v>
      </c>
      <c r="L20"/>
      <c r="M20"/>
      <c r="N20"/>
      <c r="O20"/>
      <c r="P20"/>
      <c r="Q20"/>
      <c r="R20" s="178">
        <v>45507.149548611109</v>
      </c>
      <c r="S20"/>
      <c r="T20"/>
      <c r="U20" t="s">
        <v>6257</v>
      </c>
      <c r="V20" s="24"/>
      <c r="W20" s="70" t="s">
        <v>4643</v>
      </c>
    </row>
    <row r="21" spans="1:23" s="38" customFormat="1" ht="22.5" customHeight="1">
      <c r="A21" s="38">
        <v>22</v>
      </c>
      <c r="B21" s="38" t="s">
        <v>6283</v>
      </c>
      <c r="C21" s="43" t="s">
        <v>304</v>
      </c>
      <c r="D21" s="46" t="s">
        <v>6284</v>
      </c>
      <c r="E21" s="38" t="s">
        <v>6285</v>
      </c>
      <c r="F21">
        <v>8.5</v>
      </c>
      <c r="G21" t="s">
        <v>6255</v>
      </c>
      <c r="H21">
        <v>2</v>
      </c>
      <c r="I21" t="s">
        <v>6286</v>
      </c>
      <c r="J21" t="s">
        <v>6287</v>
      </c>
      <c r="K21">
        <v>52</v>
      </c>
      <c r="L21" t="s">
        <v>6283</v>
      </c>
      <c r="M21">
        <v>96.7</v>
      </c>
      <c r="N21">
        <v>1378</v>
      </c>
      <c r="O21">
        <v>10</v>
      </c>
      <c r="P21"/>
      <c r="Q21"/>
      <c r="R21" s="178">
        <v>45508.533784722225</v>
      </c>
      <c r="S21"/>
      <c r="T21"/>
      <c r="U21" t="s">
        <v>6288</v>
      </c>
      <c r="V21" s="24"/>
      <c r="W21" s="70" t="s">
        <v>6289</v>
      </c>
    </row>
    <row r="22" spans="1:23" s="38" customFormat="1">
      <c r="A22" s="38">
        <v>23</v>
      </c>
      <c r="B22" s="38" t="s">
        <v>6290</v>
      </c>
      <c r="C22" s="43" t="s">
        <v>304</v>
      </c>
      <c r="D22" s="46" t="s">
        <v>6291</v>
      </c>
      <c r="E22" s="38" t="s">
        <v>6292</v>
      </c>
      <c r="F22">
        <v>9</v>
      </c>
      <c r="G22" t="s">
        <v>6255</v>
      </c>
      <c r="H22">
        <v>2</v>
      </c>
      <c r="I22" t="s">
        <v>6293</v>
      </c>
      <c r="J22" t="s">
        <v>6283</v>
      </c>
      <c r="K22">
        <v>19</v>
      </c>
      <c r="L22" t="s">
        <v>6290</v>
      </c>
      <c r="M22">
        <v>477.3</v>
      </c>
      <c r="N22">
        <v>46.5</v>
      </c>
      <c r="O22"/>
      <c r="P22"/>
      <c r="Q22"/>
      <c r="R22" s="178">
        <v>45508.551724537036</v>
      </c>
      <c r="S22"/>
      <c r="T22"/>
      <c r="U22" t="s">
        <v>6288</v>
      </c>
      <c r="V22" s="24"/>
      <c r="W22" s="70" t="s">
        <v>6289</v>
      </c>
    </row>
    <row r="23" spans="1:23" s="38" customFormat="1">
      <c r="A23" s="38">
        <v>24</v>
      </c>
      <c r="B23" s="38" t="s">
        <v>6294</v>
      </c>
      <c r="C23" s="43">
        <v>5</v>
      </c>
      <c r="D23" s="46">
        <v>12</v>
      </c>
      <c r="E23" s="38" t="s">
        <v>6295</v>
      </c>
      <c r="F23">
        <v>15</v>
      </c>
      <c r="G23" t="s">
        <v>6279</v>
      </c>
      <c r="H23">
        <v>4</v>
      </c>
      <c r="I23" t="s">
        <v>5337</v>
      </c>
      <c r="J23" t="s">
        <v>6043</v>
      </c>
      <c r="K23">
        <v>22</v>
      </c>
      <c r="L23" t="s">
        <v>6296</v>
      </c>
      <c r="M23">
        <v>8</v>
      </c>
      <c r="N23"/>
      <c r="O23"/>
      <c r="P23" t="s">
        <v>6297</v>
      </c>
      <c r="Q23"/>
      <c r="R23" s="178">
        <v>45510.323344907411</v>
      </c>
      <c r="S23"/>
      <c r="T23"/>
      <c r="U23" t="s">
        <v>4544</v>
      </c>
      <c r="V23" s="24"/>
      <c r="W23" s="70"/>
    </row>
    <row r="24" spans="1:23" s="38" customFormat="1">
      <c r="C24" s="43"/>
      <c r="D24" s="46"/>
      <c r="F24"/>
      <c r="G24"/>
      <c r="H24"/>
      <c r="I24"/>
      <c r="J24"/>
      <c r="K24"/>
      <c r="L24"/>
      <c r="M24"/>
      <c r="N24"/>
      <c r="O24"/>
      <c r="P24"/>
      <c r="Q24"/>
      <c r="R24" s="178"/>
      <c r="S24"/>
      <c r="T24"/>
      <c r="U24"/>
      <c r="V24" s="24"/>
      <c r="W24" s="70"/>
    </row>
    <row r="25" spans="1:23" s="43" customFormat="1">
      <c r="A25" s="43">
        <v>25</v>
      </c>
      <c r="B25" s="43" t="s">
        <v>6294</v>
      </c>
      <c r="C25" s="43">
        <v>11</v>
      </c>
      <c r="D25" s="49">
        <v>4</v>
      </c>
      <c r="E25" s="43" t="s">
        <v>6298</v>
      </c>
      <c r="F25">
        <v>15</v>
      </c>
      <c r="G25" t="s">
        <v>6279</v>
      </c>
      <c r="H25">
        <v>4</v>
      </c>
      <c r="I25" t="s">
        <v>6299</v>
      </c>
      <c r="J25" t="s">
        <v>6043</v>
      </c>
      <c r="K25">
        <v>24</v>
      </c>
      <c r="L25" t="s">
        <v>6300</v>
      </c>
      <c r="M25">
        <v>16</v>
      </c>
      <c r="N25">
        <v>7</v>
      </c>
      <c r="O25"/>
      <c r="P25" t="s">
        <v>6301</v>
      </c>
      <c r="Q25"/>
      <c r="R25" s="178">
        <v>45510.328645833331</v>
      </c>
      <c r="S25"/>
      <c r="T25"/>
      <c r="U25" t="s">
        <v>4544</v>
      </c>
      <c r="V25" s="24"/>
      <c r="W25" s="70"/>
    </row>
    <row r="26" spans="1:23" s="43" customFormat="1">
      <c r="A26" s="43">
        <v>26</v>
      </c>
      <c r="B26" s="43" t="s">
        <v>6302</v>
      </c>
      <c r="C26" s="43">
        <v>5</v>
      </c>
      <c r="D26" s="49" t="s">
        <v>6303</v>
      </c>
      <c r="E26" s="43" t="s">
        <v>6304</v>
      </c>
      <c r="F26">
        <v>6</v>
      </c>
      <c r="G26" t="s">
        <v>6255</v>
      </c>
      <c r="H26">
        <v>2</v>
      </c>
      <c r="I26" t="s">
        <v>6305</v>
      </c>
      <c r="J26" t="s">
        <v>6306</v>
      </c>
      <c r="K26">
        <v>27</v>
      </c>
      <c r="L26" t="s">
        <v>6302</v>
      </c>
      <c r="M26">
        <f>372+25+ 202</f>
        <v>599</v>
      </c>
      <c r="N26">
        <f>100 + 8</f>
        <v>108</v>
      </c>
      <c r="O26"/>
      <c r="P26">
        <v>22</v>
      </c>
      <c r="Q26"/>
      <c r="R26" s="178">
        <v>45510.441469907404</v>
      </c>
      <c r="S26"/>
      <c r="T26"/>
      <c r="U26" t="s">
        <v>4544</v>
      </c>
      <c r="V26" s="24"/>
      <c r="W26" s="70"/>
    </row>
    <row r="27" spans="1:23" s="43" customFormat="1">
      <c r="A27" s="43">
        <v>27</v>
      </c>
      <c r="B27" s="43" t="s">
        <v>6307</v>
      </c>
      <c r="C27" s="43">
        <v>5</v>
      </c>
      <c r="D27" s="49">
        <v>12</v>
      </c>
      <c r="E27" s="43" t="s">
        <v>1294</v>
      </c>
      <c r="F27">
        <v>5</v>
      </c>
      <c r="G27" t="s">
        <v>6255</v>
      </c>
      <c r="H27">
        <v>2</v>
      </c>
      <c r="I27" t="s">
        <v>6308</v>
      </c>
      <c r="J27" t="s">
        <v>6302</v>
      </c>
      <c r="K27">
        <v>8</v>
      </c>
      <c r="L27" t="s">
        <v>6307</v>
      </c>
      <c r="M27"/>
      <c r="N27">
        <v>240</v>
      </c>
      <c r="O27"/>
      <c r="P27">
        <v>8</v>
      </c>
      <c r="Q27"/>
      <c r="R27" s="178">
        <v>45510.445775462962</v>
      </c>
      <c r="S27"/>
      <c r="T27"/>
      <c r="U27" t="s">
        <v>4544</v>
      </c>
      <c r="V27" s="24"/>
      <c r="W27" s="70"/>
    </row>
    <row r="28" spans="1:23" s="43" customFormat="1">
      <c r="A28" s="43">
        <v>28</v>
      </c>
      <c r="B28" s="43" t="s">
        <v>6309</v>
      </c>
      <c r="C28" s="43">
        <v>5</v>
      </c>
      <c r="D28" s="49">
        <v>14</v>
      </c>
      <c r="E28" s="43" t="s">
        <v>1230</v>
      </c>
      <c r="F28">
        <v>7</v>
      </c>
      <c r="G28" t="s">
        <v>6255</v>
      </c>
      <c r="H28">
        <v>2</v>
      </c>
      <c r="I28" t="s">
        <v>6310</v>
      </c>
      <c r="J28" t="s">
        <v>6311</v>
      </c>
      <c r="K28">
        <v>9</v>
      </c>
      <c r="L28" t="s">
        <v>6309</v>
      </c>
      <c r="M28">
        <v>240</v>
      </c>
      <c r="N28"/>
      <c r="O28"/>
      <c r="P28">
        <v>9</v>
      </c>
      <c r="Q28"/>
      <c r="R28" s="178">
        <v>45511.379467592589</v>
      </c>
      <c r="S28"/>
      <c r="T28"/>
      <c r="U28" t="s">
        <v>4544</v>
      </c>
      <c r="V28" s="24"/>
      <c r="W28" s="70"/>
    </row>
    <row r="29" spans="1:23" s="43" customFormat="1">
      <c r="A29" s="43">
        <v>29</v>
      </c>
      <c r="B29" s="43" t="s">
        <v>6311</v>
      </c>
      <c r="C29" s="43">
        <v>5</v>
      </c>
      <c r="D29" s="49">
        <v>14</v>
      </c>
      <c r="E29" s="43" t="s">
        <v>6312</v>
      </c>
      <c r="F29" t="s">
        <v>6313</v>
      </c>
      <c r="G29" t="s">
        <v>6255</v>
      </c>
      <c r="H29">
        <v>4</v>
      </c>
      <c r="I29" t="s">
        <v>5337</v>
      </c>
      <c r="J29" t="s">
        <v>6314</v>
      </c>
      <c r="K29">
        <v>10</v>
      </c>
      <c r="L29" t="s">
        <v>6311</v>
      </c>
      <c r="M29">
        <v>60</v>
      </c>
      <c r="N29">
        <v>140</v>
      </c>
      <c r="O29"/>
      <c r="P29">
        <v>9</v>
      </c>
      <c r="Q29"/>
      <c r="R29" s="178">
        <v>45511.396620370368</v>
      </c>
      <c r="S29"/>
      <c r="T29"/>
      <c r="U29" t="s">
        <v>4544</v>
      </c>
      <c r="V29" s="24"/>
      <c r="W29" s="70"/>
    </row>
    <row r="30" spans="1:23" s="43" customFormat="1">
      <c r="A30" s="43">
        <v>30</v>
      </c>
      <c r="B30" s="43" t="s">
        <v>6314</v>
      </c>
      <c r="C30" s="43">
        <v>5</v>
      </c>
      <c r="D30" s="49">
        <v>14</v>
      </c>
      <c r="E30" s="43" t="s">
        <v>6311</v>
      </c>
      <c r="F30">
        <v>6</v>
      </c>
      <c r="G30" t="s">
        <v>6255</v>
      </c>
      <c r="H30">
        <v>2</v>
      </c>
      <c r="I30" t="s">
        <v>6315</v>
      </c>
      <c r="J30" t="s">
        <v>6311</v>
      </c>
      <c r="K30">
        <v>3</v>
      </c>
      <c r="L30" t="s">
        <v>6314</v>
      </c>
      <c r="M30">
        <v>67</v>
      </c>
      <c r="N30"/>
      <c r="O30"/>
      <c r="P30">
        <v>2</v>
      </c>
      <c r="Q30"/>
      <c r="R30" s="178">
        <v>45511.399467592593</v>
      </c>
      <c r="S30"/>
      <c r="T30"/>
      <c r="U30" t="s">
        <v>4544</v>
      </c>
      <c r="V30" s="24"/>
      <c r="W30" s="70"/>
    </row>
    <row r="31" spans="1:23" s="43" customFormat="1">
      <c r="A31" s="43">
        <v>31</v>
      </c>
      <c r="B31" s="43" t="s">
        <v>6316</v>
      </c>
      <c r="C31" s="43">
        <v>5</v>
      </c>
      <c r="D31" s="49" t="s">
        <v>6317</v>
      </c>
      <c r="E31" s="43" t="s">
        <v>6318</v>
      </c>
      <c r="F31" t="s">
        <v>6319</v>
      </c>
      <c r="G31" t="s">
        <v>6255</v>
      </c>
      <c r="H31">
        <v>2</v>
      </c>
      <c r="I31" t="s">
        <v>5539</v>
      </c>
      <c r="J31" t="s">
        <v>6320</v>
      </c>
      <c r="K31">
        <v>19</v>
      </c>
      <c r="L31" t="s">
        <v>6316</v>
      </c>
      <c r="M31">
        <v>385</v>
      </c>
      <c r="N31">
        <v>20</v>
      </c>
      <c r="O31"/>
      <c r="P31">
        <v>15</v>
      </c>
      <c r="Q31"/>
      <c r="R31" s="178">
        <v>45511.41609953704</v>
      </c>
      <c r="S31"/>
      <c r="T31"/>
      <c r="U31" t="s">
        <v>4544</v>
      </c>
      <c r="V31" s="24"/>
      <c r="W31" s="70"/>
    </row>
    <row r="32" spans="1:23" s="43" customFormat="1">
      <c r="A32" s="43">
        <v>32</v>
      </c>
      <c r="B32" s="43" t="s">
        <v>6321</v>
      </c>
      <c r="C32" s="43">
        <v>5</v>
      </c>
      <c r="D32" s="49">
        <v>13</v>
      </c>
      <c r="E32" s="43" t="s">
        <v>1198</v>
      </c>
      <c r="F32">
        <v>4</v>
      </c>
      <c r="G32" t="s">
        <v>6255</v>
      </c>
      <c r="H32">
        <v>2</v>
      </c>
      <c r="I32" t="s">
        <v>6305</v>
      </c>
      <c r="J32" t="s">
        <v>6322</v>
      </c>
      <c r="K32">
        <v>5</v>
      </c>
      <c r="L32" t="s">
        <v>6321</v>
      </c>
      <c r="M32">
        <v>130</v>
      </c>
      <c r="N32"/>
      <c r="O32"/>
      <c r="P32">
        <v>4</v>
      </c>
      <c r="Q32"/>
      <c r="R32" s="178">
        <v>45512.380902777775</v>
      </c>
      <c r="S32"/>
      <c r="T32"/>
      <c r="U32" t="s">
        <v>4544</v>
      </c>
      <c r="V32" s="24"/>
      <c r="W32" s="70"/>
    </row>
    <row r="33" spans="1:23" s="43" customFormat="1">
      <c r="A33" s="43">
        <v>33</v>
      </c>
      <c r="B33" s="43" t="s">
        <v>6323</v>
      </c>
      <c r="C33" s="43">
        <v>5</v>
      </c>
      <c r="D33" s="50">
        <v>8.819444444444445E-2</v>
      </c>
      <c r="E33" s="43" t="s">
        <v>6324</v>
      </c>
      <c r="F33" t="s">
        <v>6325</v>
      </c>
      <c r="G33" t="s">
        <v>6255</v>
      </c>
      <c r="H33">
        <v>2</v>
      </c>
      <c r="I33" t="s">
        <v>5156</v>
      </c>
      <c r="J33" t="s">
        <v>6326</v>
      </c>
      <c r="K33">
        <v>19</v>
      </c>
      <c r="L33" t="s">
        <v>6323</v>
      </c>
      <c r="M33">
        <v>145</v>
      </c>
      <c r="N33">
        <v>410</v>
      </c>
      <c r="O33"/>
      <c r="P33">
        <v>16</v>
      </c>
      <c r="Q33"/>
      <c r="R33" s="178">
        <v>45512.390208333331</v>
      </c>
      <c r="S33"/>
      <c r="T33"/>
      <c r="U33" t="s">
        <v>4544</v>
      </c>
      <c r="V33" s="24"/>
      <c r="W33" s="70"/>
    </row>
    <row r="34" spans="1:23" s="43" customFormat="1">
      <c r="A34" s="43">
        <v>34</v>
      </c>
      <c r="B34" s="43" t="s">
        <v>5166</v>
      </c>
      <c r="C34" s="43">
        <v>5</v>
      </c>
      <c r="D34" s="50" t="s">
        <v>6018</v>
      </c>
      <c r="E34" s="43" t="s">
        <v>6327</v>
      </c>
      <c r="F34">
        <v>17</v>
      </c>
      <c r="G34" t="s">
        <v>6255</v>
      </c>
      <c r="H34">
        <v>4</v>
      </c>
      <c r="I34" t="s">
        <v>6328</v>
      </c>
      <c r="J34" t="s">
        <v>5514</v>
      </c>
      <c r="K34">
        <v>61</v>
      </c>
      <c r="L34" t="s">
        <v>5166</v>
      </c>
      <c r="M34">
        <v>2077</v>
      </c>
      <c r="N34"/>
      <c r="O34"/>
      <c r="P34">
        <v>61</v>
      </c>
      <c r="Q34"/>
      <c r="R34" s="178">
        <v>45512.395300925928</v>
      </c>
      <c r="S34"/>
      <c r="T34"/>
      <c r="U34" t="s">
        <v>4544</v>
      </c>
      <c r="V34" s="24"/>
      <c r="W34" s="70"/>
    </row>
    <row r="35" spans="1:23" s="43" customFormat="1">
      <c r="A35" s="43">
        <v>35</v>
      </c>
      <c r="B35" s="43" t="s">
        <v>6307</v>
      </c>
      <c r="C35" s="43">
        <v>5</v>
      </c>
      <c r="D35" s="50">
        <v>12</v>
      </c>
      <c r="E35" s="43" t="s">
        <v>6329</v>
      </c>
      <c r="F35">
        <v>7</v>
      </c>
      <c r="G35" t="s">
        <v>6255</v>
      </c>
      <c r="H35">
        <v>2</v>
      </c>
      <c r="I35" t="s">
        <v>6294</v>
      </c>
      <c r="J35" t="s">
        <v>6308</v>
      </c>
      <c r="K35">
        <v>18</v>
      </c>
      <c r="L35" t="s">
        <v>6307</v>
      </c>
      <c r="M35">
        <v>106</v>
      </c>
      <c r="N35"/>
      <c r="O35"/>
      <c r="P35">
        <v>16</v>
      </c>
      <c r="Q35"/>
      <c r="R35" s="178">
        <v>45520.357928240737</v>
      </c>
      <c r="S35"/>
      <c r="T35"/>
      <c r="U35" t="s">
        <v>4544</v>
      </c>
      <c r="V35" s="24"/>
      <c r="W35" s="70"/>
    </row>
    <row r="36" spans="1:23" s="43" customFormat="1">
      <c r="A36" s="43">
        <v>36</v>
      </c>
      <c r="B36" s="43" t="s">
        <v>6294</v>
      </c>
      <c r="C36" s="43">
        <v>5</v>
      </c>
      <c r="D36" s="51">
        <v>12</v>
      </c>
      <c r="E36" s="43" t="s">
        <v>6330</v>
      </c>
      <c r="F36">
        <v>15</v>
      </c>
      <c r="G36" t="s">
        <v>6279</v>
      </c>
      <c r="H36">
        <v>4</v>
      </c>
      <c r="I36" t="s">
        <v>5337</v>
      </c>
      <c r="J36" t="s">
        <v>6043</v>
      </c>
      <c r="K36">
        <v>26</v>
      </c>
      <c r="L36" t="s">
        <v>6294</v>
      </c>
      <c r="M36">
        <v>250</v>
      </c>
      <c r="N36">
        <v>15</v>
      </c>
      <c r="O36"/>
      <c r="P36">
        <v>12</v>
      </c>
      <c r="Q36"/>
      <c r="R36" s="178">
        <v>45520.360231481478</v>
      </c>
      <c r="S36"/>
      <c r="T36"/>
      <c r="U36" t="s">
        <v>4544</v>
      </c>
      <c r="V36" s="24"/>
      <c r="W36" s="70"/>
    </row>
    <row r="37" spans="1:23" s="43" customFormat="1">
      <c r="A37" s="43">
        <v>37</v>
      </c>
      <c r="B37" s="43" t="s">
        <v>6294</v>
      </c>
      <c r="C37" s="43">
        <v>11</v>
      </c>
      <c r="D37" s="50">
        <v>4</v>
      </c>
      <c r="E37" s="43" t="s">
        <v>6331</v>
      </c>
      <c r="F37">
        <v>15</v>
      </c>
      <c r="G37" t="s">
        <v>6279</v>
      </c>
      <c r="H37">
        <v>4</v>
      </c>
      <c r="I37" t="s">
        <v>6043</v>
      </c>
      <c r="J37" t="s">
        <v>6332</v>
      </c>
      <c r="K37">
        <v>23</v>
      </c>
      <c r="L37" t="s">
        <v>6294</v>
      </c>
      <c r="M37">
        <v>550</v>
      </c>
      <c r="N37">
        <v>75</v>
      </c>
      <c r="O37"/>
      <c r="P37">
        <v>12</v>
      </c>
      <c r="Q37"/>
      <c r="R37" s="178">
        <v>45520.361863425926</v>
      </c>
      <c r="S37"/>
      <c r="T37"/>
      <c r="U37" t="s">
        <v>4544</v>
      </c>
      <c r="V37" s="24"/>
      <c r="W37" s="70"/>
    </row>
    <row r="38" spans="1:23" s="43" customFormat="1">
      <c r="A38" s="43">
        <v>38</v>
      </c>
      <c r="B38" s="43" t="s">
        <v>6333</v>
      </c>
      <c r="C38" s="43">
        <v>5</v>
      </c>
      <c r="D38" s="50">
        <v>5</v>
      </c>
      <c r="E38" s="43" t="s">
        <v>1598</v>
      </c>
      <c r="F38">
        <v>8</v>
      </c>
      <c r="G38" t="s">
        <v>6255</v>
      </c>
      <c r="H38">
        <v>2</v>
      </c>
      <c r="I38" t="s">
        <v>6334</v>
      </c>
      <c r="J38" t="s">
        <v>6316</v>
      </c>
      <c r="K38">
        <v>3</v>
      </c>
      <c r="L38" t="s">
        <v>6333</v>
      </c>
      <c r="M38">
        <v>76</v>
      </c>
      <c r="N38">
        <v>2</v>
      </c>
      <c r="O38"/>
      <c r="P38">
        <v>3</v>
      </c>
      <c r="Q38"/>
      <c r="R38" s="178">
        <v>45520.383958333332</v>
      </c>
      <c r="S38"/>
      <c r="T38"/>
      <c r="U38" t="s">
        <v>4544</v>
      </c>
      <c r="V38" s="24"/>
      <c r="W38" s="70"/>
    </row>
    <row r="39" spans="1:23" s="43" customFormat="1">
      <c r="A39" s="43">
        <v>39</v>
      </c>
      <c r="B39" s="43" t="s">
        <v>6334</v>
      </c>
      <c r="C39" s="43">
        <v>5</v>
      </c>
      <c r="D39" s="50">
        <v>5</v>
      </c>
      <c r="E39" s="43" t="s">
        <v>6335</v>
      </c>
      <c r="F39">
        <v>8</v>
      </c>
      <c r="G39" t="s">
        <v>6255</v>
      </c>
      <c r="H39">
        <v>2</v>
      </c>
      <c r="I39" t="s">
        <v>6336</v>
      </c>
      <c r="J39" t="s">
        <v>5174</v>
      </c>
      <c r="K39">
        <v>8</v>
      </c>
      <c r="L39" t="s">
        <v>6334</v>
      </c>
      <c r="M39">
        <v>175</v>
      </c>
      <c r="N39">
        <v>5</v>
      </c>
      <c r="O39"/>
      <c r="P39">
        <v>8</v>
      </c>
      <c r="Q39"/>
      <c r="R39" s="178">
        <v>45520.385162037041</v>
      </c>
      <c r="S39"/>
      <c r="T39"/>
      <c r="U39" t="s">
        <v>4544</v>
      </c>
      <c r="V39" s="24"/>
      <c r="W39" s="70"/>
    </row>
    <row r="40" spans="1:23" s="43" customFormat="1">
      <c r="D40" s="50"/>
      <c r="F40"/>
      <c r="G40"/>
      <c r="H40"/>
      <c r="I40"/>
      <c r="J40"/>
      <c r="K40"/>
      <c r="L40"/>
      <c r="M40"/>
      <c r="N40"/>
      <c r="O40"/>
      <c r="P40"/>
      <c r="Q40"/>
      <c r="R40" s="178"/>
      <c r="S40"/>
      <c r="T40"/>
      <c r="U40"/>
      <c r="V40" s="24"/>
      <c r="W40" s="70"/>
    </row>
    <row r="41" spans="1:23" s="43" customFormat="1">
      <c r="A41" s="43">
        <v>40</v>
      </c>
      <c r="B41" s="43" t="s">
        <v>6337</v>
      </c>
      <c r="C41" s="43">
        <v>5</v>
      </c>
      <c r="D41" s="50">
        <v>5</v>
      </c>
      <c r="E41" s="43" t="s">
        <v>1602</v>
      </c>
      <c r="F41">
        <v>8</v>
      </c>
      <c r="G41" t="s">
        <v>6255</v>
      </c>
      <c r="H41">
        <v>2</v>
      </c>
      <c r="I41" t="s">
        <v>6338</v>
      </c>
      <c r="J41" t="s">
        <v>6334</v>
      </c>
      <c r="K41">
        <v>6</v>
      </c>
      <c r="L41" t="s">
        <v>6337</v>
      </c>
      <c r="M41">
        <v>165</v>
      </c>
      <c r="N41"/>
      <c r="O41"/>
      <c r="P41">
        <v>6</v>
      </c>
      <c r="Q41"/>
      <c r="R41" s="178">
        <v>45520.386319444442</v>
      </c>
      <c r="S41"/>
      <c r="T41"/>
      <c r="U41" t="s">
        <v>4544</v>
      </c>
      <c r="V41" s="24"/>
      <c r="W41" s="70"/>
    </row>
    <row r="42" spans="1:23" s="43" customFormat="1">
      <c r="A42" s="43">
        <v>41</v>
      </c>
      <c r="B42" s="43" t="s">
        <v>6339</v>
      </c>
      <c r="C42" s="43">
        <v>5</v>
      </c>
      <c r="D42" s="50"/>
      <c r="E42" s="43" t="s">
        <v>6340</v>
      </c>
      <c r="F42">
        <v>8</v>
      </c>
      <c r="G42" t="s">
        <v>6255</v>
      </c>
      <c r="H42">
        <v>2</v>
      </c>
      <c r="I42" t="s">
        <v>5514</v>
      </c>
      <c r="J42" t="s">
        <v>6305</v>
      </c>
      <c r="K42">
        <v>22</v>
      </c>
      <c r="L42" t="s">
        <v>6339</v>
      </c>
      <c r="M42">
        <v>400</v>
      </c>
      <c r="N42">
        <v>70</v>
      </c>
      <c r="O42"/>
      <c r="P42">
        <v>23</v>
      </c>
      <c r="Q42"/>
      <c r="R42" s="178">
        <v>45521.351423611108</v>
      </c>
      <c r="S42"/>
      <c r="T42"/>
      <c r="U42" t="s">
        <v>4544</v>
      </c>
      <c r="V42" s="24"/>
      <c r="W42" s="70"/>
    </row>
    <row r="43" spans="1:23">
      <c r="A43" s="43">
        <v>42</v>
      </c>
      <c r="B43" s="43" t="s">
        <v>6341</v>
      </c>
      <c r="C43" s="43">
        <v>10</v>
      </c>
      <c r="D43" s="50">
        <v>1</v>
      </c>
      <c r="E43" s="43" t="s">
        <v>6342</v>
      </c>
      <c r="F43">
        <v>10</v>
      </c>
      <c r="G43" t="s">
        <v>6255</v>
      </c>
      <c r="H43">
        <v>3</v>
      </c>
      <c r="I43" t="s">
        <v>6343</v>
      </c>
      <c r="J43" t="s">
        <v>6043</v>
      </c>
      <c r="K43">
        <v>27</v>
      </c>
      <c r="L43" t="s">
        <v>6341</v>
      </c>
      <c r="M43" t="s">
        <v>6344</v>
      </c>
      <c r="N43">
        <v>22</v>
      </c>
      <c r="P43">
        <v>22</v>
      </c>
      <c r="R43" s="178">
        <v>45532.02753472222</v>
      </c>
      <c r="U43" t="s">
        <v>4544</v>
      </c>
      <c r="V43" s="24"/>
      <c r="W43" s="70"/>
    </row>
    <row r="44" spans="1:23">
      <c r="A44" s="43">
        <v>43</v>
      </c>
      <c r="B44" s="43" t="s">
        <v>6345</v>
      </c>
      <c r="C44" s="43">
        <v>10</v>
      </c>
      <c r="D44" s="50">
        <v>2</v>
      </c>
      <c r="E44" s="43" t="s">
        <v>6346</v>
      </c>
      <c r="F44">
        <v>8</v>
      </c>
      <c r="G44" t="s">
        <v>6255</v>
      </c>
      <c r="H44">
        <v>2</v>
      </c>
      <c r="I44" t="s">
        <v>6347</v>
      </c>
      <c r="J44" t="s">
        <v>6341</v>
      </c>
      <c r="K44">
        <v>29</v>
      </c>
      <c r="L44" t="s">
        <v>6345</v>
      </c>
      <c r="M44">
        <v>420</v>
      </c>
      <c r="N44">
        <v>100</v>
      </c>
      <c r="P44" t="s">
        <v>6348</v>
      </c>
      <c r="R44" s="178">
        <v>45532.044999999998</v>
      </c>
      <c r="U44" t="s">
        <v>4544</v>
      </c>
      <c r="V44" s="24"/>
      <c r="W44" s="70"/>
    </row>
    <row r="45" spans="1:23">
      <c r="A45" s="43">
        <v>44</v>
      </c>
      <c r="B45" s="43" t="s">
        <v>4718</v>
      </c>
      <c r="C45" s="43">
        <v>10</v>
      </c>
      <c r="D45" s="50">
        <v>15</v>
      </c>
      <c r="E45" s="43" t="s">
        <v>6349</v>
      </c>
      <c r="F45" t="s">
        <v>6350</v>
      </c>
      <c r="G45" t="s">
        <v>6255</v>
      </c>
      <c r="H45">
        <v>2</v>
      </c>
      <c r="I45" t="s">
        <v>6351</v>
      </c>
      <c r="J45" t="s">
        <v>4445</v>
      </c>
      <c r="K45">
        <v>41</v>
      </c>
      <c r="L45" t="s">
        <v>4718</v>
      </c>
      <c r="M45" t="s">
        <v>6352</v>
      </c>
      <c r="N45">
        <v>280</v>
      </c>
      <c r="P45" t="s">
        <v>6353</v>
      </c>
      <c r="R45" s="178">
        <v>45539.017974537041</v>
      </c>
      <c r="U45" t="s">
        <v>4544</v>
      </c>
      <c r="V45" s="24"/>
      <c r="W45" s="70"/>
    </row>
    <row r="46" spans="1:23">
      <c r="A46" s="43">
        <v>45</v>
      </c>
      <c r="B46" s="43" t="s">
        <v>6354</v>
      </c>
      <c r="C46" s="43">
        <v>8</v>
      </c>
      <c r="D46" s="50">
        <v>7</v>
      </c>
      <c r="E46" s="43" t="s">
        <v>2810</v>
      </c>
      <c r="F46">
        <v>8</v>
      </c>
      <c r="G46" t="s">
        <v>6255</v>
      </c>
      <c r="H46">
        <v>2</v>
      </c>
      <c r="I46" t="s">
        <v>4802</v>
      </c>
      <c r="J46" t="s">
        <v>6355</v>
      </c>
      <c r="K46">
        <v>7</v>
      </c>
      <c r="L46" t="s">
        <v>6354</v>
      </c>
      <c r="M46" t="s">
        <v>6356</v>
      </c>
      <c r="N46">
        <v>170</v>
      </c>
      <c r="R46" s="178">
        <v>45547.023912037039</v>
      </c>
      <c r="U46" t="s">
        <v>4544</v>
      </c>
      <c r="V46" s="24"/>
      <c r="W46" s="70"/>
    </row>
    <row r="47" spans="1:23">
      <c r="A47" s="43">
        <v>46</v>
      </c>
      <c r="B47" s="43" t="s">
        <v>5151</v>
      </c>
      <c r="C47" s="43">
        <v>11</v>
      </c>
      <c r="D47" s="50" t="s">
        <v>6357</v>
      </c>
      <c r="E47" s="43" t="s">
        <v>6358</v>
      </c>
      <c r="F47">
        <v>8</v>
      </c>
      <c r="G47" t="s">
        <v>6255</v>
      </c>
      <c r="H47">
        <v>2</v>
      </c>
      <c r="I47" t="s">
        <v>4724</v>
      </c>
      <c r="J47" t="s">
        <v>6359</v>
      </c>
      <c r="K47">
        <v>19</v>
      </c>
      <c r="L47" t="s">
        <v>5151</v>
      </c>
      <c r="M47">
        <v>500</v>
      </c>
      <c r="N47">
        <v>15</v>
      </c>
      <c r="P47">
        <v>17</v>
      </c>
      <c r="R47" s="178">
        <v>45548.034814814811</v>
      </c>
      <c r="U47" t="s">
        <v>4544</v>
      </c>
      <c r="V47" s="24"/>
      <c r="W47" s="70"/>
    </row>
    <row r="48" spans="1:23">
      <c r="A48" s="43"/>
      <c r="B48" s="43"/>
      <c r="D48" s="50"/>
      <c r="E48" s="43"/>
      <c r="R48" s="178"/>
      <c r="V48" s="24"/>
      <c r="W48" s="70"/>
    </row>
    <row r="49" spans="1:23">
      <c r="A49" s="43">
        <v>47</v>
      </c>
      <c r="B49" s="43" t="s">
        <v>5070</v>
      </c>
      <c r="C49" s="43">
        <v>11</v>
      </c>
      <c r="D49" s="50" t="s">
        <v>6360</v>
      </c>
      <c r="E49" s="43" t="s">
        <v>6361</v>
      </c>
      <c r="F49">
        <v>9</v>
      </c>
      <c r="G49" t="s">
        <v>6255</v>
      </c>
      <c r="H49">
        <v>2</v>
      </c>
      <c r="I49" t="s">
        <v>6310</v>
      </c>
      <c r="J49" t="s">
        <v>6308</v>
      </c>
      <c r="K49">
        <v>30</v>
      </c>
      <c r="L49" t="s">
        <v>5070</v>
      </c>
      <c r="M49">
        <v>270</v>
      </c>
      <c r="N49">
        <v>450</v>
      </c>
      <c r="P49">
        <v>19</v>
      </c>
      <c r="R49" s="178">
        <v>45558.450995370367</v>
      </c>
      <c r="U49" t="s">
        <v>4544</v>
      </c>
      <c r="V49" s="24"/>
      <c r="W49" s="70"/>
    </row>
    <row r="50" spans="1:23">
      <c r="A50" s="43">
        <v>48</v>
      </c>
      <c r="B50" s="43" t="s">
        <v>1323</v>
      </c>
      <c r="C50" s="43">
        <v>11</v>
      </c>
      <c r="D50" s="50" t="s">
        <v>6362</v>
      </c>
      <c r="E50" s="43" t="s">
        <v>6363</v>
      </c>
      <c r="F50">
        <v>7.5</v>
      </c>
      <c r="G50" t="s">
        <v>6255</v>
      </c>
      <c r="H50">
        <v>2</v>
      </c>
      <c r="I50" t="s">
        <v>6364</v>
      </c>
      <c r="J50" t="s">
        <v>6365</v>
      </c>
      <c r="K50">
        <v>16</v>
      </c>
      <c r="L50" t="s">
        <v>1323</v>
      </c>
      <c r="R50" s="178">
        <v>45589.37871527778</v>
      </c>
      <c r="U50" t="s">
        <v>6366</v>
      </c>
      <c r="V50" s="24"/>
      <c r="W50" s="70"/>
    </row>
    <row r="51" spans="1:23">
      <c r="A51" s="43">
        <v>49</v>
      </c>
      <c r="B51" s="43" t="s">
        <v>6367</v>
      </c>
      <c r="C51" s="43">
        <v>1</v>
      </c>
      <c r="D51" s="50" t="s">
        <v>6368</v>
      </c>
      <c r="E51" s="43" t="s">
        <v>6369</v>
      </c>
      <c r="F51">
        <v>12</v>
      </c>
      <c r="G51" t="s">
        <v>6279</v>
      </c>
      <c r="H51">
        <v>4</v>
      </c>
      <c r="I51" t="s">
        <v>4336</v>
      </c>
      <c r="J51" t="s">
        <v>6370</v>
      </c>
      <c r="K51" t="s">
        <v>6371</v>
      </c>
      <c r="L51" t="s">
        <v>6367</v>
      </c>
      <c r="M51" t="s">
        <v>6372</v>
      </c>
      <c r="O51" t="s">
        <v>6373</v>
      </c>
      <c r="P51" t="s">
        <v>6374</v>
      </c>
      <c r="Q51" t="s">
        <v>6375</v>
      </c>
      <c r="R51" s="178">
        <v>45705.311932870369</v>
      </c>
      <c r="U51" t="s">
        <v>5934</v>
      </c>
      <c r="V51" s="24"/>
      <c r="W51" s="70" t="s">
        <v>6376</v>
      </c>
    </row>
    <row r="52" spans="1:23" ht="28.5">
      <c r="A52" s="43">
        <v>50</v>
      </c>
      <c r="B52" s="43" t="s">
        <v>6367</v>
      </c>
      <c r="C52" s="43">
        <v>1</v>
      </c>
      <c r="D52" s="50" t="s">
        <v>5928</v>
      </c>
      <c r="E52" s="43" t="s">
        <v>6377</v>
      </c>
      <c r="F52">
        <v>12</v>
      </c>
      <c r="G52" t="s">
        <v>6279</v>
      </c>
      <c r="H52" t="s">
        <v>6378</v>
      </c>
      <c r="I52" t="s">
        <v>6370</v>
      </c>
      <c r="J52" t="s">
        <v>6379</v>
      </c>
      <c r="K52" t="s">
        <v>6380</v>
      </c>
      <c r="L52" t="s">
        <v>6367</v>
      </c>
      <c r="M52" t="s">
        <v>6381</v>
      </c>
      <c r="N52" t="s">
        <v>4840</v>
      </c>
      <c r="O52" t="s">
        <v>6382</v>
      </c>
      <c r="P52" t="s">
        <v>6383</v>
      </c>
      <c r="Q52" t="s">
        <v>6384</v>
      </c>
      <c r="R52" s="178">
        <v>45705.407222222224</v>
      </c>
      <c r="U52" t="s">
        <v>5934</v>
      </c>
      <c r="V52" s="24"/>
      <c r="W52" s="70" t="s">
        <v>6385</v>
      </c>
    </row>
    <row r="53" spans="1:23">
      <c r="A53" s="43">
        <v>51</v>
      </c>
      <c r="B53" s="43" t="s">
        <v>6386</v>
      </c>
      <c r="C53" s="43" t="s">
        <v>669</v>
      </c>
      <c r="D53" s="50" t="s">
        <v>6387</v>
      </c>
      <c r="E53" s="43" t="s">
        <v>5938</v>
      </c>
      <c r="F53">
        <v>12</v>
      </c>
      <c r="G53" t="s">
        <v>6279</v>
      </c>
      <c r="H53">
        <v>4</v>
      </c>
      <c r="I53" t="s">
        <v>6388</v>
      </c>
      <c r="J53" t="s">
        <v>6389</v>
      </c>
      <c r="K53" t="s">
        <v>6390</v>
      </c>
      <c r="L53" t="s">
        <v>6386</v>
      </c>
      <c r="M53" t="s">
        <v>6391</v>
      </c>
      <c r="N53" t="s">
        <v>6392</v>
      </c>
      <c r="P53">
        <v>13</v>
      </c>
      <c r="Q53">
        <v>522</v>
      </c>
      <c r="R53" s="178">
        <v>45706.0153125</v>
      </c>
      <c r="U53" t="s">
        <v>5323</v>
      </c>
      <c r="V53" s="24"/>
      <c r="W53" s="70"/>
    </row>
    <row r="54" spans="1:23">
      <c r="A54" s="43">
        <v>52</v>
      </c>
      <c r="B54" s="43" t="s">
        <v>6386</v>
      </c>
      <c r="C54" s="43" t="s">
        <v>669</v>
      </c>
      <c r="D54" s="50" t="s">
        <v>6393</v>
      </c>
      <c r="E54" s="43" t="s">
        <v>6394</v>
      </c>
      <c r="F54">
        <v>12</v>
      </c>
      <c r="G54" t="s">
        <v>6279</v>
      </c>
      <c r="H54">
        <v>4</v>
      </c>
      <c r="I54" t="s">
        <v>6395</v>
      </c>
      <c r="J54" t="s">
        <v>6388</v>
      </c>
      <c r="K54" t="s">
        <v>6396</v>
      </c>
      <c r="L54" t="s">
        <v>6386</v>
      </c>
      <c r="M54" t="s">
        <v>6397</v>
      </c>
      <c r="P54">
        <v>16</v>
      </c>
      <c r="Q54">
        <v>540</v>
      </c>
      <c r="R54" s="178">
        <v>45706.017650462964</v>
      </c>
      <c r="U54" t="s">
        <v>5323</v>
      </c>
      <c r="V54" s="24"/>
      <c r="W54" s="70"/>
    </row>
    <row r="55" spans="1:23">
      <c r="A55" s="43">
        <v>53</v>
      </c>
      <c r="B55" s="43" t="s">
        <v>6398</v>
      </c>
      <c r="C55" s="43">
        <v>1</v>
      </c>
      <c r="D55" s="50" t="s">
        <v>6368</v>
      </c>
      <c r="E55" s="43" t="s">
        <v>6399</v>
      </c>
      <c r="F55" t="s">
        <v>6400</v>
      </c>
      <c r="G55" t="s">
        <v>6255</v>
      </c>
      <c r="H55" t="s">
        <v>6401</v>
      </c>
      <c r="I55" t="s">
        <v>6402</v>
      </c>
      <c r="J55" t="s">
        <v>6403</v>
      </c>
      <c r="K55">
        <v>6</v>
      </c>
      <c r="L55" t="s">
        <v>6398</v>
      </c>
      <c r="M55" t="s">
        <v>6404</v>
      </c>
      <c r="P55" t="s">
        <v>6405</v>
      </c>
      <c r="Q55" t="s">
        <v>6406</v>
      </c>
      <c r="R55" s="178">
        <v>45706.365891203706</v>
      </c>
      <c r="U55" t="s">
        <v>6407</v>
      </c>
      <c r="V55" s="24"/>
      <c r="W55" s="70"/>
    </row>
    <row r="56" spans="1:23">
      <c r="A56" s="43">
        <v>54</v>
      </c>
      <c r="B56" s="43" t="s">
        <v>6398</v>
      </c>
      <c r="C56" s="43">
        <v>1</v>
      </c>
      <c r="D56" s="50" t="s">
        <v>6368</v>
      </c>
      <c r="E56" s="43" t="s">
        <v>6408</v>
      </c>
      <c r="F56" t="s">
        <v>6400</v>
      </c>
      <c r="G56" t="s">
        <v>6255</v>
      </c>
      <c r="H56" t="s">
        <v>6401</v>
      </c>
      <c r="I56" t="s">
        <v>6409</v>
      </c>
      <c r="J56" t="s">
        <v>6410</v>
      </c>
      <c r="K56">
        <v>10</v>
      </c>
      <c r="L56" t="s">
        <v>6398</v>
      </c>
      <c r="M56" t="s">
        <v>6411</v>
      </c>
      <c r="P56">
        <v>10</v>
      </c>
      <c r="Q56" t="s">
        <v>6412</v>
      </c>
      <c r="R56" s="178">
        <v>45706.371319444443</v>
      </c>
      <c r="U56" t="s">
        <v>6407</v>
      </c>
      <c r="V56" s="24"/>
      <c r="W56" s="70"/>
    </row>
    <row r="57" spans="1:23">
      <c r="A57" s="43">
        <v>55</v>
      </c>
      <c r="B57" s="43" t="s">
        <v>6398</v>
      </c>
      <c r="C57" s="43">
        <v>1</v>
      </c>
      <c r="D57" s="50" t="s">
        <v>5928</v>
      </c>
      <c r="E57" s="43" t="s">
        <v>6413</v>
      </c>
      <c r="F57" t="s">
        <v>6400</v>
      </c>
      <c r="G57" t="s">
        <v>6255</v>
      </c>
      <c r="H57" t="s">
        <v>6401</v>
      </c>
      <c r="J57" t="s">
        <v>6414</v>
      </c>
      <c r="K57">
        <v>5</v>
      </c>
      <c r="L57" t="s">
        <v>6398</v>
      </c>
      <c r="M57" t="s">
        <v>6415</v>
      </c>
      <c r="P57" t="s">
        <v>5659</v>
      </c>
      <c r="Q57" t="s">
        <v>6416</v>
      </c>
      <c r="R57" s="178">
        <v>45706.377638888887</v>
      </c>
      <c r="U57" t="s">
        <v>6407</v>
      </c>
      <c r="V57" s="24"/>
      <c r="W57" s="70"/>
    </row>
    <row r="58" spans="1:23">
      <c r="A58" s="43">
        <v>56</v>
      </c>
      <c r="B58" s="43" t="s">
        <v>6398</v>
      </c>
      <c r="C58" s="43">
        <v>1</v>
      </c>
      <c r="D58" s="50" t="s">
        <v>5928</v>
      </c>
      <c r="E58" s="43" t="s">
        <v>6417</v>
      </c>
      <c r="F58" t="s">
        <v>6400</v>
      </c>
      <c r="G58" t="s">
        <v>6255</v>
      </c>
      <c r="H58" t="s">
        <v>6401</v>
      </c>
      <c r="I58" t="s">
        <v>6418</v>
      </c>
      <c r="J58" t="s">
        <v>6414</v>
      </c>
      <c r="K58">
        <v>13</v>
      </c>
      <c r="L58" t="s">
        <v>6398</v>
      </c>
      <c r="M58" t="s">
        <v>6419</v>
      </c>
      <c r="P58">
        <v>12</v>
      </c>
      <c r="Q58">
        <v>320</v>
      </c>
      <c r="R58" s="178">
        <v>45706.383796296293</v>
      </c>
      <c r="U58" t="s">
        <v>6407</v>
      </c>
      <c r="V58" s="24"/>
      <c r="W58" s="70"/>
    </row>
    <row r="59" spans="1:23" ht="42.75">
      <c r="A59" s="43">
        <v>57</v>
      </c>
      <c r="B59" s="43" t="s">
        <v>4688</v>
      </c>
      <c r="C59" s="43">
        <v>8</v>
      </c>
      <c r="D59" s="50">
        <v>10</v>
      </c>
      <c r="E59" s="43" t="s">
        <v>6420</v>
      </c>
      <c r="F59">
        <v>9</v>
      </c>
      <c r="G59" t="s">
        <v>6255</v>
      </c>
      <c r="H59">
        <v>2</v>
      </c>
      <c r="I59" t="s">
        <v>6421</v>
      </c>
      <c r="J59" t="s">
        <v>6422</v>
      </c>
      <c r="K59">
        <v>11</v>
      </c>
      <c r="L59" t="s">
        <v>4688</v>
      </c>
      <c r="M59">
        <v>270</v>
      </c>
      <c r="N59">
        <v>10</v>
      </c>
      <c r="P59">
        <v>9</v>
      </c>
      <c r="Q59" t="s">
        <v>6423</v>
      </c>
      <c r="R59" s="178">
        <v>45706.384756944448</v>
      </c>
      <c r="U59" t="s">
        <v>4544</v>
      </c>
      <c r="V59" s="24"/>
      <c r="W59" s="70" t="s">
        <v>6424</v>
      </c>
    </row>
    <row r="60" spans="1:23">
      <c r="A60" s="43">
        <v>58</v>
      </c>
      <c r="B60" s="43" t="s">
        <v>4688</v>
      </c>
      <c r="C60" s="43">
        <v>8</v>
      </c>
      <c r="D60" s="50">
        <v>9</v>
      </c>
      <c r="E60" s="43" t="s">
        <v>2401</v>
      </c>
      <c r="F60">
        <v>9</v>
      </c>
      <c r="G60" t="s">
        <v>6255</v>
      </c>
      <c r="H60">
        <v>2</v>
      </c>
      <c r="I60" t="s">
        <v>6422</v>
      </c>
      <c r="J60" t="s">
        <v>6425</v>
      </c>
      <c r="K60">
        <v>16</v>
      </c>
      <c r="L60" t="s">
        <v>4688</v>
      </c>
      <c r="M60">
        <v>410</v>
      </c>
      <c r="N60">
        <v>17</v>
      </c>
      <c r="P60">
        <v>12</v>
      </c>
      <c r="Q60" t="s">
        <v>6426</v>
      </c>
      <c r="R60" s="178">
        <v>45706.552673611113</v>
      </c>
      <c r="U60" t="s">
        <v>4544</v>
      </c>
      <c r="V60" s="24"/>
      <c r="W60" s="70"/>
    </row>
    <row r="61" spans="1:23">
      <c r="A61" s="43">
        <v>59</v>
      </c>
      <c r="B61" s="43" t="s">
        <v>6427</v>
      </c>
      <c r="C61" s="43">
        <v>1</v>
      </c>
      <c r="D61" s="50" t="s">
        <v>6428</v>
      </c>
      <c r="E61" s="43" t="s">
        <v>6429</v>
      </c>
      <c r="F61" t="s">
        <v>6430</v>
      </c>
      <c r="G61" t="s">
        <v>6255</v>
      </c>
      <c r="H61">
        <v>2</v>
      </c>
      <c r="I61" t="s">
        <v>6431</v>
      </c>
      <c r="J61">
        <v>66</v>
      </c>
      <c r="K61">
        <v>8</v>
      </c>
      <c r="L61" t="s">
        <v>6427</v>
      </c>
      <c r="M61">
        <v>235</v>
      </c>
      <c r="N61">
        <v>2</v>
      </c>
      <c r="P61">
        <v>9</v>
      </c>
      <c r="R61" s="178">
        <v>45707.063969907409</v>
      </c>
      <c r="U61" t="s">
        <v>5224</v>
      </c>
      <c r="V61" s="24"/>
      <c r="W61" s="70"/>
    </row>
    <row r="62" spans="1:23">
      <c r="A62" s="43">
        <v>60</v>
      </c>
      <c r="B62" s="43" t="s">
        <v>6427</v>
      </c>
      <c r="C62" s="43">
        <v>1</v>
      </c>
      <c r="D62" s="50" t="s">
        <v>6428</v>
      </c>
      <c r="E62" s="43" t="s">
        <v>6432</v>
      </c>
      <c r="F62" t="s">
        <v>6430</v>
      </c>
      <c r="G62" t="s">
        <v>6255</v>
      </c>
      <c r="H62">
        <v>2</v>
      </c>
      <c r="I62">
        <v>74</v>
      </c>
      <c r="J62">
        <v>138</v>
      </c>
      <c r="K62">
        <v>8</v>
      </c>
      <c r="L62" t="s">
        <v>6427</v>
      </c>
      <c r="M62">
        <v>228</v>
      </c>
      <c r="P62">
        <v>10</v>
      </c>
      <c r="R62" s="178">
        <v>45707.06590277778</v>
      </c>
      <c r="U62" t="s">
        <v>5224</v>
      </c>
      <c r="V62" s="24"/>
      <c r="W62" s="70"/>
    </row>
    <row r="63" spans="1:23">
      <c r="A63" s="43">
        <v>61</v>
      </c>
      <c r="B63" s="43" t="s">
        <v>6427</v>
      </c>
      <c r="C63" s="43">
        <v>1</v>
      </c>
      <c r="D63" s="50" t="s">
        <v>6428</v>
      </c>
      <c r="E63" s="43" t="s">
        <v>6433</v>
      </c>
      <c r="F63" t="s">
        <v>6430</v>
      </c>
      <c r="G63" t="s">
        <v>6255</v>
      </c>
      <c r="H63">
        <v>2</v>
      </c>
      <c r="I63" t="s">
        <v>6434</v>
      </c>
      <c r="J63">
        <v>212</v>
      </c>
      <c r="K63">
        <v>11</v>
      </c>
      <c r="L63" t="s">
        <v>6427</v>
      </c>
      <c r="M63">
        <v>310</v>
      </c>
      <c r="N63">
        <v>8</v>
      </c>
      <c r="P63">
        <v>14</v>
      </c>
      <c r="R63" s="178">
        <v>45707.067615740743</v>
      </c>
      <c r="U63" t="s">
        <v>5224</v>
      </c>
      <c r="V63" s="24"/>
      <c r="W63" s="70"/>
    </row>
    <row r="64" spans="1:23">
      <c r="A64" s="43">
        <v>62</v>
      </c>
      <c r="B64" s="43" t="s">
        <v>6435</v>
      </c>
      <c r="C64" s="43">
        <v>3</v>
      </c>
      <c r="D64" s="50">
        <v>9</v>
      </c>
      <c r="E64" s="43" t="s">
        <v>6436</v>
      </c>
      <c r="F64">
        <v>8</v>
      </c>
      <c r="G64" t="s">
        <v>6255</v>
      </c>
      <c r="H64">
        <v>3</v>
      </c>
      <c r="I64" t="s">
        <v>6437</v>
      </c>
      <c r="J64" t="s">
        <v>6438</v>
      </c>
      <c r="K64">
        <v>5</v>
      </c>
      <c r="L64" t="s">
        <v>6435</v>
      </c>
      <c r="M64" t="s">
        <v>6439</v>
      </c>
      <c r="P64">
        <v>5</v>
      </c>
      <c r="Q64">
        <v>135</v>
      </c>
      <c r="R64" s="178">
        <v>45707.118472222224</v>
      </c>
      <c r="U64" t="s">
        <v>6440</v>
      </c>
      <c r="V64" s="24"/>
      <c r="W64" s="70"/>
    </row>
    <row r="65" spans="1:23">
      <c r="A65" s="43">
        <v>63</v>
      </c>
      <c r="B65" s="43" t="s">
        <v>6435</v>
      </c>
      <c r="C65" s="43">
        <v>3</v>
      </c>
      <c r="D65" s="50">
        <v>9</v>
      </c>
      <c r="E65" s="43" t="s">
        <v>6441</v>
      </c>
      <c r="F65">
        <v>8</v>
      </c>
      <c r="G65" t="s">
        <v>6255</v>
      </c>
      <c r="H65">
        <v>3</v>
      </c>
      <c r="I65" t="s">
        <v>6442</v>
      </c>
      <c r="J65" t="s">
        <v>6260</v>
      </c>
      <c r="K65" t="s">
        <v>6443</v>
      </c>
      <c r="L65" t="s">
        <v>6435</v>
      </c>
      <c r="M65" t="s">
        <v>6444</v>
      </c>
      <c r="P65" t="s">
        <v>6445</v>
      </c>
      <c r="R65" s="178">
        <v>45707.17827546296</v>
      </c>
      <c r="U65" t="s">
        <v>6440</v>
      </c>
      <c r="V65" s="24"/>
      <c r="W65" s="70" t="s">
        <v>6446</v>
      </c>
    </row>
    <row r="66" spans="1:23">
      <c r="A66" s="43">
        <v>64</v>
      </c>
      <c r="B66" s="43" t="s">
        <v>6435</v>
      </c>
      <c r="C66" s="43">
        <v>3</v>
      </c>
      <c r="D66" s="50" t="s">
        <v>6442</v>
      </c>
      <c r="E66" s="43" t="s">
        <v>6447</v>
      </c>
      <c r="F66">
        <v>8</v>
      </c>
      <c r="G66" t="s">
        <v>6255</v>
      </c>
      <c r="H66">
        <v>3</v>
      </c>
      <c r="I66" t="s">
        <v>6260</v>
      </c>
      <c r="J66" t="s">
        <v>6448</v>
      </c>
      <c r="K66">
        <v>12</v>
      </c>
      <c r="L66" t="s">
        <v>6435</v>
      </c>
      <c r="M66" t="s">
        <v>6449</v>
      </c>
      <c r="N66">
        <v>4</v>
      </c>
      <c r="P66" t="s">
        <v>6450</v>
      </c>
      <c r="Q66">
        <v>288</v>
      </c>
      <c r="R66" s="178">
        <v>45707.230023148149</v>
      </c>
      <c r="U66" t="s">
        <v>6440</v>
      </c>
      <c r="V66" s="24"/>
      <c r="W66" s="70" t="s">
        <v>6451</v>
      </c>
    </row>
    <row r="67" spans="1:23">
      <c r="A67" s="43">
        <v>65</v>
      </c>
      <c r="B67" s="43" t="s">
        <v>6435</v>
      </c>
      <c r="C67" s="43">
        <v>3</v>
      </c>
      <c r="D67" s="50" t="s">
        <v>6442</v>
      </c>
      <c r="E67" s="43" t="s">
        <v>6452</v>
      </c>
      <c r="F67">
        <v>8</v>
      </c>
      <c r="G67" t="s">
        <v>6255</v>
      </c>
      <c r="H67">
        <v>3</v>
      </c>
      <c r="I67" t="s">
        <v>6448</v>
      </c>
      <c r="J67" t="s">
        <v>6386</v>
      </c>
      <c r="K67">
        <v>11</v>
      </c>
      <c r="L67" t="s">
        <v>6435</v>
      </c>
      <c r="M67">
        <v>267</v>
      </c>
      <c r="N67" t="s">
        <v>6453</v>
      </c>
      <c r="P67" t="s">
        <v>6454</v>
      </c>
      <c r="Q67">
        <v>292</v>
      </c>
      <c r="R67" s="178">
        <v>45707.27752314815</v>
      </c>
      <c r="U67" t="s">
        <v>6440</v>
      </c>
      <c r="V67" s="24"/>
      <c r="W67" s="70" t="s">
        <v>6455</v>
      </c>
    </row>
    <row r="68" spans="1:23">
      <c r="A68" s="43">
        <v>66</v>
      </c>
      <c r="B68" s="43" t="s">
        <v>6456</v>
      </c>
      <c r="C68" s="43">
        <v>3</v>
      </c>
      <c r="D68" s="50">
        <v>7</v>
      </c>
      <c r="E68" s="43" t="s">
        <v>6457</v>
      </c>
      <c r="F68">
        <v>8</v>
      </c>
      <c r="G68" t="s">
        <v>6255</v>
      </c>
      <c r="H68">
        <v>2</v>
      </c>
      <c r="I68" t="s">
        <v>6442</v>
      </c>
      <c r="J68" t="s">
        <v>6260</v>
      </c>
      <c r="K68">
        <v>8</v>
      </c>
      <c r="L68" t="s">
        <v>6456</v>
      </c>
      <c r="M68" t="s">
        <v>6458</v>
      </c>
      <c r="N68">
        <v>7</v>
      </c>
      <c r="P68">
        <v>9</v>
      </c>
      <c r="Q68">
        <v>210</v>
      </c>
      <c r="R68" s="178">
        <v>45707.301620370374</v>
      </c>
      <c r="U68" t="s">
        <v>6440</v>
      </c>
      <c r="V68" s="24"/>
      <c r="W68" s="70" t="s">
        <v>6459</v>
      </c>
    </row>
    <row r="69" spans="1:23">
      <c r="A69" s="43">
        <v>67</v>
      </c>
      <c r="B69" s="43" t="s">
        <v>4688</v>
      </c>
      <c r="C69" s="43">
        <v>8</v>
      </c>
      <c r="D69" s="50">
        <v>9</v>
      </c>
      <c r="E69" s="43" t="s">
        <v>2452</v>
      </c>
      <c r="F69">
        <v>9</v>
      </c>
      <c r="G69" t="s">
        <v>6255</v>
      </c>
      <c r="H69">
        <v>2</v>
      </c>
      <c r="I69" t="s">
        <v>6460</v>
      </c>
      <c r="J69" t="s">
        <v>5803</v>
      </c>
      <c r="K69">
        <v>17</v>
      </c>
      <c r="L69" t="s">
        <v>4688</v>
      </c>
      <c r="M69" t="s">
        <v>6461</v>
      </c>
      <c r="N69">
        <v>12</v>
      </c>
      <c r="P69">
        <v>9</v>
      </c>
      <c r="Q69" t="s">
        <v>6462</v>
      </c>
      <c r="R69" s="178">
        <v>45707.333229166667</v>
      </c>
      <c r="U69" t="s">
        <v>4544</v>
      </c>
      <c r="V69" s="24"/>
      <c r="W69" s="70" t="s">
        <v>6463</v>
      </c>
    </row>
    <row r="70" spans="1:23" ht="28.5">
      <c r="A70" s="43">
        <v>68</v>
      </c>
      <c r="B70" s="43" t="s">
        <v>4688</v>
      </c>
      <c r="C70" s="43">
        <v>8</v>
      </c>
      <c r="D70" s="50">
        <v>9</v>
      </c>
      <c r="E70" s="43" t="s">
        <v>4687</v>
      </c>
      <c r="F70">
        <v>9</v>
      </c>
      <c r="G70" t="s">
        <v>6255</v>
      </c>
      <c r="H70">
        <v>2</v>
      </c>
      <c r="I70" t="s">
        <v>5803</v>
      </c>
      <c r="J70" t="s">
        <v>6464</v>
      </c>
      <c r="K70">
        <v>15</v>
      </c>
      <c r="L70" t="s">
        <v>4688</v>
      </c>
      <c r="M70">
        <v>345</v>
      </c>
      <c r="N70">
        <v>13</v>
      </c>
      <c r="P70">
        <v>8</v>
      </c>
      <c r="Q70">
        <v>400</v>
      </c>
      <c r="R70" s="178">
        <v>45707.33630787037</v>
      </c>
      <c r="U70" t="s">
        <v>4544</v>
      </c>
      <c r="V70" s="24"/>
      <c r="W70" s="70" t="s">
        <v>6465</v>
      </c>
    </row>
    <row r="71" spans="1:23">
      <c r="A71" s="43">
        <v>69</v>
      </c>
      <c r="B71" s="43" t="s">
        <v>6466</v>
      </c>
      <c r="C71" s="43">
        <v>3</v>
      </c>
      <c r="D71" s="50">
        <v>6</v>
      </c>
      <c r="E71" s="43" t="s">
        <v>6467</v>
      </c>
      <c r="F71">
        <v>8</v>
      </c>
      <c r="G71" t="s">
        <v>6255</v>
      </c>
      <c r="H71">
        <v>2</v>
      </c>
      <c r="I71" t="s">
        <v>6468</v>
      </c>
      <c r="J71" t="s">
        <v>6469</v>
      </c>
      <c r="K71">
        <v>20</v>
      </c>
      <c r="L71" t="s">
        <v>6466</v>
      </c>
      <c r="P71">
        <v>21</v>
      </c>
      <c r="R71" s="178">
        <v>45707.499224537038</v>
      </c>
      <c r="U71" t="s">
        <v>5224</v>
      </c>
      <c r="V71" s="24"/>
      <c r="W71" s="70"/>
    </row>
    <row r="72" spans="1:23">
      <c r="A72" s="43">
        <v>70</v>
      </c>
      <c r="B72" s="43" t="s">
        <v>6470</v>
      </c>
      <c r="C72" s="43">
        <v>1</v>
      </c>
      <c r="D72" s="50" t="s">
        <v>6471</v>
      </c>
      <c r="E72" s="43" t="s">
        <v>6472</v>
      </c>
      <c r="F72" t="s">
        <v>6473</v>
      </c>
      <c r="G72" t="s">
        <v>6255</v>
      </c>
      <c r="H72" t="s">
        <v>6401</v>
      </c>
      <c r="I72" t="s">
        <v>6474</v>
      </c>
      <c r="J72" t="s">
        <v>6475</v>
      </c>
      <c r="K72">
        <v>10</v>
      </c>
      <c r="L72" t="s">
        <v>6470</v>
      </c>
      <c r="M72" t="s">
        <v>6476</v>
      </c>
      <c r="N72" t="s">
        <v>6477</v>
      </c>
      <c r="O72" t="s">
        <v>6478</v>
      </c>
      <c r="P72">
        <v>10</v>
      </c>
      <c r="Q72">
        <v>314</v>
      </c>
      <c r="R72" s="178">
        <v>45707.547847222224</v>
      </c>
      <c r="U72" t="s">
        <v>6407</v>
      </c>
      <c r="V72" s="24"/>
      <c r="W72" s="70"/>
    </row>
    <row r="73" spans="1:23">
      <c r="A73" s="43">
        <v>71</v>
      </c>
      <c r="B73" s="43" t="s">
        <v>6470</v>
      </c>
      <c r="C73" s="43">
        <v>1</v>
      </c>
      <c r="D73" s="50" t="s">
        <v>5937</v>
      </c>
      <c r="E73" s="43" t="s">
        <v>6479</v>
      </c>
      <c r="F73" t="s">
        <v>6473</v>
      </c>
      <c r="G73" t="s">
        <v>6255</v>
      </c>
      <c r="H73" t="s">
        <v>6401</v>
      </c>
      <c r="I73" t="s">
        <v>6480</v>
      </c>
      <c r="J73" t="s">
        <v>6481</v>
      </c>
      <c r="K73">
        <v>10</v>
      </c>
      <c r="L73" t="s">
        <v>6470</v>
      </c>
      <c r="M73" t="s">
        <v>6482</v>
      </c>
      <c r="N73">
        <v>261</v>
      </c>
      <c r="P73">
        <v>10</v>
      </c>
      <c r="Q73">
        <v>282</v>
      </c>
      <c r="R73" s="178">
        <v>45707.551574074074</v>
      </c>
      <c r="U73" t="s">
        <v>6407</v>
      </c>
      <c r="V73" s="24"/>
      <c r="W73" s="70"/>
    </row>
    <row r="74" spans="1:23">
      <c r="A74" s="43">
        <v>72</v>
      </c>
      <c r="B74" s="43" t="s">
        <v>6456</v>
      </c>
      <c r="C74" s="43">
        <v>3</v>
      </c>
      <c r="D74" s="50" t="s">
        <v>6483</v>
      </c>
      <c r="E74" s="43" t="s">
        <v>6484</v>
      </c>
      <c r="F74">
        <v>8</v>
      </c>
      <c r="G74" t="s">
        <v>6255</v>
      </c>
      <c r="H74">
        <v>2</v>
      </c>
      <c r="I74" t="s">
        <v>6485</v>
      </c>
      <c r="J74" t="s">
        <v>6486</v>
      </c>
      <c r="K74">
        <v>5</v>
      </c>
      <c r="L74" t="s">
        <v>6456</v>
      </c>
      <c r="M74" t="s">
        <v>6487</v>
      </c>
      <c r="N74">
        <v>0</v>
      </c>
      <c r="O74">
        <v>0</v>
      </c>
      <c r="P74">
        <v>6</v>
      </c>
      <c r="Q74">
        <v>130</v>
      </c>
      <c r="R74" s="178">
        <v>45708.236273148148</v>
      </c>
      <c r="U74" t="s">
        <v>5231</v>
      </c>
      <c r="V74" s="24"/>
      <c r="W74" s="70"/>
    </row>
    <row r="75" spans="1:23">
      <c r="A75" s="43">
        <v>73</v>
      </c>
      <c r="B75" s="43" t="s">
        <v>6456</v>
      </c>
      <c r="C75" s="43">
        <v>3</v>
      </c>
      <c r="D75" s="50" t="s">
        <v>6483</v>
      </c>
      <c r="E75" s="43" t="s">
        <v>6488</v>
      </c>
      <c r="F75">
        <v>8</v>
      </c>
      <c r="G75" t="s">
        <v>6255</v>
      </c>
      <c r="H75">
        <v>2</v>
      </c>
      <c r="I75" t="s">
        <v>6489</v>
      </c>
      <c r="J75" t="s">
        <v>6490</v>
      </c>
      <c r="K75">
        <v>10</v>
      </c>
      <c r="L75" t="s">
        <v>6456</v>
      </c>
      <c r="M75">
        <v>253</v>
      </c>
      <c r="N75">
        <v>10</v>
      </c>
      <c r="O75">
        <v>0</v>
      </c>
      <c r="P75">
        <v>12</v>
      </c>
      <c r="Q75">
        <v>310</v>
      </c>
      <c r="R75" s="178">
        <v>45708.277430555558</v>
      </c>
      <c r="U75" t="s">
        <v>5231</v>
      </c>
      <c r="V75" s="24"/>
      <c r="W75" s="70"/>
    </row>
    <row r="76" spans="1:23" ht="28.5">
      <c r="A76" s="43">
        <v>74</v>
      </c>
      <c r="B76" s="43" t="s">
        <v>6398</v>
      </c>
      <c r="C76" s="43">
        <v>1</v>
      </c>
      <c r="D76" s="50" t="s">
        <v>5974</v>
      </c>
      <c r="E76" s="43" t="s">
        <v>6491</v>
      </c>
      <c r="F76" t="s">
        <v>6492</v>
      </c>
      <c r="G76" t="s">
        <v>6255</v>
      </c>
      <c r="H76" t="s">
        <v>6401</v>
      </c>
      <c r="I76" t="s">
        <v>6493</v>
      </c>
      <c r="J76" t="s">
        <v>6494</v>
      </c>
      <c r="K76" t="s">
        <v>6495</v>
      </c>
      <c r="L76" t="s">
        <v>6398</v>
      </c>
      <c r="M76" t="s">
        <v>6496</v>
      </c>
      <c r="N76" t="s">
        <v>6497</v>
      </c>
      <c r="O76" t="s">
        <v>6373</v>
      </c>
      <c r="P76">
        <v>9</v>
      </c>
      <c r="Q76" t="s">
        <v>6498</v>
      </c>
      <c r="R76" s="178">
        <v>45708.586678240739</v>
      </c>
      <c r="U76" t="s">
        <v>6407</v>
      </c>
      <c r="V76" s="24"/>
      <c r="W76" s="70" t="s">
        <v>6499</v>
      </c>
    </row>
    <row r="77" spans="1:23">
      <c r="A77" s="43">
        <v>75</v>
      </c>
      <c r="B77" s="43" t="s">
        <v>6398</v>
      </c>
      <c r="C77" s="43">
        <v>1</v>
      </c>
      <c r="D77" s="50" t="s">
        <v>5974</v>
      </c>
      <c r="E77" s="43" t="s">
        <v>6500</v>
      </c>
      <c r="F77" t="s">
        <v>6400</v>
      </c>
      <c r="G77" t="s">
        <v>6255</v>
      </c>
      <c r="H77" t="s">
        <v>6401</v>
      </c>
      <c r="I77" t="s">
        <v>6501</v>
      </c>
      <c r="J77" t="s">
        <v>6502</v>
      </c>
      <c r="K77" t="s">
        <v>6503</v>
      </c>
      <c r="L77" t="s">
        <v>6398</v>
      </c>
      <c r="M77" t="s">
        <v>6504</v>
      </c>
      <c r="N77" t="s">
        <v>6505</v>
      </c>
      <c r="O77" t="s">
        <v>6373</v>
      </c>
      <c r="P77" t="s">
        <v>6503</v>
      </c>
      <c r="Q77">
        <v>143</v>
      </c>
      <c r="R77" s="178">
        <v>45708.588969907411</v>
      </c>
      <c r="U77" t="s">
        <v>6407</v>
      </c>
      <c r="V77" s="24"/>
      <c r="W77" s="70"/>
    </row>
    <row r="78" spans="1:23">
      <c r="A78" s="43">
        <v>76</v>
      </c>
      <c r="B78" s="43" t="s">
        <v>6506</v>
      </c>
      <c r="C78" s="43">
        <v>1</v>
      </c>
      <c r="D78" s="50" t="s">
        <v>5974</v>
      </c>
      <c r="E78" s="43" t="s">
        <v>6507</v>
      </c>
      <c r="F78" t="s">
        <v>6508</v>
      </c>
      <c r="G78" t="s">
        <v>6255</v>
      </c>
      <c r="H78" t="s">
        <v>6401</v>
      </c>
      <c r="I78" t="s">
        <v>6509</v>
      </c>
      <c r="J78" t="s">
        <v>6494</v>
      </c>
      <c r="K78" t="s">
        <v>6510</v>
      </c>
      <c r="L78" t="s">
        <v>6506</v>
      </c>
      <c r="M78" t="s">
        <v>6511</v>
      </c>
      <c r="N78" t="s">
        <v>6512</v>
      </c>
      <c r="O78" t="s">
        <v>6373</v>
      </c>
      <c r="P78" t="s">
        <v>6510</v>
      </c>
      <c r="Q78">
        <v>137</v>
      </c>
      <c r="R78" s="178">
        <v>45708.591435185182</v>
      </c>
      <c r="U78" t="s">
        <v>6407</v>
      </c>
      <c r="V78" s="24"/>
      <c r="W78" s="70"/>
    </row>
    <row r="79" spans="1:23" ht="42.75">
      <c r="A79" s="43">
        <v>77</v>
      </c>
      <c r="B79" s="43" t="s">
        <v>6398</v>
      </c>
      <c r="C79" s="43">
        <v>1</v>
      </c>
      <c r="D79" s="50" t="s">
        <v>5974</v>
      </c>
      <c r="E79" s="43" t="s">
        <v>6513</v>
      </c>
      <c r="F79" t="s">
        <v>6514</v>
      </c>
      <c r="G79" t="s">
        <v>6255</v>
      </c>
      <c r="H79" t="s">
        <v>6401</v>
      </c>
      <c r="I79" t="s">
        <v>6515</v>
      </c>
      <c r="J79" t="s">
        <v>6516</v>
      </c>
      <c r="K79" t="s">
        <v>6517</v>
      </c>
      <c r="L79" t="s">
        <v>6398</v>
      </c>
      <c r="M79" t="s">
        <v>6518</v>
      </c>
      <c r="N79" t="s">
        <v>6519</v>
      </c>
      <c r="O79" t="s">
        <v>6373</v>
      </c>
      <c r="P79">
        <v>16</v>
      </c>
      <c r="Q79">
        <v>382</v>
      </c>
      <c r="R79" s="178">
        <v>45708.601956018516</v>
      </c>
      <c r="U79" t="s">
        <v>6407</v>
      </c>
      <c r="V79" s="24"/>
      <c r="W79" s="70" t="s">
        <v>6520</v>
      </c>
    </row>
    <row r="80" spans="1:23" ht="28.5">
      <c r="A80" s="43">
        <v>78</v>
      </c>
      <c r="B80" s="43" t="s">
        <v>6521</v>
      </c>
      <c r="C80" s="43">
        <v>8</v>
      </c>
      <c r="D80" s="50">
        <v>16</v>
      </c>
      <c r="E80" s="43" t="s">
        <v>6522</v>
      </c>
      <c r="F80" t="s">
        <v>6523</v>
      </c>
      <c r="G80" t="s">
        <v>6255</v>
      </c>
      <c r="H80">
        <v>2</v>
      </c>
      <c r="I80" t="s">
        <v>5166</v>
      </c>
      <c r="J80" t="s">
        <v>6524</v>
      </c>
      <c r="K80">
        <v>23</v>
      </c>
      <c r="L80" t="s">
        <v>6521</v>
      </c>
      <c r="N80" t="s">
        <v>6525</v>
      </c>
      <c r="P80">
        <v>20</v>
      </c>
      <c r="Q80">
        <v>660</v>
      </c>
      <c r="R80" s="178">
        <v>45709.356527777774</v>
      </c>
      <c r="U80" t="s">
        <v>4544</v>
      </c>
      <c r="V80" s="24"/>
      <c r="W80" s="70" t="s">
        <v>6526</v>
      </c>
    </row>
    <row r="81" spans="1:23">
      <c r="A81" s="43">
        <v>79</v>
      </c>
      <c r="B81" s="43" t="s">
        <v>6521</v>
      </c>
      <c r="C81" s="43">
        <v>8</v>
      </c>
      <c r="D81" s="50">
        <v>16</v>
      </c>
      <c r="E81" s="43" t="s">
        <v>6527</v>
      </c>
      <c r="F81" t="s">
        <v>6528</v>
      </c>
      <c r="G81" t="s">
        <v>6255</v>
      </c>
      <c r="H81">
        <v>2</v>
      </c>
      <c r="I81" t="s">
        <v>6529</v>
      </c>
      <c r="J81" t="s">
        <v>6529</v>
      </c>
      <c r="K81">
        <v>21</v>
      </c>
      <c r="L81" t="s">
        <v>6521</v>
      </c>
      <c r="M81">
        <v>200</v>
      </c>
      <c r="N81" t="s">
        <v>6530</v>
      </c>
      <c r="P81">
        <v>8</v>
      </c>
      <c r="Q81">
        <v>240</v>
      </c>
      <c r="R81" s="178">
        <v>45709.359050925923</v>
      </c>
      <c r="U81" t="s">
        <v>4544</v>
      </c>
      <c r="V81" s="24"/>
      <c r="W81" s="70"/>
    </row>
    <row r="82" spans="1:23">
      <c r="A82" s="43">
        <v>84</v>
      </c>
      <c r="B82" s="43" t="s">
        <v>4528</v>
      </c>
      <c r="C82" s="43">
        <v>3</v>
      </c>
      <c r="D82" s="50" t="s">
        <v>237</v>
      </c>
      <c r="E82" s="43" t="s">
        <v>6531</v>
      </c>
      <c r="F82">
        <v>20</v>
      </c>
      <c r="G82" t="s">
        <v>6255</v>
      </c>
      <c r="H82">
        <v>1</v>
      </c>
      <c r="I82" t="s">
        <v>6532</v>
      </c>
      <c r="J82" t="s">
        <v>6367</v>
      </c>
      <c r="K82">
        <v>10</v>
      </c>
      <c r="L82" t="s">
        <v>4528</v>
      </c>
      <c r="M82">
        <v>10</v>
      </c>
      <c r="R82" s="178">
        <v>46136.290821759256</v>
      </c>
      <c r="U82" t="s">
        <v>6533</v>
      </c>
      <c r="V82" s="24"/>
      <c r="W82" s="70"/>
    </row>
    <row r="83" spans="1:23">
      <c r="A83" s="43">
        <v>85</v>
      </c>
      <c r="B83" s="43" t="s">
        <v>6534</v>
      </c>
      <c r="C83" s="43">
        <v>3</v>
      </c>
      <c r="D83" s="50" t="s">
        <v>4375</v>
      </c>
      <c r="E83" s="43" t="s">
        <v>4832</v>
      </c>
      <c r="F83">
        <v>20</v>
      </c>
      <c r="G83" t="s">
        <v>6255</v>
      </c>
      <c r="H83">
        <v>1</v>
      </c>
      <c r="I83" t="s">
        <v>6532</v>
      </c>
      <c r="J83" t="s">
        <v>6367</v>
      </c>
      <c r="K83" t="s">
        <v>6535</v>
      </c>
      <c r="L83" t="s">
        <v>6534</v>
      </c>
      <c r="R83" s="178">
        <v>46136.293819444443</v>
      </c>
      <c r="U83" t="s">
        <v>6533</v>
      </c>
      <c r="V83" s="24"/>
      <c r="W83" s="70"/>
    </row>
    <row r="84" spans="1:23">
      <c r="A84" s="43">
        <v>86</v>
      </c>
      <c r="B84" s="43" t="s">
        <v>6536</v>
      </c>
      <c r="C84" s="43">
        <v>3</v>
      </c>
      <c r="D84" s="50" t="s">
        <v>237</v>
      </c>
      <c r="E84" s="43" t="s">
        <v>6537</v>
      </c>
      <c r="F84">
        <v>35</v>
      </c>
      <c r="G84" t="s">
        <v>6255</v>
      </c>
      <c r="H84">
        <v>1</v>
      </c>
      <c r="I84" t="s">
        <v>6538</v>
      </c>
      <c r="J84" t="s">
        <v>6367</v>
      </c>
      <c r="K84" t="s">
        <v>6539</v>
      </c>
      <c r="L84" t="s">
        <v>6536</v>
      </c>
      <c r="R84" s="178">
        <v>46136.295763888891</v>
      </c>
      <c r="U84" t="s">
        <v>6533</v>
      </c>
      <c r="V84" s="24"/>
      <c r="W84" s="70"/>
    </row>
    <row r="85" spans="1:23">
      <c r="A85" s="43">
        <v>87</v>
      </c>
      <c r="B85" s="43" t="s">
        <v>6540</v>
      </c>
      <c r="C85" s="43" t="s">
        <v>6242</v>
      </c>
      <c r="D85" s="50" t="s">
        <v>6243</v>
      </c>
      <c r="E85" s="43" t="s">
        <v>6541</v>
      </c>
      <c r="F85">
        <v>7</v>
      </c>
      <c r="G85" t="s">
        <v>6255</v>
      </c>
      <c r="H85">
        <v>2</v>
      </c>
      <c r="I85" t="s">
        <v>6542</v>
      </c>
      <c r="J85" t="s">
        <v>6543</v>
      </c>
      <c r="K85">
        <v>9</v>
      </c>
      <c r="L85" t="s">
        <v>6540</v>
      </c>
      <c r="M85" t="s">
        <v>6544</v>
      </c>
      <c r="N85" t="s">
        <v>6545</v>
      </c>
      <c r="P85">
        <v>9</v>
      </c>
      <c r="R85" s="178">
        <v>46153.154965277776</v>
      </c>
      <c r="U85" t="s">
        <v>5164</v>
      </c>
      <c r="V85" s="24"/>
      <c r="W85" s="70"/>
    </row>
    <row r="86" spans="1:23">
      <c r="A86" s="43">
        <v>88</v>
      </c>
      <c r="B86" s="43" t="s">
        <v>6546</v>
      </c>
      <c r="C86" s="43" t="s">
        <v>6242</v>
      </c>
      <c r="D86" s="50" t="s">
        <v>6243</v>
      </c>
      <c r="E86" s="43" t="s">
        <v>6547</v>
      </c>
      <c r="F86">
        <v>7</v>
      </c>
      <c r="G86" t="s">
        <v>6255</v>
      </c>
      <c r="H86">
        <v>2</v>
      </c>
      <c r="I86" t="s">
        <v>5174</v>
      </c>
      <c r="J86" t="s">
        <v>6548</v>
      </c>
      <c r="K86">
        <v>6</v>
      </c>
      <c r="L86" t="s">
        <v>6546</v>
      </c>
      <c r="M86" t="s">
        <v>6544</v>
      </c>
      <c r="P86">
        <v>5</v>
      </c>
      <c r="R86" s="178">
        <v>46153.159629629627</v>
      </c>
      <c r="U86" t="s">
        <v>5164</v>
      </c>
      <c r="V86" s="24"/>
      <c r="W86" s="70"/>
    </row>
    <row r="87" spans="1:23">
      <c r="A87" s="43">
        <v>89</v>
      </c>
      <c r="B87" s="43" t="s">
        <v>6549</v>
      </c>
      <c r="C87" s="43" t="s">
        <v>6242</v>
      </c>
      <c r="D87" s="50" t="s">
        <v>6243</v>
      </c>
      <c r="E87" s="43" t="s">
        <v>6549</v>
      </c>
      <c r="F87" t="s">
        <v>6550</v>
      </c>
      <c r="G87" t="s">
        <v>6255</v>
      </c>
      <c r="H87">
        <v>2</v>
      </c>
      <c r="I87" t="s">
        <v>6543</v>
      </c>
      <c r="J87" t="s">
        <v>6546</v>
      </c>
      <c r="K87">
        <v>4</v>
      </c>
      <c r="L87" t="s">
        <v>6549</v>
      </c>
      <c r="M87" t="s">
        <v>6544</v>
      </c>
      <c r="P87">
        <v>3</v>
      </c>
      <c r="R87" s="178">
        <v>46153.162893518522</v>
      </c>
      <c r="U87" t="s">
        <v>5164</v>
      </c>
      <c r="V87" s="24"/>
      <c r="W87" s="70"/>
    </row>
    <row r="88" spans="1:23">
      <c r="A88" s="43">
        <v>90</v>
      </c>
      <c r="B88" s="43" t="s">
        <v>6551</v>
      </c>
      <c r="C88" s="43">
        <v>5</v>
      </c>
      <c r="D88" s="50" t="s">
        <v>6552</v>
      </c>
      <c r="E88" s="43" t="s">
        <v>6553</v>
      </c>
      <c r="F88">
        <v>22</v>
      </c>
      <c r="G88" t="s">
        <v>6279</v>
      </c>
      <c r="H88">
        <v>4</v>
      </c>
      <c r="I88" t="s">
        <v>6554</v>
      </c>
      <c r="J88" t="s">
        <v>6542</v>
      </c>
      <c r="K88">
        <v>27</v>
      </c>
      <c r="L88" t="s">
        <v>6551</v>
      </c>
      <c r="P88">
        <v>26</v>
      </c>
      <c r="R88" s="178">
        <v>46153.168298611112</v>
      </c>
      <c r="U88" t="s">
        <v>5164</v>
      </c>
      <c r="V88" s="24"/>
      <c r="W88" s="70"/>
    </row>
    <row r="89" spans="1:23">
      <c r="A89" s="43">
        <v>91</v>
      </c>
      <c r="B89" s="43" t="s">
        <v>6555</v>
      </c>
      <c r="C89" s="43" t="s">
        <v>6242</v>
      </c>
      <c r="D89" s="50" t="s">
        <v>6552</v>
      </c>
      <c r="E89" s="43" t="s">
        <v>6556</v>
      </c>
      <c r="F89">
        <v>9</v>
      </c>
      <c r="G89" t="s">
        <v>6255</v>
      </c>
      <c r="H89">
        <v>2</v>
      </c>
      <c r="I89" t="s">
        <v>5514</v>
      </c>
      <c r="J89" t="s">
        <v>5166</v>
      </c>
      <c r="K89">
        <v>7</v>
      </c>
      <c r="L89" t="s">
        <v>6555</v>
      </c>
      <c r="P89">
        <v>6</v>
      </c>
      <c r="R89" s="178">
        <v>46153.170057870368</v>
      </c>
      <c r="U89" t="s">
        <v>5164</v>
      </c>
      <c r="V89" s="24"/>
      <c r="W89" s="70"/>
    </row>
    <row r="90" spans="1:23">
      <c r="A90" s="43">
        <v>92</v>
      </c>
      <c r="B90" s="43" t="s">
        <v>6555</v>
      </c>
      <c r="C90" s="43" t="s">
        <v>6242</v>
      </c>
      <c r="D90" s="50" t="s">
        <v>6552</v>
      </c>
      <c r="E90" s="43" t="s">
        <v>870</v>
      </c>
      <c r="F90">
        <v>9</v>
      </c>
      <c r="G90" t="s">
        <v>6255</v>
      </c>
      <c r="H90">
        <v>2</v>
      </c>
      <c r="I90" t="s">
        <v>5166</v>
      </c>
      <c r="J90" t="s">
        <v>6341</v>
      </c>
      <c r="K90">
        <v>8</v>
      </c>
      <c r="L90" t="s">
        <v>6555</v>
      </c>
      <c r="P90">
        <v>7</v>
      </c>
      <c r="R90" s="178">
        <v>46153.172789351855</v>
      </c>
      <c r="U90" t="s">
        <v>5164</v>
      </c>
      <c r="V90" s="24"/>
      <c r="W90" s="70"/>
    </row>
    <row r="91" spans="1:23">
      <c r="A91" s="43">
        <v>93</v>
      </c>
      <c r="B91" s="43" t="s">
        <v>6555</v>
      </c>
      <c r="C91" s="43" t="s">
        <v>6242</v>
      </c>
      <c r="D91" s="50" t="s">
        <v>6552</v>
      </c>
      <c r="E91" s="43" t="s">
        <v>1024</v>
      </c>
      <c r="F91">
        <v>9</v>
      </c>
      <c r="G91" t="s">
        <v>6255</v>
      </c>
      <c r="H91">
        <v>2</v>
      </c>
      <c r="I91" t="s">
        <v>6341</v>
      </c>
      <c r="J91" t="s">
        <v>6043</v>
      </c>
      <c r="K91">
        <v>5</v>
      </c>
      <c r="L91" t="s">
        <v>6555</v>
      </c>
      <c r="P91">
        <v>5</v>
      </c>
      <c r="R91" s="178">
        <v>46153.173888888887</v>
      </c>
      <c r="U91" t="s">
        <v>5164</v>
      </c>
      <c r="V91" s="24"/>
      <c r="W91" s="70"/>
    </row>
    <row r="92" spans="1:23">
      <c r="A92" s="43">
        <v>94</v>
      </c>
      <c r="B92" s="43" t="s">
        <v>6557</v>
      </c>
      <c r="C92" s="43" t="s">
        <v>6242</v>
      </c>
      <c r="D92" s="50" t="s">
        <v>6243</v>
      </c>
      <c r="E92" s="43" t="s">
        <v>6558</v>
      </c>
      <c r="F92">
        <v>5</v>
      </c>
      <c r="G92" t="s">
        <v>6255</v>
      </c>
      <c r="H92">
        <v>2</v>
      </c>
      <c r="I92" t="s">
        <v>6559</v>
      </c>
      <c r="J92" t="s">
        <v>6543</v>
      </c>
      <c r="K92">
        <v>5</v>
      </c>
      <c r="L92" t="s">
        <v>6557</v>
      </c>
      <c r="P92">
        <v>4</v>
      </c>
      <c r="R92" s="178">
        <v>46153.177256944444</v>
      </c>
      <c r="U92" t="s">
        <v>5164</v>
      </c>
      <c r="V92" s="24"/>
      <c r="W92" s="70"/>
    </row>
    <row r="93" spans="1:23">
      <c r="A93" s="43">
        <v>95</v>
      </c>
      <c r="B93" s="43" t="s">
        <v>6559</v>
      </c>
      <c r="C93" s="43" t="s">
        <v>6242</v>
      </c>
      <c r="D93" s="50" t="s">
        <v>6243</v>
      </c>
      <c r="E93" s="43" t="s">
        <v>6558</v>
      </c>
      <c r="F93">
        <v>6</v>
      </c>
      <c r="G93" t="s">
        <v>6255</v>
      </c>
      <c r="H93">
        <v>2</v>
      </c>
      <c r="I93" t="s">
        <v>6560</v>
      </c>
      <c r="J93" t="s">
        <v>5174</v>
      </c>
      <c r="K93">
        <v>6</v>
      </c>
      <c r="L93" t="s">
        <v>6559</v>
      </c>
      <c r="P93">
        <v>5</v>
      </c>
      <c r="R93" s="178">
        <v>46153.181712962964</v>
      </c>
      <c r="U93" t="s">
        <v>5164</v>
      </c>
      <c r="V93" s="24"/>
      <c r="W93" s="70"/>
    </row>
    <row r="94" spans="1:23">
      <c r="A94" s="43">
        <v>96</v>
      </c>
      <c r="B94" s="43" t="s">
        <v>6561</v>
      </c>
      <c r="C94" s="43" t="s">
        <v>6242</v>
      </c>
      <c r="D94" s="50" t="s">
        <v>6243</v>
      </c>
      <c r="E94" s="43" t="s">
        <v>6562</v>
      </c>
      <c r="F94">
        <v>7</v>
      </c>
      <c r="G94" t="s">
        <v>6255</v>
      </c>
      <c r="H94">
        <v>2</v>
      </c>
      <c r="I94" t="s">
        <v>5174</v>
      </c>
      <c r="J94" t="s">
        <v>5539</v>
      </c>
      <c r="K94">
        <v>4</v>
      </c>
      <c r="L94" t="s">
        <v>6561</v>
      </c>
      <c r="P94">
        <v>3</v>
      </c>
      <c r="R94" s="178">
        <v>46153.183483796296</v>
      </c>
      <c r="U94" t="s">
        <v>5164</v>
      </c>
      <c r="V94" s="24"/>
      <c r="W94" s="70"/>
    </row>
    <row r="95" spans="1:23">
      <c r="A95" s="43">
        <v>97</v>
      </c>
      <c r="B95" s="43" t="s">
        <v>6563</v>
      </c>
      <c r="C95" s="43" t="s">
        <v>6242</v>
      </c>
      <c r="D95" s="50" t="s">
        <v>6552</v>
      </c>
      <c r="E95" s="43" t="s">
        <v>6564</v>
      </c>
      <c r="F95">
        <v>9</v>
      </c>
      <c r="G95" t="s">
        <v>6255</v>
      </c>
      <c r="H95">
        <v>2</v>
      </c>
      <c r="I95" t="s">
        <v>5539</v>
      </c>
      <c r="J95" t="s">
        <v>5514</v>
      </c>
      <c r="K95">
        <v>3</v>
      </c>
      <c r="L95" t="s">
        <v>6563</v>
      </c>
      <c r="P95">
        <v>2</v>
      </c>
      <c r="R95" s="178">
        <v>46153.326770833337</v>
      </c>
      <c r="U95" t="s">
        <v>5164</v>
      </c>
      <c r="V95" s="24"/>
      <c r="W95" s="70"/>
    </row>
    <row r="96" spans="1:23">
      <c r="A96" s="38"/>
      <c r="B96" s="38"/>
      <c r="D96" s="47"/>
      <c r="E96" s="38"/>
      <c r="F96" s="38"/>
      <c r="G96" s="38"/>
      <c r="H96" s="38"/>
      <c r="I96" s="38"/>
      <c r="J96" s="38"/>
      <c r="K96" s="38"/>
      <c r="L96" s="38"/>
      <c r="M96" s="38"/>
      <c r="N96" s="38"/>
      <c r="O96" s="38"/>
      <c r="P96" s="38"/>
      <c r="Q96" s="38"/>
      <c r="R96" s="39"/>
      <c r="S96" s="38"/>
      <c r="T96" s="38"/>
      <c r="U96" s="38"/>
      <c r="V96" s="40"/>
      <c r="W96" s="38"/>
    </row>
    <row r="97" spans="5:13">
      <c r="M97" t="s">
        <v>6565</v>
      </c>
    </row>
    <row r="102" spans="5:13">
      <c r="E102" t="s">
        <v>6566</v>
      </c>
    </row>
  </sheetData>
  <hyperlinks>
    <hyperlink ref="V3" r:id="rId1" xr:uid="{A9EC57CF-6983-4703-80DD-B8247FDE4F62}"/>
  </hyperlinks>
  <pageMargins left="0.7" right="0.7" top="0.75" bottom="0.75" header="0.3" footer="0.3"/>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63CC-6773-465B-916B-2A21DC970DDF}">
  <sheetPr codeName="Sheet4">
    <tabColor rgb="FF002060"/>
  </sheetPr>
  <dimension ref="A1:P64"/>
  <sheetViews>
    <sheetView topLeftCell="A33" workbookViewId="0">
      <selection activeCell="L21" sqref="L21"/>
    </sheetView>
  </sheetViews>
  <sheetFormatPr defaultRowHeight="14.25"/>
  <cols>
    <col min="1" max="1" width="8.625" bestFit="1" customWidth="1"/>
    <col min="2" max="2" width="26.375" customWidth="1"/>
    <col min="4" max="4" width="10.125" customWidth="1"/>
    <col min="5" max="5" width="14.875" customWidth="1"/>
    <col min="6" max="6" width="11.625" customWidth="1"/>
    <col min="7" max="7" width="12.375" bestFit="1" customWidth="1"/>
    <col min="8" max="8" width="12.625" customWidth="1"/>
    <col min="9" max="9" width="10.375" customWidth="1"/>
    <col min="10" max="10" width="13.125" customWidth="1"/>
    <col min="11" max="11" width="13" customWidth="1"/>
    <col min="12" max="12" width="14.75" customWidth="1"/>
    <col min="13" max="13" width="16.375" customWidth="1"/>
    <col min="15" max="15" width="18.875" bestFit="1" customWidth="1"/>
    <col min="16" max="16" width="26.75" bestFit="1" customWidth="1"/>
  </cols>
  <sheetData>
    <row r="1" spans="1:16" s="2" customFormat="1">
      <c r="A1" s="7" t="s">
        <v>0</v>
      </c>
      <c r="B1" s="7" t="s">
        <v>2</v>
      </c>
      <c r="C1" s="7" t="s">
        <v>3</v>
      </c>
      <c r="D1" s="7" t="s">
        <v>4</v>
      </c>
      <c r="E1" s="7" t="s">
        <v>5</v>
      </c>
      <c r="F1" s="7" t="s">
        <v>7</v>
      </c>
      <c r="G1" s="7" t="s">
        <v>8</v>
      </c>
      <c r="H1" s="7" t="s">
        <v>6567</v>
      </c>
      <c r="I1" s="7" t="s">
        <v>6568</v>
      </c>
      <c r="J1" s="7" t="s">
        <v>6569</v>
      </c>
      <c r="K1" s="2" t="s">
        <v>6570</v>
      </c>
      <c r="L1" s="7" t="s">
        <v>9</v>
      </c>
      <c r="M1" s="7" t="s">
        <v>13</v>
      </c>
      <c r="N1" s="7" t="s">
        <v>14</v>
      </c>
      <c r="O1" s="8" t="s">
        <v>189</v>
      </c>
      <c r="P1" s="2" t="s">
        <v>6571</v>
      </c>
    </row>
    <row r="2" spans="1:16" s="9" customFormat="1" ht="15">
      <c r="P2" s="1"/>
    </row>
    <row r="3" spans="1:16">
      <c r="A3" s="2">
        <v>13</v>
      </c>
      <c r="B3" s="2" t="s">
        <v>6572</v>
      </c>
      <c r="C3" s="2" t="s">
        <v>6573</v>
      </c>
      <c r="D3" s="2" t="s">
        <v>6572</v>
      </c>
      <c r="E3" s="2" t="s">
        <v>6574</v>
      </c>
      <c r="F3" s="2" t="s">
        <v>6572</v>
      </c>
      <c r="G3" s="2" t="s">
        <v>6572</v>
      </c>
      <c r="H3" s="2" t="s">
        <v>6572</v>
      </c>
      <c r="I3" s="2" t="s">
        <v>6575</v>
      </c>
      <c r="J3" s="2" t="s">
        <v>6572</v>
      </c>
      <c r="K3" s="2" t="s">
        <v>6573</v>
      </c>
      <c r="L3" s="186">
        <v>46133.12777777778</v>
      </c>
      <c r="M3" s="2" t="s">
        <v>6576</v>
      </c>
      <c r="N3" s="2"/>
      <c r="O3" s="2" t="s">
        <v>6572</v>
      </c>
      <c r="P3" s="1"/>
    </row>
    <row r="4" spans="1:16">
      <c r="A4" s="2">
        <v>14</v>
      </c>
      <c r="B4" s="2" t="s">
        <v>6577</v>
      </c>
      <c r="C4" s="2" t="s">
        <v>522</v>
      </c>
      <c r="D4" s="2">
        <v>25</v>
      </c>
      <c r="E4" s="2" t="s">
        <v>6578</v>
      </c>
      <c r="F4" s="2" t="s">
        <v>6579</v>
      </c>
      <c r="G4" s="2" t="s">
        <v>6580</v>
      </c>
      <c r="H4" s="2">
        <v>31</v>
      </c>
      <c r="I4" s="2" t="s">
        <v>6581</v>
      </c>
      <c r="J4" s="2" t="s">
        <v>6582</v>
      </c>
      <c r="K4" s="2"/>
      <c r="L4" s="186">
        <v>46134.310891203706</v>
      </c>
      <c r="M4" s="2" t="s">
        <v>5613</v>
      </c>
      <c r="N4" s="2"/>
      <c r="O4" s="2"/>
      <c r="P4" s="1"/>
    </row>
    <row r="5" spans="1:16">
      <c r="A5" s="2">
        <v>15</v>
      </c>
      <c r="B5" s="2" t="s">
        <v>6583</v>
      </c>
      <c r="C5" s="2" t="s">
        <v>4412</v>
      </c>
      <c r="D5" s="2">
        <v>25</v>
      </c>
      <c r="E5" s="2" t="s">
        <v>6584</v>
      </c>
      <c r="F5" s="2" t="s">
        <v>6585</v>
      </c>
      <c r="G5" s="2" t="s">
        <v>6586</v>
      </c>
      <c r="H5" s="2">
        <v>58</v>
      </c>
      <c r="I5" s="2" t="s">
        <v>6587</v>
      </c>
      <c r="J5" s="2">
        <v>9.5</v>
      </c>
      <c r="K5" s="2"/>
      <c r="L5" s="186">
        <v>46134.313634259262</v>
      </c>
      <c r="M5" s="2" t="s">
        <v>5613</v>
      </c>
      <c r="N5" s="2"/>
      <c r="O5" s="2"/>
      <c r="P5" s="1"/>
    </row>
    <row r="6" spans="1:16">
      <c r="A6" s="2">
        <v>16</v>
      </c>
      <c r="B6" s="2" t="s">
        <v>6588</v>
      </c>
      <c r="C6" s="2" t="s">
        <v>522</v>
      </c>
      <c r="D6" s="2">
        <v>5</v>
      </c>
      <c r="E6" s="2" t="s">
        <v>6589</v>
      </c>
      <c r="F6" s="2" t="s">
        <v>6590</v>
      </c>
      <c r="G6" s="2" t="s">
        <v>6590</v>
      </c>
      <c r="H6" s="2">
        <v>16</v>
      </c>
      <c r="I6" s="2" t="s">
        <v>6591</v>
      </c>
      <c r="J6" s="2">
        <v>9</v>
      </c>
      <c r="K6" s="2"/>
      <c r="L6" s="186">
        <v>46134.31790509259</v>
      </c>
      <c r="M6" s="2" t="s">
        <v>5613</v>
      </c>
      <c r="N6" s="2"/>
      <c r="O6" s="2"/>
      <c r="P6" s="1"/>
    </row>
    <row r="7" spans="1:16">
      <c r="A7" s="2">
        <v>17</v>
      </c>
      <c r="B7" s="2" t="s">
        <v>6592</v>
      </c>
      <c r="C7" s="2" t="s">
        <v>522</v>
      </c>
      <c r="D7" s="2">
        <v>27</v>
      </c>
      <c r="E7" s="2" t="s">
        <v>6593</v>
      </c>
      <c r="F7" s="2" t="s">
        <v>6594</v>
      </c>
      <c r="G7" s="2" t="s">
        <v>6595</v>
      </c>
      <c r="H7" s="2">
        <v>15</v>
      </c>
      <c r="I7" s="2" t="s">
        <v>6596</v>
      </c>
      <c r="J7" s="2" t="s">
        <v>6582</v>
      </c>
      <c r="K7" s="2"/>
      <c r="L7" s="186">
        <v>46134.320277777777</v>
      </c>
      <c r="M7" s="2" t="s">
        <v>5613</v>
      </c>
      <c r="N7" s="2"/>
      <c r="O7" s="2"/>
      <c r="P7" s="1"/>
    </row>
    <row r="8" spans="1:16">
      <c r="A8" s="2">
        <v>18</v>
      </c>
      <c r="B8" s="2" t="s">
        <v>6597</v>
      </c>
      <c r="C8" s="2">
        <v>1</v>
      </c>
      <c r="D8" s="2" t="s">
        <v>250</v>
      </c>
      <c r="E8" s="2" t="s">
        <v>6598</v>
      </c>
      <c r="F8" s="2" t="s">
        <v>6599</v>
      </c>
      <c r="G8" s="2" t="s">
        <v>6600</v>
      </c>
      <c r="H8" s="2">
        <v>13</v>
      </c>
      <c r="I8" s="2">
        <v>250</v>
      </c>
      <c r="J8" s="2" t="s">
        <v>6601</v>
      </c>
      <c r="K8" s="2"/>
      <c r="L8" s="186">
        <v>46134.336805555555</v>
      </c>
      <c r="M8" s="2" t="s">
        <v>5231</v>
      </c>
      <c r="N8" s="2"/>
      <c r="O8" s="2"/>
      <c r="P8" s="1"/>
    </row>
    <row r="9" spans="1:16">
      <c r="A9" s="2">
        <v>19</v>
      </c>
      <c r="B9" s="2" t="s">
        <v>6602</v>
      </c>
      <c r="C9" s="2">
        <v>1</v>
      </c>
      <c r="D9" s="2" t="s">
        <v>250</v>
      </c>
      <c r="E9" s="2" t="s">
        <v>6598</v>
      </c>
      <c r="F9" s="2" t="s">
        <v>6599</v>
      </c>
      <c r="G9" s="2" t="s">
        <v>6603</v>
      </c>
      <c r="H9" s="2">
        <v>15</v>
      </c>
      <c r="I9" s="2" t="s">
        <v>6604</v>
      </c>
      <c r="J9" s="2" t="s">
        <v>6605</v>
      </c>
      <c r="K9" s="2"/>
      <c r="L9" s="186">
        <v>46134.337592592594</v>
      </c>
      <c r="M9" s="2" t="s">
        <v>5537</v>
      </c>
      <c r="N9" s="2"/>
      <c r="O9" s="2"/>
      <c r="P9" s="1"/>
    </row>
    <row r="10" spans="1:16">
      <c r="A10" s="2">
        <v>20</v>
      </c>
      <c r="B10" s="2" t="s">
        <v>6606</v>
      </c>
      <c r="C10" s="2">
        <v>1</v>
      </c>
      <c r="D10" s="2" t="s">
        <v>6607</v>
      </c>
      <c r="E10" s="2" t="s">
        <v>6608</v>
      </c>
      <c r="F10" s="2" t="s">
        <v>6599</v>
      </c>
      <c r="G10" s="2" t="s">
        <v>6609</v>
      </c>
      <c r="H10" s="2">
        <v>19</v>
      </c>
      <c r="I10" s="2" t="s">
        <v>6604</v>
      </c>
      <c r="J10" s="2">
        <v>12</v>
      </c>
      <c r="K10" s="2"/>
      <c r="L10" s="186">
        <v>46134.338321759256</v>
      </c>
      <c r="M10" s="2" t="s">
        <v>5317</v>
      </c>
      <c r="N10" s="2"/>
      <c r="O10" s="2"/>
      <c r="P10" s="1"/>
    </row>
    <row r="11" spans="1:16">
      <c r="A11" s="2">
        <v>21</v>
      </c>
      <c r="B11" s="2" t="s">
        <v>6610</v>
      </c>
      <c r="C11" s="2">
        <v>1</v>
      </c>
      <c r="D11" s="2" t="s">
        <v>250</v>
      </c>
      <c r="E11" s="2" t="s">
        <v>6611</v>
      </c>
      <c r="F11" s="2" t="s">
        <v>6599</v>
      </c>
      <c r="G11" s="2" t="s">
        <v>6612</v>
      </c>
      <c r="H11" s="2">
        <v>8</v>
      </c>
      <c r="I11" s="2" t="s">
        <v>6604</v>
      </c>
      <c r="J11" s="2" t="s">
        <v>6601</v>
      </c>
      <c r="K11" s="2"/>
      <c r="L11" s="186">
        <v>46134.339675925927</v>
      </c>
      <c r="M11" s="2" t="s">
        <v>5317</v>
      </c>
      <c r="N11" s="2"/>
      <c r="O11" s="2"/>
      <c r="P11" s="1"/>
    </row>
    <row r="12" spans="1:16">
      <c r="A12" s="2">
        <v>22</v>
      </c>
      <c r="B12" s="2" t="s">
        <v>6613</v>
      </c>
      <c r="C12" s="2">
        <v>1</v>
      </c>
      <c r="D12" s="2" t="s">
        <v>250</v>
      </c>
      <c r="E12" s="2" t="s">
        <v>6611</v>
      </c>
      <c r="F12" s="2" t="s">
        <v>6599</v>
      </c>
      <c r="G12" s="2" t="s">
        <v>6614</v>
      </c>
      <c r="H12" s="2">
        <v>4</v>
      </c>
      <c r="I12" s="2" t="s">
        <v>6615</v>
      </c>
      <c r="J12" s="2" t="s">
        <v>6497</v>
      </c>
      <c r="K12" s="2"/>
      <c r="L12" s="186">
        <v>46134.340613425928</v>
      </c>
      <c r="M12" s="2" t="s">
        <v>5231</v>
      </c>
      <c r="N12" s="2"/>
      <c r="O12" s="2"/>
      <c r="P12" s="1"/>
    </row>
    <row r="13" spans="1:16">
      <c r="A13" s="2">
        <v>23</v>
      </c>
      <c r="B13" s="2" t="s">
        <v>6616</v>
      </c>
      <c r="C13" s="2">
        <v>1</v>
      </c>
      <c r="D13" s="2" t="s">
        <v>250</v>
      </c>
      <c r="E13" s="2" t="s">
        <v>6611</v>
      </c>
      <c r="F13" s="2" t="s">
        <v>6617</v>
      </c>
      <c r="G13" s="2" t="s">
        <v>6617</v>
      </c>
      <c r="H13" s="2">
        <v>1</v>
      </c>
      <c r="I13" s="2" t="s">
        <v>6604</v>
      </c>
      <c r="J13" s="2" t="s">
        <v>6601</v>
      </c>
      <c r="K13" s="2"/>
      <c r="L13" s="186">
        <v>46134.341296296298</v>
      </c>
      <c r="M13" s="2" t="s">
        <v>5231</v>
      </c>
      <c r="N13" s="2"/>
      <c r="O13" s="2"/>
      <c r="P13" s="1"/>
    </row>
    <row r="14" spans="1:16">
      <c r="A14" s="2">
        <v>24</v>
      </c>
      <c r="B14" s="2" t="s">
        <v>6618</v>
      </c>
      <c r="C14" s="2">
        <v>1</v>
      </c>
      <c r="D14" s="2" t="s">
        <v>6607</v>
      </c>
      <c r="E14" s="2" t="s">
        <v>6619</v>
      </c>
      <c r="F14" s="2" t="s">
        <v>6599</v>
      </c>
      <c r="G14" s="2" t="s">
        <v>6620</v>
      </c>
      <c r="H14" s="2">
        <v>13</v>
      </c>
      <c r="I14" s="2" t="s">
        <v>6604</v>
      </c>
      <c r="J14" s="2" t="s">
        <v>6497</v>
      </c>
      <c r="K14" s="2"/>
      <c r="L14" s="186">
        <v>46134.342048611114</v>
      </c>
      <c r="M14" s="2" t="s">
        <v>5317</v>
      </c>
      <c r="N14" s="2"/>
      <c r="O14" s="2"/>
      <c r="P14" s="1"/>
    </row>
    <row r="15" spans="1:16">
      <c r="A15" s="2">
        <v>25</v>
      </c>
      <c r="B15" s="2" t="s">
        <v>6621</v>
      </c>
      <c r="C15" s="2">
        <v>1</v>
      </c>
      <c r="D15" s="2" t="s">
        <v>6607</v>
      </c>
      <c r="E15" s="2" t="s">
        <v>6622</v>
      </c>
      <c r="F15" s="2" t="s">
        <v>6599</v>
      </c>
      <c r="G15" s="2" t="s">
        <v>6623</v>
      </c>
      <c r="H15" s="2">
        <v>5</v>
      </c>
      <c r="I15" s="2" t="s">
        <v>6604</v>
      </c>
      <c r="J15" s="2" t="s">
        <v>6601</v>
      </c>
      <c r="K15" s="2"/>
      <c r="L15" s="186">
        <v>46134.34275462963</v>
      </c>
      <c r="M15" s="2" t="s">
        <v>5537</v>
      </c>
      <c r="N15" s="2"/>
      <c r="O15" s="2"/>
      <c r="P15" s="1"/>
    </row>
    <row r="16" spans="1:16">
      <c r="A16" s="2">
        <v>26</v>
      </c>
      <c r="B16" s="2" t="s">
        <v>6624</v>
      </c>
      <c r="C16" s="2">
        <v>1</v>
      </c>
      <c r="D16" s="2" t="s">
        <v>250</v>
      </c>
      <c r="E16" s="2" t="s">
        <v>6625</v>
      </c>
      <c r="F16" s="2" t="s">
        <v>6599</v>
      </c>
      <c r="G16" s="2" t="s">
        <v>6614</v>
      </c>
      <c r="H16" s="2">
        <v>4</v>
      </c>
      <c r="I16" s="2" t="s">
        <v>6604</v>
      </c>
      <c r="J16" s="2" t="s">
        <v>6605</v>
      </c>
      <c r="K16" s="2"/>
      <c r="L16" s="186">
        <v>46134.343784722223</v>
      </c>
      <c r="M16" s="2" t="s">
        <v>5317</v>
      </c>
      <c r="N16" s="2"/>
      <c r="O16" s="2"/>
      <c r="P16" s="1"/>
    </row>
    <row r="17" spans="1:16">
      <c r="A17" s="2">
        <v>27</v>
      </c>
      <c r="B17" s="2" t="s">
        <v>6626</v>
      </c>
      <c r="C17" s="2">
        <v>1</v>
      </c>
      <c r="D17" s="2" t="s">
        <v>6428</v>
      </c>
      <c r="E17" s="2" t="s">
        <v>6627</v>
      </c>
      <c r="F17" s="2" t="s">
        <v>6628</v>
      </c>
      <c r="G17" s="2" t="s">
        <v>6629</v>
      </c>
      <c r="H17" s="2" t="s">
        <v>6630</v>
      </c>
      <c r="I17" s="2" t="s">
        <v>6615</v>
      </c>
      <c r="J17" s="2" t="s">
        <v>6631</v>
      </c>
      <c r="K17" s="2"/>
      <c r="L17" s="186">
        <v>46134.368113425924</v>
      </c>
      <c r="M17" s="2" t="s">
        <v>6632</v>
      </c>
      <c r="N17" s="2"/>
      <c r="O17" s="2"/>
      <c r="P17" s="1"/>
    </row>
    <row r="18" spans="1:16">
      <c r="A18" s="2">
        <v>28</v>
      </c>
      <c r="B18" s="2" t="s">
        <v>6370</v>
      </c>
      <c r="C18" s="2">
        <v>1</v>
      </c>
      <c r="D18" s="2" t="s">
        <v>6428</v>
      </c>
      <c r="E18" s="2" t="s">
        <v>6633</v>
      </c>
      <c r="F18" s="2" t="s">
        <v>6370</v>
      </c>
      <c r="G18" s="2" t="s">
        <v>6228</v>
      </c>
      <c r="H18" s="2" t="s">
        <v>6634</v>
      </c>
      <c r="I18" s="2" t="s">
        <v>6604</v>
      </c>
      <c r="J18" s="2">
        <v>11.5</v>
      </c>
      <c r="K18" s="2"/>
      <c r="L18" s="186">
        <v>46134.370219907411</v>
      </c>
      <c r="M18" s="2" t="s">
        <v>6632</v>
      </c>
      <c r="N18" s="2"/>
      <c r="O18" s="2"/>
      <c r="P18" s="1"/>
    </row>
    <row r="19" spans="1:16">
      <c r="A19" s="2">
        <v>29</v>
      </c>
      <c r="B19" s="2" t="s">
        <v>6370</v>
      </c>
      <c r="C19" s="2">
        <v>1</v>
      </c>
      <c r="D19" s="2" t="s">
        <v>6428</v>
      </c>
      <c r="E19" s="2" t="s">
        <v>6635</v>
      </c>
      <c r="F19" s="2" t="s">
        <v>6370</v>
      </c>
      <c r="G19" s="2" t="s">
        <v>6370</v>
      </c>
      <c r="H19" s="2">
        <v>1</v>
      </c>
      <c r="I19" s="2" t="s">
        <v>6604</v>
      </c>
      <c r="J19" s="2">
        <v>11.5</v>
      </c>
      <c r="K19" s="2"/>
      <c r="L19" s="186">
        <v>46134.37222222222</v>
      </c>
      <c r="M19" s="2" t="s">
        <v>6632</v>
      </c>
      <c r="N19" s="2"/>
      <c r="O19" s="2"/>
      <c r="P19" s="1"/>
    </row>
    <row r="20" spans="1:16">
      <c r="A20" s="2">
        <v>30</v>
      </c>
      <c r="B20" s="2" t="s">
        <v>6370</v>
      </c>
      <c r="C20" s="2">
        <v>1</v>
      </c>
      <c r="D20" s="2" t="s">
        <v>6428</v>
      </c>
      <c r="E20" s="2" t="s">
        <v>6636</v>
      </c>
      <c r="F20" s="2" t="s">
        <v>6370</v>
      </c>
      <c r="G20" s="2" t="s">
        <v>6370</v>
      </c>
      <c r="H20" s="2">
        <v>1</v>
      </c>
      <c r="I20" s="2" t="s">
        <v>6604</v>
      </c>
      <c r="J20" s="2">
        <v>11.5</v>
      </c>
      <c r="K20" s="2"/>
      <c r="L20" s="186">
        <v>46134.37332175926</v>
      </c>
      <c r="M20" s="2" t="s">
        <v>6632</v>
      </c>
      <c r="N20" s="2"/>
      <c r="O20" s="2"/>
      <c r="P20" s="1"/>
    </row>
    <row r="21" spans="1:16">
      <c r="A21" s="2">
        <v>31</v>
      </c>
      <c r="B21" s="2" t="s">
        <v>6637</v>
      </c>
      <c r="C21" s="2">
        <v>1</v>
      </c>
      <c r="D21" s="2" t="s">
        <v>6428</v>
      </c>
      <c r="E21" s="2" t="s">
        <v>6638</v>
      </c>
      <c r="F21" s="2" t="s">
        <v>6427</v>
      </c>
      <c r="G21" s="2" t="s">
        <v>6639</v>
      </c>
      <c r="H21" s="2" t="s">
        <v>6640</v>
      </c>
      <c r="I21" s="2" t="s">
        <v>6615</v>
      </c>
      <c r="J21" s="2" t="s">
        <v>6497</v>
      </c>
      <c r="K21" s="2"/>
      <c r="L21" s="186">
        <v>46134.376423611109</v>
      </c>
      <c r="M21" s="2" t="s">
        <v>6632</v>
      </c>
      <c r="N21" s="2"/>
      <c r="O21" s="2"/>
      <c r="P21" s="1"/>
    </row>
    <row r="22" spans="1:16">
      <c r="A22" s="2">
        <v>32</v>
      </c>
      <c r="B22" s="2" t="s">
        <v>6641</v>
      </c>
      <c r="C22" s="2">
        <v>1</v>
      </c>
      <c r="D22" s="2" t="s">
        <v>6428</v>
      </c>
      <c r="E22" s="2" t="s">
        <v>6642</v>
      </c>
      <c r="F22" s="2" t="s">
        <v>6643</v>
      </c>
      <c r="G22" s="2" t="s">
        <v>6427</v>
      </c>
      <c r="H22" s="2" t="s">
        <v>6644</v>
      </c>
      <c r="I22" s="2" t="s">
        <v>6615</v>
      </c>
      <c r="J22" s="2">
        <v>9.5</v>
      </c>
      <c r="K22" s="2"/>
      <c r="L22" s="186">
        <v>46134.378738425927</v>
      </c>
      <c r="M22" s="2" t="s">
        <v>6632</v>
      </c>
      <c r="N22" s="2"/>
      <c r="O22" s="2"/>
      <c r="P22" s="1"/>
    </row>
    <row r="23" spans="1:16">
      <c r="A23" s="2">
        <v>33</v>
      </c>
      <c r="B23" s="2" t="s">
        <v>6645</v>
      </c>
      <c r="C23" s="2" t="s">
        <v>6646</v>
      </c>
      <c r="D23" s="2" t="s">
        <v>6647</v>
      </c>
      <c r="E23" s="2" t="s">
        <v>5960</v>
      </c>
      <c r="F23" s="2" t="s">
        <v>6648</v>
      </c>
      <c r="G23" s="2" t="s">
        <v>6649</v>
      </c>
      <c r="H23" s="2" t="s">
        <v>6650</v>
      </c>
      <c r="I23" s="2" t="s">
        <v>6651</v>
      </c>
      <c r="J23" s="2" t="s">
        <v>6605</v>
      </c>
      <c r="K23" s="2"/>
      <c r="L23" s="186">
        <v>46134.394212962965</v>
      </c>
      <c r="M23" s="2" t="s">
        <v>5934</v>
      </c>
      <c r="N23" s="2"/>
      <c r="O23" s="2"/>
      <c r="P23" s="1"/>
    </row>
    <row r="24" spans="1:16">
      <c r="A24" s="2">
        <v>34</v>
      </c>
      <c r="B24" s="2" t="s">
        <v>6652</v>
      </c>
      <c r="C24" s="2" t="s">
        <v>6646</v>
      </c>
      <c r="D24" s="2" t="s">
        <v>6647</v>
      </c>
      <c r="E24" s="2" t="s">
        <v>6653</v>
      </c>
      <c r="F24" s="2" t="s">
        <v>6649</v>
      </c>
      <c r="G24" s="2" t="s">
        <v>6654</v>
      </c>
      <c r="H24" s="2">
        <v>8</v>
      </c>
      <c r="I24" s="2" t="s">
        <v>6651</v>
      </c>
      <c r="J24" s="2" t="s">
        <v>6400</v>
      </c>
      <c r="K24" s="2"/>
      <c r="L24" s="186">
        <v>46134.396608796298</v>
      </c>
      <c r="M24" s="2" t="s">
        <v>5934</v>
      </c>
      <c r="N24" s="2"/>
      <c r="O24" s="2"/>
      <c r="P24" s="1"/>
    </row>
    <row r="25" spans="1:16">
      <c r="A25" s="2">
        <v>35</v>
      </c>
      <c r="B25" s="2" t="s">
        <v>5930</v>
      </c>
      <c r="C25" s="2" t="s">
        <v>6646</v>
      </c>
      <c r="D25" s="2" t="s">
        <v>6647</v>
      </c>
      <c r="E25" s="2" t="s">
        <v>6655</v>
      </c>
      <c r="F25" s="2" t="s">
        <v>6656</v>
      </c>
      <c r="G25" s="2" t="s">
        <v>4346</v>
      </c>
      <c r="H25" s="2">
        <v>35</v>
      </c>
      <c r="I25" s="2" t="s">
        <v>6651</v>
      </c>
      <c r="J25" s="2" t="s">
        <v>6605</v>
      </c>
      <c r="K25" s="2"/>
      <c r="L25" s="186">
        <v>46134.398553240739</v>
      </c>
      <c r="M25" s="2" t="s">
        <v>5934</v>
      </c>
      <c r="N25" s="2"/>
      <c r="O25" s="2"/>
      <c r="P25" s="1"/>
    </row>
    <row r="26" spans="1:16">
      <c r="A26" s="2">
        <v>36</v>
      </c>
      <c r="B26" s="2" t="s">
        <v>5930</v>
      </c>
      <c r="C26" s="2" t="s">
        <v>6646</v>
      </c>
      <c r="D26" s="2" t="s">
        <v>6647</v>
      </c>
      <c r="E26" s="2" t="s">
        <v>6657</v>
      </c>
      <c r="F26" s="2" t="s">
        <v>6658</v>
      </c>
      <c r="G26" s="2" t="s">
        <v>6659</v>
      </c>
      <c r="H26" s="2">
        <v>20</v>
      </c>
      <c r="I26" s="2" t="s">
        <v>6651</v>
      </c>
      <c r="J26" s="2" t="s">
        <v>6660</v>
      </c>
      <c r="K26" s="2"/>
      <c r="L26" s="186">
        <v>46134.401192129626</v>
      </c>
      <c r="M26" s="2" t="s">
        <v>5934</v>
      </c>
      <c r="N26" s="2"/>
      <c r="O26" s="2"/>
      <c r="P26" s="1"/>
    </row>
    <row r="27" spans="1:16">
      <c r="A27" s="2">
        <v>37</v>
      </c>
      <c r="B27" s="2" t="s">
        <v>6661</v>
      </c>
      <c r="C27" s="2" t="s">
        <v>6646</v>
      </c>
      <c r="D27" s="2" t="s">
        <v>6647</v>
      </c>
      <c r="E27" s="2" t="s">
        <v>6657</v>
      </c>
      <c r="F27" s="2" t="s">
        <v>5931</v>
      </c>
      <c r="G27" s="2" t="s">
        <v>5930</v>
      </c>
      <c r="H27" s="2">
        <v>10</v>
      </c>
      <c r="I27" s="2" t="s">
        <v>6651</v>
      </c>
      <c r="J27" s="2" t="s">
        <v>6660</v>
      </c>
      <c r="K27" s="2"/>
      <c r="L27" s="186">
        <v>46134.403009259258</v>
      </c>
      <c r="M27" s="2" t="s">
        <v>5934</v>
      </c>
      <c r="N27" s="2"/>
      <c r="O27" s="2"/>
      <c r="P27" s="1"/>
    </row>
    <row r="28" spans="1:16">
      <c r="A28" s="2">
        <v>38</v>
      </c>
      <c r="B28" s="2" t="s">
        <v>6658</v>
      </c>
      <c r="C28" s="2" t="s">
        <v>6646</v>
      </c>
      <c r="D28" s="2" t="s">
        <v>6647</v>
      </c>
      <c r="E28" s="2" t="s">
        <v>6662</v>
      </c>
      <c r="F28" s="2" t="s">
        <v>5930</v>
      </c>
      <c r="G28" s="2" t="s">
        <v>6398</v>
      </c>
      <c r="H28" s="2" t="s">
        <v>6663</v>
      </c>
      <c r="I28" s="2" t="s">
        <v>6651</v>
      </c>
      <c r="J28" s="2" t="s">
        <v>6660</v>
      </c>
      <c r="K28" s="2"/>
      <c r="L28" s="186">
        <v>46134.40525462963</v>
      </c>
      <c r="M28" s="2" t="s">
        <v>5934</v>
      </c>
      <c r="N28" s="2"/>
      <c r="O28" s="2"/>
      <c r="P28" s="1"/>
    </row>
    <row r="29" spans="1:16">
      <c r="A29" s="2">
        <v>39</v>
      </c>
      <c r="B29" s="2" t="s">
        <v>5930</v>
      </c>
      <c r="C29" s="2" t="s">
        <v>6646</v>
      </c>
      <c r="D29" s="2" t="s">
        <v>6647</v>
      </c>
      <c r="E29" s="2" t="s">
        <v>6662</v>
      </c>
      <c r="F29" s="2" t="s">
        <v>6664</v>
      </c>
      <c r="G29" s="2" t="s">
        <v>6665</v>
      </c>
      <c r="H29" s="2" t="s">
        <v>6666</v>
      </c>
      <c r="I29" s="2" t="s">
        <v>6651</v>
      </c>
      <c r="J29" s="2" t="s">
        <v>6660</v>
      </c>
      <c r="K29" s="2"/>
      <c r="L29" s="186">
        <v>46134.407442129632</v>
      </c>
      <c r="M29" s="2" t="s">
        <v>5934</v>
      </c>
      <c r="N29" s="2"/>
      <c r="O29" s="2"/>
      <c r="P29" s="1"/>
    </row>
    <row r="30" spans="1:16">
      <c r="A30" s="2">
        <v>40</v>
      </c>
      <c r="B30" s="2" t="s">
        <v>6667</v>
      </c>
      <c r="C30" s="2" t="s">
        <v>6646</v>
      </c>
      <c r="D30" s="2" t="s">
        <v>6647</v>
      </c>
      <c r="E30" s="2" t="s">
        <v>6668</v>
      </c>
      <c r="F30" s="2" t="s">
        <v>6659</v>
      </c>
      <c r="G30" s="2" t="s">
        <v>6669</v>
      </c>
      <c r="H30" s="2" t="s">
        <v>6510</v>
      </c>
      <c r="I30" s="2" t="s">
        <v>6651</v>
      </c>
      <c r="J30" s="2" t="s">
        <v>6660</v>
      </c>
      <c r="K30" s="2"/>
      <c r="L30" s="186">
        <v>46134.409259259257</v>
      </c>
      <c r="M30" s="2" t="s">
        <v>5934</v>
      </c>
      <c r="N30" s="2"/>
      <c r="O30" s="2"/>
      <c r="P30" s="1"/>
    </row>
    <row r="31" spans="1:16">
      <c r="A31" s="2">
        <v>41</v>
      </c>
      <c r="B31" s="2" t="s">
        <v>6670</v>
      </c>
      <c r="C31" s="2" t="s">
        <v>6646</v>
      </c>
      <c r="D31" s="2" t="s">
        <v>6647</v>
      </c>
      <c r="E31" s="2" t="s">
        <v>6671</v>
      </c>
      <c r="F31" s="2" t="s">
        <v>6398</v>
      </c>
      <c r="G31" s="2" t="s">
        <v>6672</v>
      </c>
      <c r="H31" s="2" t="s">
        <v>6495</v>
      </c>
      <c r="I31" s="2" t="s">
        <v>6651</v>
      </c>
      <c r="J31" s="2" t="s">
        <v>6660</v>
      </c>
      <c r="K31" s="2"/>
      <c r="L31" s="186">
        <v>46134.411712962959</v>
      </c>
      <c r="M31" s="2" t="s">
        <v>5934</v>
      </c>
      <c r="N31" s="2"/>
      <c r="O31" s="2"/>
      <c r="P31" s="1"/>
    </row>
    <row r="32" spans="1:16">
      <c r="A32" s="2">
        <v>42</v>
      </c>
      <c r="B32" s="2" t="s">
        <v>6670</v>
      </c>
      <c r="C32" s="2" t="s">
        <v>6646</v>
      </c>
      <c r="D32" s="2" t="s">
        <v>6647</v>
      </c>
      <c r="E32" s="2" t="s">
        <v>5945</v>
      </c>
      <c r="F32" s="2" t="s">
        <v>6673</v>
      </c>
      <c r="G32" s="2" t="s">
        <v>6674</v>
      </c>
      <c r="H32" s="2" t="s">
        <v>5932</v>
      </c>
      <c r="I32" s="2" t="s">
        <v>6651</v>
      </c>
      <c r="J32" s="2" t="s">
        <v>6660</v>
      </c>
      <c r="K32" s="2"/>
      <c r="L32" s="186">
        <v>46134.448472222219</v>
      </c>
      <c r="M32" s="2" t="s">
        <v>5934</v>
      </c>
      <c r="N32" s="2"/>
      <c r="O32" s="2"/>
      <c r="P32" s="1"/>
    </row>
    <row r="33" spans="1:16">
      <c r="A33" s="2">
        <v>43</v>
      </c>
      <c r="B33" s="2" t="s">
        <v>6675</v>
      </c>
      <c r="C33" s="2" t="s">
        <v>6646</v>
      </c>
      <c r="D33" s="2" t="s">
        <v>6647</v>
      </c>
      <c r="E33" s="2" t="s">
        <v>5945</v>
      </c>
      <c r="F33" s="2" t="s">
        <v>6674</v>
      </c>
      <c r="G33" s="2" t="s">
        <v>6659</v>
      </c>
      <c r="H33" s="2" t="s">
        <v>6676</v>
      </c>
      <c r="I33" s="2" t="s">
        <v>6651</v>
      </c>
      <c r="J33" s="2" t="s">
        <v>6677</v>
      </c>
      <c r="K33" s="2"/>
      <c r="L33" s="186">
        <v>46134.449791666666</v>
      </c>
      <c r="M33" s="2" t="s">
        <v>5934</v>
      </c>
      <c r="N33" s="2"/>
      <c r="O33" s="2"/>
      <c r="P33" s="1"/>
    </row>
    <row r="34" spans="1:16">
      <c r="A34" s="2">
        <v>44</v>
      </c>
      <c r="B34" s="2" t="s">
        <v>6675</v>
      </c>
      <c r="C34" s="2" t="s">
        <v>6646</v>
      </c>
      <c r="D34" s="2" t="s">
        <v>6647</v>
      </c>
      <c r="E34" s="2" t="s">
        <v>6678</v>
      </c>
      <c r="F34" s="2" t="s">
        <v>6674</v>
      </c>
      <c r="G34" s="2" t="s">
        <v>6659</v>
      </c>
      <c r="H34" s="2" t="s">
        <v>6679</v>
      </c>
      <c r="I34" s="2" t="s">
        <v>6651</v>
      </c>
      <c r="J34" s="2">
        <v>11</v>
      </c>
      <c r="K34" s="2"/>
      <c r="L34" s="186">
        <v>46134.450983796298</v>
      </c>
      <c r="M34" s="2" t="s">
        <v>5934</v>
      </c>
      <c r="N34" s="2"/>
      <c r="O34" s="2"/>
      <c r="P34" s="1"/>
    </row>
    <row r="35" spans="1:16">
      <c r="A35" s="2">
        <v>45</v>
      </c>
      <c r="B35" s="2" t="s">
        <v>6680</v>
      </c>
      <c r="C35" s="2" t="s">
        <v>6646</v>
      </c>
      <c r="D35" s="2" t="s">
        <v>5974</v>
      </c>
      <c r="E35" s="2" t="s">
        <v>6681</v>
      </c>
      <c r="F35" s="2" t="s">
        <v>6682</v>
      </c>
      <c r="G35" s="2" t="s">
        <v>6674</v>
      </c>
      <c r="H35" s="2" t="s">
        <v>6503</v>
      </c>
      <c r="I35" s="2" t="s">
        <v>6683</v>
      </c>
      <c r="J35" s="2" t="s">
        <v>6660</v>
      </c>
      <c r="K35" s="2"/>
      <c r="L35" s="186">
        <v>46134.452534722222</v>
      </c>
      <c r="M35" s="2" t="s">
        <v>5934</v>
      </c>
      <c r="N35" s="2"/>
      <c r="O35" s="2"/>
      <c r="P35" s="1"/>
    </row>
    <row r="36" spans="1:16">
      <c r="A36" s="2">
        <v>46</v>
      </c>
      <c r="B36" s="2" t="s">
        <v>6684</v>
      </c>
      <c r="C36" s="2" t="s">
        <v>6646</v>
      </c>
      <c r="D36" s="2" t="s">
        <v>5974</v>
      </c>
      <c r="E36" s="2" t="s">
        <v>6685</v>
      </c>
      <c r="F36" s="2" t="s">
        <v>6597</v>
      </c>
      <c r="G36" s="2" t="s">
        <v>6674</v>
      </c>
      <c r="H36" s="2" t="s">
        <v>6503</v>
      </c>
      <c r="I36" s="2" t="s">
        <v>6683</v>
      </c>
      <c r="J36" s="2" t="s">
        <v>6660</v>
      </c>
      <c r="K36" s="2"/>
      <c r="L36" s="186">
        <v>46134.454722222225</v>
      </c>
      <c r="M36" s="2" t="s">
        <v>5934</v>
      </c>
      <c r="N36" s="2"/>
      <c r="O36" s="2"/>
      <c r="P36" s="1"/>
    </row>
    <row r="37" spans="1:16">
      <c r="A37" s="2">
        <v>47</v>
      </c>
      <c r="B37" s="2" t="s">
        <v>6686</v>
      </c>
      <c r="C37" s="2" t="s">
        <v>6646</v>
      </c>
      <c r="D37" s="2" t="s">
        <v>5974</v>
      </c>
      <c r="E37" s="2" t="s">
        <v>6681</v>
      </c>
      <c r="F37" s="2" t="s">
        <v>6674</v>
      </c>
      <c r="G37" s="2" t="s">
        <v>6687</v>
      </c>
      <c r="H37" s="2" t="s">
        <v>6495</v>
      </c>
      <c r="I37" s="2" t="s">
        <v>6683</v>
      </c>
      <c r="J37" s="2" t="s">
        <v>6660</v>
      </c>
      <c r="K37" s="2"/>
      <c r="L37" s="186">
        <v>46134.456064814818</v>
      </c>
      <c r="M37" s="2" t="s">
        <v>5934</v>
      </c>
      <c r="N37" s="2"/>
      <c r="O37" s="2"/>
      <c r="P37" s="1"/>
    </row>
    <row r="38" spans="1:16">
      <c r="A38" s="2">
        <v>48</v>
      </c>
      <c r="B38" s="2" t="s">
        <v>6688</v>
      </c>
      <c r="C38" s="2" t="s">
        <v>6646</v>
      </c>
      <c r="D38" s="2" t="s">
        <v>5974</v>
      </c>
      <c r="E38" s="2" t="s">
        <v>6681</v>
      </c>
      <c r="F38" s="2" t="s">
        <v>6686</v>
      </c>
      <c r="G38" s="2" t="s">
        <v>6680</v>
      </c>
      <c r="H38" s="2" t="s">
        <v>6510</v>
      </c>
      <c r="I38" s="2" t="s">
        <v>6651</v>
      </c>
      <c r="J38" s="2" t="s">
        <v>6660</v>
      </c>
      <c r="K38" s="2"/>
      <c r="L38" s="186">
        <v>46134.457442129627</v>
      </c>
      <c r="M38" s="2" t="s">
        <v>5934</v>
      </c>
      <c r="N38" s="2"/>
      <c r="O38" s="2"/>
      <c r="P38" s="1"/>
    </row>
    <row r="39" spans="1:16">
      <c r="A39" s="2">
        <v>49</v>
      </c>
      <c r="B39" s="2" t="s">
        <v>6689</v>
      </c>
      <c r="C39" s="2" t="s">
        <v>6646</v>
      </c>
      <c r="D39" s="2" t="s">
        <v>5974</v>
      </c>
      <c r="E39" s="2" t="s">
        <v>6681</v>
      </c>
      <c r="F39" s="2" t="s">
        <v>6690</v>
      </c>
      <c r="G39" s="2" t="s">
        <v>6686</v>
      </c>
      <c r="H39" s="2" t="s">
        <v>6510</v>
      </c>
      <c r="I39" s="2" t="s">
        <v>6683</v>
      </c>
      <c r="J39" s="2" t="s">
        <v>6677</v>
      </c>
      <c r="K39" s="2"/>
      <c r="L39" s="186">
        <v>46134.458773148152</v>
      </c>
      <c r="M39" s="2" t="s">
        <v>5934</v>
      </c>
      <c r="N39" s="2"/>
      <c r="O39" s="2"/>
      <c r="P39" s="1"/>
    </row>
    <row r="40" spans="1:16">
      <c r="A40" s="2">
        <v>50</v>
      </c>
      <c r="B40" s="2" t="s">
        <v>6691</v>
      </c>
      <c r="C40" s="2" t="s">
        <v>6646</v>
      </c>
      <c r="D40" s="2" t="s">
        <v>6647</v>
      </c>
      <c r="E40" s="2" t="s">
        <v>6692</v>
      </c>
      <c r="F40" s="2" t="s">
        <v>6693</v>
      </c>
      <c r="G40" s="2" t="s">
        <v>6694</v>
      </c>
      <c r="H40" s="2" t="s">
        <v>6676</v>
      </c>
      <c r="I40" s="2" t="s">
        <v>6651</v>
      </c>
      <c r="J40" s="2" t="s">
        <v>6660</v>
      </c>
      <c r="K40" s="2"/>
      <c r="L40" s="186">
        <v>46134.460300925923</v>
      </c>
      <c r="M40" s="2" t="s">
        <v>5934</v>
      </c>
      <c r="N40" s="2"/>
      <c r="O40" s="2"/>
      <c r="P40" s="1"/>
    </row>
    <row r="41" spans="1:16">
      <c r="A41" s="2">
        <v>51</v>
      </c>
      <c r="B41" s="2" t="s">
        <v>6695</v>
      </c>
      <c r="C41" s="2" t="s">
        <v>6646</v>
      </c>
      <c r="D41" s="2" t="s">
        <v>6647</v>
      </c>
      <c r="E41" s="2" t="s">
        <v>6696</v>
      </c>
      <c r="F41" s="2" t="s">
        <v>6697</v>
      </c>
      <c r="G41" s="2" t="s">
        <v>4336</v>
      </c>
      <c r="H41" s="2" t="s">
        <v>6676</v>
      </c>
      <c r="I41" s="2" t="s">
        <v>6651</v>
      </c>
      <c r="J41" s="2" t="s">
        <v>6660</v>
      </c>
      <c r="K41" s="2"/>
      <c r="L41" s="186">
        <v>46134.46230324074</v>
      </c>
      <c r="M41" s="2" t="s">
        <v>5934</v>
      </c>
      <c r="N41" s="2"/>
      <c r="O41" s="2"/>
      <c r="P41" s="1"/>
    </row>
    <row r="42" spans="1:16">
      <c r="A42" s="2">
        <v>52</v>
      </c>
      <c r="B42" s="2" t="s">
        <v>4336</v>
      </c>
      <c r="C42" s="2" t="s">
        <v>6646</v>
      </c>
      <c r="D42" s="2" t="s">
        <v>6647</v>
      </c>
      <c r="E42" s="2" t="s">
        <v>6698</v>
      </c>
      <c r="F42" s="2" t="s">
        <v>6699</v>
      </c>
      <c r="G42" s="2" t="s">
        <v>6700</v>
      </c>
      <c r="H42" s="2" t="s">
        <v>6701</v>
      </c>
      <c r="I42" s="2" t="s">
        <v>6651</v>
      </c>
      <c r="J42" s="2" t="s">
        <v>6660</v>
      </c>
      <c r="K42" s="2"/>
      <c r="L42" s="186">
        <v>46134.463865740741</v>
      </c>
      <c r="M42" s="2" t="s">
        <v>5934</v>
      </c>
      <c r="N42" s="2"/>
      <c r="O42" s="2"/>
      <c r="P42" s="1"/>
    </row>
    <row r="43" spans="1:16">
      <c r="A43" s="2">
        <v>53</v>
      </c>
      <c r="B43" s="2" t="s">
        <v>6702</v>
      </c>
      <c r="C43" s="2" t="s">
        <v>6646</v>
      </c>
      <c r="D43" s="2" t="s">
        <v>6647</v>
      </c>
      <c r="E43" s="2" t="s">
        <v>6698</v>
      </c>
      <c r="F43" s="2" t="s">
        <v>4336</v>
      </c>
      <c r="G43" s="2" t="s">
        <v>361</v>
      </c>
      <c r="H43" s="2" t="s">
        <v>6703</v>
      </c>
      <c r="I43" s="2" t="s">
        <v>6651</v>
      </c>
      <c r="J43" s="2" t="s">
        <v>6660</v>
      </c>
      <c r="K43" s="2"/>
      <c r="L43" s="186">
        <v>46134.465590277781</v>
      </c>
      <c r="M43" s="2" t="s">
        <v>5934</v>
      </c>
      <c r="N43" s="2"/>
      <c r="O43" s="2"/>
      <c r="P43" s="1"/>
    </row>
    <row r="44" spans="1:16">
      <c r="A44" s="2">
        <v>54</v>
      </c>
      <c r="B44" s="2" t="s">
        <v>5972</v>
      </c>
      <c r="C44" s="2" t="s">
        <v>6646</v>
      </c>
      <c r="D44" s="2" t="s">
        <v>5974</v>
      </c>
      <c r="E44" s="2" t="s">
        <v>5975</v>
      </c>
      <c r="F44" s="2" t="s">
        <v>6690</v>
      </c>
      <c r="G44" s="2" t="s">
        <v>5972</v>
      </c>
      <c r="H44" s="2" t="s">
        <v>6701</v>
      </c>
      <c r="I44" s="2" t="s">
        <v>6651</v>
      </c>
      <c r="J44" s="2" t="s">
        <v>4954</v>
      </c>
      <c r="K44" s="2"/>
      <c r="L44" s="186">
        <v>46134.467083333337</v>
      </c>
      <c r="M44" s="2" t="s">
        <v>5934</v>
      </c>
      <c r="N44" s="2"/>
      <c r="O44" s="2"/>
      <c r="P44" s="1"/>
    </row>
    <row r="45" spans="1:16">
      <c r="A45" s="2">
        <v>55</v>
      </c>
      <c r="B45" s="2" t="s">
        <v>6704</v>
      </c>
      <c r="C45" s="2" t="s">
        <v>6646</v>
      </c>
      <c r="D45" s="2" t="s">
        <v>296</v>
      </c>
      <c r="E45" s="2" t="s">
        <v>6705</v>
      </c>
      <c r="F45" s="2" t="s">
        <v>6706</v>
      </c>
      <c r="G45" s="2" t="s">
        <v>6704</v>
      </c>
      <c r="H45" s="2" t="s">
        <v>6701</v>
      </c>
      <c r="I45" s="2" t="s">
        <v>6683</v>
      </c>
      <c r="J45" s="2" t="s">
        <v>4954</v>
      </c>
      <c r="K45" s="2"/>
      <c r="L45" s="186">
        <v>46134.469074074077</v>
      </c>
      <c r="M45" s="2" t="s">
        <v>5934</v>
      </c>
      <c r="N45" s="2"/>
      <c r="O45" s="2"/>
      <c r="P45" s="1"/>
    </row>
    <row r="46" spans="1:16">
      <c r="A46" s="2">
        <v>56</v>
      </c>
      <c r="B46" s="2" t="s">
        <v>6707</v>
      </c>
      <c r="C46" s="2" t="s">
        <v>6646</v>
      </c>
      <c r="D46" s="2" t="s">
        <v>6647</v>
      </c>
      <c r="E46" s="2" t="s">
        <v>6708</v>
      </c>
      <c r="F46" s="2" t="s">
        <v>6659</v>
      </c>
      <c r="G46" s="2" t="s">
        <v>6659</v>
      </c>
      <c r="H46" s="2" t="s">
        <v>6495</v>
      </c>
      <c r="I46" s="2" t="s">
        <v>6651</v>
      </c>
      <c r="J46" s="2" t="s">
        <v>6660</v>
      </c>
      <c r="K46" s="2"/>
      <c r="L46" s="186">
        <v>46134.470254629632</v>
      </c>
      <c r="M46" s="2" t="s">
        <v>5934</v>
      </c>
      <c r="N46" s="2"/>
      <c r="O46" s="2"/>
      <c r="P46" s="1"/>
    </row>
    <row r="47" spans="1:16">
      <c r="A47" s="2">
        <v>57</v>
      </c>
      <c r="B47" s="2" t="s">
        <v>6709</v>
      </c>
      <c r="C47" s="2" t="s">
        <v>6646</v>
      </c>
      <c r="D47" s="2" t="s">
        <v>6647</v>
      </c>
      <c r="E47" s="2" t="s">
        <v>6710</v>
      </c>
      <c r="F47" s="2" t="s">
        <v>6659</v>
      </c>
      <c r="G47" s="2" t="s">
        <v>6697</v>
      </c>
      <c r="H47" s="2" t="s">
        <v>6711</v>
      </c>
      <c r="I47" s="2" t="s">
        <v>6712</v>
      </c>
      <c r="J47" s="2" t="s">
        <v>6660</v>
      </c>
      <c r="K47" s="2"/>
      <c r="L47" s="186">
        <v>46134.47152777778</v>
      </c>
      <c r="M47" s="2" t="s">
        <v>5934</v>
      </c>
      <c r="N47" s="2"/>
      <c r="O47" s="2"/>
      <c r="P47" s="1"/>
    </row>
    <row r="48" spans="1:16">
      <c r="A48" s="2">
        <v>58</v>
      </c>
      <c r="B48" s="2" t="s">
        <v>6713</v>
      </c>
      <c r="C48" s="2" t="s">
        <v>6646</v>
      </c>
      <c r="D48" s="2" t="s">
        <v>6647</v>
      </c>
      <c r="E48" s="2" t="s">
        <v>6714</v>
      </c>
      <c r="F48" s="2" t="s">
        <v>6398</v>
      </c>
      <c r="G48" s="2" t="s">
        <v>5930</v>
      </c>
      <c r="H48" s="2" t="s">
        <v>6715</v>
      </c>
      <c r="I48" s="2" t="s">
        <v>6651</v>
      </c>
      <c r="J48" s="2" t="s">
        <v>6660</v>
      </c>
      <c r="K48" s="2"/>
      <c r="L48" s="186">
        <v>46134.472662037035</v>
      </c>
      <c r="M48" s="2" t="s">
        <v>5934</v>
      </c>
      <c r="N48" s="2"/>
      <c r="O48" s="2"/>
      <c r="P48" s="1"/>
    </row>
    <row r="49" spans="1:16">
      <c r="A49" s="2">
        <v>59</v>
      </c>
      <c r="B49" s="2" t="s">
        <v>6716</v>
      </c>
      <c r="C49" s="2" t="s">
        <v>230</v>
      </c>
      <c r="D49" s="2" t="s">
        <v>741</v>
      </c>
      <c r="E49" s="2" t="s">
        <v>6717</v>
      </c>
      <c r="F49" s="2" t="s">
        <v>5225</v>
      </c>
      <c r="G49" s="2" t="s">
        <v>6718</v>
      </c>
      <c r="H49" s="2">
        <v>5</v>
      </c>
      <c r="I49" s="2" t="s">
        <v>6615</v>
      </c>
      <c r="J49" s="2">
        <v>11</v>
      </c>
      <c r="K49" s="2"/>
      <c r="L49" s="186">
        <v>46135.491643518515</v>
      </c>
      <c r="M49" s="2" t="s">
        <v>6719</v>
      </c>
      <c r="N49" s="2"/>
      <c r="O49" s="2"/>
      <c r="P49" s="1"/>
    </row>
    <row r="50" spans="1:16">
      <c r="A50" s="2">
        <v>60</v>
      </c>
      <c r="B50" s="2" t="s">
        <v>6720</v>
      </c>
      <c r="C50" s="2" t="s">
        <v>230</v>
      </c>
      <c r="D50" s="2" t="s">
        <v>741</v>
      </c>
      <c r="E50" s="2" t="s">
        <v>6721</v>
      </c>
      <c r="F50" s="2" t="s">
        <v>6722</v>
      </c>
      <c r="G50" s="2" t="s">
        <v>6723</v>
      </c>
      <c r="H50" s="2">
        <v>32</v>
      </c>
      <c r="I50" s="2" t="s">
        <v>6724</v>
      </c>
      <c r="J50" s="2">
        <v>11</v>
      </c>
      <c r="K50" s="2"/>
      <c r="L50" s="186">
        <v>46135.494745370372</v>
      </c>
      <c r="M50" s="2" t="s">
        <v>5323</v>
      </c>
      <c r="N50" s="2"/>
      <c r="O50" s="2"/>
      <c r="P50" s="1"/>
    </row>
    <row r="51" spans="1:16">
      <c r="A51" s="2">
        <v>61</v>
      </c>
      <c r="B51" s="2" t="s">
        <v>6196</v>
      </c>
      <c r="C51" s="2" t="s">
        <v>230</v>
      </c>
      <c r="D51" s="2" t="s">
        <v>741</v>
      </c>
      <c r="E51" s="2" t="s">
        <v>6725</v>
      </c>
      <c r="F51" s="2" t="s">
        <v>6726</v>
      </c>
      <c r="G51" s="2" t="s">
        <v>6727</v>
      </c>
      <c r="H51" s="2">
        <v>10</v>
      </c>
      <c r="I51" s="2" t="s">
        <v>6728</v>
      </c>
      <c r="J51" s="2">
        <v>11</v>
      </c>
      <c r="K51" s="2"/>
      <c r="L51" s="186">
        <v>46135.497546296298</v>
      </c>
      <c r="M51" s="2" t="s">
        <v>6729</v>
      </c>
      <c r="N51" s="2"/>
      <c r="O51" s="2"/>
      <c r="P51" s="1"/>
    </row>
    <row r="52" spans="1:16">
      <c r="A52" s="2">
        <v>62</v>
      </c>
      <c r="B52" s="2" t="s">
        <v>6196</v>
      </c>
      <c r="C52" s="2" t="s">
        <v>230</v>
      </c>
      <c r="D52" s="2" t="s">
        <v>741</v>
      </c>
      <c r="E52" s="2" t="s">
        <v>6730</v>
      </c>
      <c r="F52" s="2" t="s">
        <v>6731</v>
      </c>
      <c r="G52" s="2" t="s">
        <v>6732</v>
      </c>
      <c r="H52" s="2">
        <v>22</v>
      </c>
      <c r="I52" s="2" t="s">
        <v>6733</v>
      </c>
      <c r="J52" s="2">
        <v>11</v>
      </c>
      <c r="K52" s="2"/>
      <c r="L52" s="186">
        <v>46135.498993055553</v>
      </c>
      <c r="M52" s="2" t="s">
        <v>5323</v>
      </c>
      <c r="N52" s="2"/>
      <c r="O52" s="2"/>
      <c r="P52" s="1"/>
    </row>
    <row r="53" spans="1:16">
      <c r="A53" s="2">
        <v>63</v>
      </c>
      <c r="B53" s="2" t="s">
        <v>6196</v>
      </c>
      <c r="C53" s="2" t="s">
        <v>230</v>
      </c>
      <c r="D53" s="2" t="s">
        <v>741</v>
      </c>
      <c r="E53" s="2" t="s">
        <v>6734</v>
      </c>
      <c r="F53" s="2" t="s">
        <v>6726</v>
      </c>
      <c r="G53" s="2" t="s">
        <v>6735</v>
      </c>
      <c r="H53" s="2">
        <v>6</v>
      </c>
      <c r="I53" s="2" t="s">
        <v>6733</v>
      </c>
      <c r="J53" s="2">
        <v>11</v>
      </c>
      <c r="K53" s="2"/>
      <c r="L53" s="186">
        <v>46135.501817129632</v>
      </c>
      <c r="M53" s="2" t="s">
        <v>5323</v>
      </c>
      <c r="N53" s="2"/>
      <c r="O53" s="2"/>
      <c r="P53" s="1"/>
    </row>
    <row r="54" spans="1:16">
      <c r="A54" s="2">
        <v>64</v>
      </c>
      <c r="B54" s="2" t="s">
        <v>6196</v>
      </c>
      <c r="C54" s="2" t="s">
        <v>230</v>
      </c>
      <c r="D54" s="2" t="s">
        <v>741</v>
      </c>
      <c r="E54" s="2" t="s">
        <v>6736</v>
      </c>
      <c r="F54" s="2" t="s">
        <v>6726</v>
      </c>
      <c r="G54" s="2" t="s">
        <v>6737</v>
      </c>
      <c r="H54" s="2">
        <v>8</v>
      </c>
      <c r="I54" s="2" t="s">
        <v>6733</v>
      </c>
      <c r="J54" s="2">
        <v>11</v>
      </c>
      <c r="K54" s="2"/>
      <c r="L54" s="186">
        <v>46135.50372685185</v>
      </c>
      <c r="M54" s="2" t="s">
        <v>5323</v>
      </c>
      <c r="N54" s="2"/>
      <c r="O54" s="2"/>
      <c r="P54" s="1"/>
    </row>
    <row r="55" spans="1:16">
      <c r="A55" s="2">
        <v>65</v>
      </c>
      <c r="B55" s="2" t="s">
        <v>4445</v>
      </c>
      <c r="C55" s="2">
        <v>3</v>
      </c>
      <c r="D55" s="2" t="s">
        <v>6738</v>
      </c>
      <c r="E55" s="2" t="s">
        <v>6739</v>
      </c>
      <c r="F55" s="2" t="s">
        <v>5707</v>
      </c>
      <c r="G55" s="2" t="s">
        <v>6538</v>
      </c>
      <c r="H55" s="2" t="s">
        <v>6740</v>
      </c>
      <c r="I55" s="2" t="s">
        <v>6604</v>
      </c>
      <c r="J55" s="2" t="s">
        <v>6605</v>
      </c>
      <c r="K55" s="2"/>
      <c r="L55" s="186">
        <v>46136.113877314812</v>
      </c>
      <c r="M55" s="2" t="s">
        <v>6533</v>
      </c>
      <c r="N55" s="2"/>
      <c r="O55" s="2"/>
      <c r="P55" s="1"/>
    </row>
    <row r="56" spans="1:16">
      <c r="A56" s="2">
        <v>66</v>
      </c>
      <c r="B56" s="2" t="s">
        <v>6741</v>
      </c>
      <c r="C56" s="2">
        <v>1</v>
      </c>
      <c r="D56" s="2" t="s">
        <v>6428</v>
      </c>
      <c r="E56" s="2" t="s">
        <v>6742</v>
      </c>
      <c r="F56" s="2" t="s">
        <v>6743</v>
      </c>
      <c r="G56" s="2" t="s">
        <v>6744</v>
      </c>
      <c r="H56" s="2" t="s">
        <v>6745</v>
      </c>
      <c r="I56" s="2" t="s">
        <v>6615</v>
      </c>
      <c r="J56" s="2" t="s">
        <v>6746</v>
      </c>
      <c r="K56" s="2"/>
      <c r="L56" s="186">
        <v>46148.081863425927</v>
      </c>
      <c r="M56" s="2" t="s">
        <v>6632</v>
      </c>
      <c r="N56" s="2"/>
      <c r="O56" s="2"/>
      <c r="P56" s="1"/>
    </row>
    <row r="57" spans="1:16">
      <c r="A57" s="2">
        <v>67</v>
      </c>
      <c r="B57" s="2" t="s">
        <v>6747</v>
      </c>
      <c r="C57" s="2">
        <v>1</v>
      </c>
      <c r="D57" s="2" t="s">
        <v>6428</v>
      </c>
      <c r="E57" s="2" t="s">
        <v>6748</v>
      </c>
      <c r="F57" s="2" t="s">
        <v>6749</v>
      </c>
      <c r="G57" s="2" t="s">
        <v>6750</v>
      </c>
      <c r="H57" s="2" t="s">
        <v>6751</v>
      </c>
      <c r="I57" s="2" t="s">
        <v>6604</v>
      </c>
      <c r="J57" s="2" t="s">
        <v>6752</v>
      </c>
      <c r="K57" s="2"/>
      <c r="L57" s="186">
        <v>46148.08630787037</v>
      </c>
      <c r="M57" s="2" t="s">
        <v>6632</v>
      </c>
      <c r="N57" s="2"/>
      <c r="O57" s="2"/>
      <c r="P57" s="1"/>
    </row>
    <row r="58" spans="1:16">
      <c r="A58" s="2">
        <v>68</v>
      </c>
      <c r="B58" s="2" t="s">
        <v>6753</v>
      </c>
      <c r="C58" s="2">
        <v>8</v>
      </c>
      <c r="D58" s="2" t="s">
        <v>4556</v>
      </c>
      <c r="E58" s="2" t="s">
        <v>6753</v>
      </c>
      <c r="F58" s="2" t="s">
        <v>6754</v>
      </c>
      <c r="G58" s="2" t="s">
        <v>6755</v>
      </c>
      <c r="H58" s="2">
        <v>9</v>
      </c>
      <c r="I58" s="2" t="s">
        <v>6756</v>
      </c>
      <c r="J58" s="2">
        <v>81</v>
      </c>
      <c r="K58" s="2"/>
      <c r="L58" s="186">
        <v>46149.246377314812</v>
      </c>
      <c r="M58" s="2" t="s">
        <v>6757</v>
      </c>
      <c r="N58" s="2"/>
      <c r="O58" s="2"/>
      <c r="P58" s="1"/>
    </row>
    <row r="59" spans="1:16">
      <c r="A59" s="2">
        <v>69</v>
      </c>
      <c r="B59" s="2" t="s">
        <v>6758</v>
      </c>
      <c r="C59" s="2" t="s">
        <v>715</v>
      </c>
      <c r="D59" s="2" t="s">
        <v>6759</v>
      </c>
      <c r="E59" s="2" t="s">
        <v>5513</v>
      </c>
      <c r="F59" s="2" t="s">
        <v>6760</v>
      </c>
      <c r="G59" s="2" t="s">
        <v>6761</v>
      </c>
      <c r="H59" s="2" t="s">
        <v>6762</v>
      </c>
      <c r="I59" s="2" t="s">
        <v>6763</v>
      </c>
      <c r="J59" s="2">
        <v>3.5</v>
      </c>
      <c r="K59" s="2"/>
      <c r="L59" s="186">
        <v>46150.03570601852</v>
      </c>
      <c r="M59" s="2" t="s">
        <v>6764</v>
      </c>
      <c r="N59" s="2"/>
      <c r="O59" s="2" t="s">
        <v>6765</v>
      </c>
      <c r="P59" s="1"/>
    </row>
    <row r="60" spans="1:16">
      <c r="A60" s="2">
        <v>70</v>
      </c>
      <c r="B60" s="2" t="s">
        <v>6766</v>
      </c>
      <c r="C60" s="2" t="s">
        <v>6767</v>
      </c>
      <c r="D60" s="2" t="s">
        <v>4890</v>
      </c>
      <c r="E60" s="2" t="s">
        <v>5876</v>
      </c>
      <c r="F60" s="2" t="s">
        <v>4724</v>
      </c>
      <c r="G60" s="2" t="s">
        <v>6768</v>
      </c>
      <c r="H60" s="2" t="s">
        <v>6769</v>
      </c>
      <c r="I60" s="2" t="s">
        <v>6770</v>
      </c>
      <c r="J60" s="2" t="s">
        <v>4993</v>
      </c>
      <c r="K60" s="2"/>
      <c r="L60" s="186">
        <v>46150.542314814818</v>
      </c>
      <c r="M60" s="2" t="s">
        <v>6771</v>
      </c>
      <c r="N60" s="2"/>
      <c r="O60" s="2"/>
      <c r="P60" s="1"/>
    </row>
    <row r="61" spans="1:16">
      <c r="A61" s="2">
        <v>71</v>
      </c>
      <c r="B61" s="2" t="s">
        <v>6772</v>
      </c>
      <c r="C61" s="2">
        <v>11</v>
      </c>
      <c r="D61" s="2" t="s">
        <v>4760</v>
      </c>
      <c r="E61" s="2" t="s">
        <v>4299</v>
      </c>
      <c r="F61" s="2" t="s">
        <v>6773</v>
      </c>
      <c r="G61" s="2" t="s">
        <v>6774</v>
      </c>
      <c r="H61" s="2">
        <v>4</v>
      </c>
      <c r="I61" s="2" t="s">
        <v>6775</v>
      </c>
      <c r="J61" s="2" t="s">
        <v>6776</v>
      </c>
      <c r="K61" s="2"/>
      <c r="L61" s="186">
        <v>46151.000127314815</v>
      </c>
      <c r="M61" s="2" t="s">
        <v>4050</v>
      </c>
      <c r="N61" s="2"/>
      <c r="O61" s="2"/>
      <c r="P61" s="1"/>
    </row>
    <row r="62" spans="1:16">
      <c r="A62" s="2">
        <v>72</v>
      </c>
      <c r="B62" s="2" t="s">
        <v>6561</v>
      </c>
      <c r="C62" s="2" t="s">
        <v>6242</v>
      </c>
      <c r="D62" s="2" t="s">
        <v>6243</v>
      </c>
      <c r="E62" s="2" t="s">
        <v>6777</v>
      </c>
      <c r="F62" s="2" t="s">
        <v>5174</v>
      </c>
      <c r="G62" s="2" t="s">
        <v>5539</v>
      </c>
      <c r="H62" s="2">
        <v>3</v>
      </c>
      <c r="I62" s="2" t="s">
        <v>6778</v>
      </c>
      <c r="J62" s="2" t="s">
        <v>6779</v>
      </c>
      <c r="K62" s="2"/>
      <c r="L62" s="186">
        <v>46151.054490740738</v>
      </c>
      <c r="M62" s="2" t="s">
        <v>5164</v>
      </c>
      <c r="N62" s="2"/>
      <c r="O62" s="2"/>
      <c r="P62" s="1"/>
    </row>
    <row r="63" spans="1:16">
      <c r="A63" s="2">
        <v>73</v>
      </c>
      <c r="B63" s="2" t="s">
        <v>6780</v>
      </c>
      <c r="C63" s="2"/>
      <c r="D63" s="2"/>
      <c r="E63" s="2" t="s">
        <v>6781</v>
      </c>
      <c r="F63" s="2" t="s">
        <v>6782</v>
      </c>
      <c r="G63" s="2" t="s">
        <v>6783</v>
      </c>
      <c r="H63" s="2">
        <v>55</v>
      </c>
      <c r="I63" s="2" t="s">
        <v>6775</v>
      </c>
      <c r="J63" s="2" t="s">
        <v>6784</v>
      </c>
      <c r="K63" s="2"/>
      <c r="L63" s="186">
        <v>46157.072905092595</v>
      </c>
      <c r="M63" s="2" t="s">
        <v>6785</v>
      </c>
      <c r="N63" s="2"/>
      <c r="O63" s="2"/>
      <c r="P63" s="1"/>
    </row>
    <row r="64" spans="1:16">
      <c r="A64" s="2">
        <v>74</v>
      </c>
      <c r="B64" s="2" t="s">
        <v>6780</v>
      </c>
      <c r="C64" s="2"/>
      <c r="D64" s="2"/>
      <c r="E64" s="2" t="s">
        <v>6786</v>
      </c>
      <c r="F64" s="2" t="s">
        <v>6787</v>
      </c>
      <c r="G64" s="2" t="s">
        <v>6782</v>
      </c>
      <c r="H64" s="2">
        <v>51</v>
      </c>
      <c r="I64" s="2" t="s">
        <v>6775</v>
      </c>
      <c r="J64" s="2" t="s">
        <v>6784</v>
      </c>
      <c r="K64" s="2"/>
      <c r="L64" s="186">
        <v>46157.074826388889</v>
      </c>
      <c r="M64" s="2" t="s">
        <v>6785</v>
      </c>
      <c r="N64" s="2"/>
      <c r="O64" s="2"/>
      <c r="P64"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002060"/>
  </sheetPr>
  <dimension ref="A1:L24"/>
  <sheetViews>
    <sheetView topLeftCell="A11" zoomScale="130" zoomScaleNormal="130" workbookViewId="0">
      <selection activeCell="C15" sqref="C15"/>
    </sheetView>
  </sheetViews>
  <sheetFormatPr defaultRowHeight="14.25"/>
  <cols>
    <col min="1" max="1" width="6.625" bestFit="1" customWidth="1"/>
    <col min="2" max="2" width="28.875" customWidth="1"/>
    <col min="3" max="3" width="10.75" bestFit="1" customWidth="1"/>
    <col min="4" max="4" width="10.25" bestFit="1" customWidth="1"/>
    <col min="5" max="5" width="15.125" style="70" bestFit="1" customWidth="1"/>
    <col min="6" max="6" width="13.125" bestFit="1" customWidth="1"/>
    <col min="7" max="7" width="11.25" bestFit="1" customWidth="1"/>
    <col min="8" max="8" width="18.625" bestFit="1" customWidth="1"/>
    <col min="9" max="9" width="18.625" customWidth="1"/>
    <col min="10" max="10" width="16.625" bestFit="1" customWidth="1"/>
    <col min="11" max="11" width="12.625" style="70" bestFit="1" customWidth="1"/>
    <col min="12" max="12" width="9.75" bestFit="1" customWidth="1"/>
  </cols>
  <sheetData>
    <row r="1" spans="1:12" s="2" customFormat="1" ht="15">
      <c r="A1" s="7" t="s">
        <v>0</v>
      </c>
      <c r="B1" s="7" t="s">
        <v>2</v>
      </c>
      <c r="C1" s="7" t="s">
        <v>3</v>
      </c>
      <c r="D1" s="7" t="s">
        <v>4</v>
      </c>
      <c r="E1" s="28" t="s">
        <v>5</v>
      </c>
      <c r="F1" s="60" t="s">
        <v>6570</v>
      </c>
      <c r="G1" s="60" t="s">
        <v>6788</v>
      </c>
      <c r="H1" s="60" t="s">
        <v>6789</v>
      </c>
      <c r="I1" s="60" t="s">
        <v>13</v>
      </c>
      <c r="J1" s="60" t="s">
        <v>6790</v>
      </c>
      <c r="K1" s="66" t="s">
        <v>6791</v>
      </c>
      <c r="L1" s="60" t="s">
        <v>189</v>
      </c>
    </row>
    <row r="2" spans="1:12">
      <c r="A2" s="184"/>
      <c r="B2" s="184"/>
      <c r="C2" s="184"/>
      <c r="D2" s="184"/>
      <c r="E2" s="197"/>
      <c r="F2" s="184"/>
      <c r="G2" s="184"/>
      <c r="H2" s="184"/>
      <c r="I2" s="184"/>
      <c r="J2" s="184"/>
      <c r="K2" s="197"/>
      <c r="L2" s="184"/>
    </row>
    <row r="3" spans="1:12">
      <c r="A3" s="184">
        <v>7</v>
      </c>
      <c r="B3" s="184" t="s">
        <v>6792</v>
      </c>
      <c r="C3" s="184">
        <v>5</v>
      </c>
      <c r="D3" s="184">
        <v>11</v>
      </c>
      <c r="E3" s="197" t="s">
        <v>6793</v>
      </c>
      <c r="F3" s="184"/>
      <c r="G3" s="184">
        <v>1</v>
      </c>
      <c r="H3" s="184" t="s">
        <v>6794</v>
      </c>
      <c r="I3" s="184" t="s">
        <v>5164</v>
      </c>
      <c r="J3" s="183">
        <v>45706.441689814812</v>
      </c>
      <c r="K3" s="197" t="s">
        <v>6795</v>
      </c>
      <c r="L3" s="184"/>
    </row>
    <row r="4" spans="1:12">
      <c r="A4" s="184">
        <v>8</v>
      </c>
      <c r="B4" s="184" t="s">
        <v>6796</v>
      </c>
      <c r="C4" s="184">
        <v>5</v>
      </c>
      <c r="D4" s="184">
        <v>9</v>
      </c>
      <c r="E4" s="197" t="s">
        <v>6797</v>
      </c>
      <c r="F4" s="184"/>
      <c r="G4" s="184">
        <v>1</v>
      </c>
      <c r="H4" s="184" t="s">
        <v>6794</v>
      </c>
      <c r="I4" s="184" t="s">
        <v>5164</v>
      </c>
      <c r="J4" s="183">
        <v>45706.442847222221</v>
      </c>
      <c r="K4" s="197" t="s">
        <v>6798</v>
      </c>
      <c r="L4" s="184"/>
    </row>
    <row r="5" spans="1:12" ht="28.5">
      <c r="A5" s="184">
        <v>9</v>
      </c>
      <c r="B5" s="184" t="s">
        <v>6799</v>
      </c>
      <c r="C5" s="184">
        <v>5</v>
      </c>
      <c r="D5" s="184">
        <v>9</v>
      </c>
      <c r="E5" s="197" t="s">
        <v>6800</v>
      </c>
      <c r="F5" s="184"/>
      <c r="G5" s="184">
        <v>1</v>
      </c>
      <c r="H5" s="184" t="s">
        <v>6801</v>
      </c>
      <c r="I5" s="184" t="s">
        <v>5164</v>
      </c>
      <c r="J5" s="183">
        <v>45706.444143518522</v>
      </c>
      <c r="K5" s="197" t="s">
        <v>6802</v>
      </c>
      <c r="L5" s="184"/>
    </row>
    <row r="6" spans="1:12">
      <c r="A6" s="184">
        <v>10</v>
      </c>
      <c r="B6" s="184" t="s">
        <v>6796</v>
      </c>
      <c r="C6" s="184">
        <v>5</v>
      </c>
      <c r="D6" s="184">
        <v>9</v>
      </c>
      <c r="E6" s="197" t="s">
        <v>6803</v>
      </c>
      <c r="F6" s="184"/>
      <c r="G6" s="184">
        <v>1</v>
      </c>
      <c r="H6" s="184" t="s">
        <v>6794</v>
      </c>
      <c r="I6" s="184" t="s">
        <v>5164</v>
      </c>
      <c r="J6" s="183">
        <v>45706.445393518516</v>
      </c>
      <c r="K6" s="197" t="s">
        <v>6798</v>
      </c>
      <c r="L6" s="184"/>
    </row>
    <row r="7" spans="1:12">
      <c r="A7" s="184">
        <v>11</v>
      </c>
      <c r="B7" s="184" t="s">
        <v>6341</v>
      </c>
      <c r="C7" s="184">
        <v>5</v>
      </c>
      <c r="D7" s="184">
        <v>9</v>
      </c>
      <c r="E7" s="197" t="s">
        <v>6804</v>
      </c>
      <c r="F7" s="184"/>
      <c r="G7" s="184">
        <v>1</v>
      </c>
      <c r="H7" s="184" t="s">
        <v>6794</v>
      </c>
      <c r="I7" s="184" t="s">
        <v>5164</v>
      </c>
      <c r="J7" s="183">
        <v>45706.446446759262</v>
      </c>
      <c r="K7" s="197" t="s">
        <v>6798</v>
      </c>
      <c r="L7" s="184"/>
    </row>
    <row r="8" spans="1:12" ht="28.5">
      <c r="A8" s="184">
        <v>12</v>
      </c>
      <c r="B8" s="184" t="s">
        <v>6805</v>
      </c>
      <c r="C8" s="184">
        <v>5</v>
      </c>
      <c r="D8" s="184">
        <v>9</v>
      </c>
      <c r="E8" s="197" t="s">
        <v>6805</v>
      </c>
      <c r="F8" s="184"/>
      <c r="G8" s="184">
        <v>1</v>
      </c>
      <c r="H8" s="184" t="s">
        <v>6794</v>
      </c>
      <c r="I8" s="184" t="s">
        <v>5164</v>
      </c>
      <c r="J8" s="183">
        <v>45706.447812500002</v>
      </c>
      <c r="K8" s="197" t="s">
        <v>6798</v>
      </c>
      <c r="L8" s="184"/>
    </row>
    <row r="9" spans="1:12" ht="28.5">
      <c r="A9" s="184">
        <v>13</v>
      </c>
      <c r="B9" s="184" t="s">
        <v>6806</v>
      </c>
      <c r="C9" s="184">
        <v>5</v>
      </c>
      <c r="D9" s="184">
        <v>8</v>
      </c>
      <c r="E9" s="197" t="s">
        <v>6807</v>
      </c>
      <c r="F9" s="184"/>
      <c r="G9" s="184" t="s">
        <v>6808</v>
      </c>
      <c r="H9" s="184" t="s">
        <v>6801</v>
      </c>
      <c r="I9" s="184" t="s">
        <v>5164</v>
      </c>
      <c r="J9" s="183">
        <v>45706.460636574076</v>
      </c>
      <c r="K9" s="197" t="s">
        <v>6802</v>
      </c>
      <c r="L9" s="184"/>
    </row>
    <row r="10" spans="1:12" ht="28.5">
      <c r="A10" s="184">
        <v>14</v>
      </c>
      <c r="B10" s="184" t="s">
        <v>5527</v>
      </c>
      <c r="C10" s="184">
        <v>5</v>
      </c>
      <c r="D10" s="184">
        <v>9</v>
      </c>
      <c r="E10" s="197" t="s">
        <v>1070</v>
      </c>
      <c r="F10" s="184"/>
      <c r="G10" s="184">
        <v>1</v>
      </c>
      <c r="H10" s="184" t="s">
        <v>6794</v>
      </c>
      <c r="I10" s="184" t="s">
        <v>5164</v>
      </c>
      <c r="J10" s="183">
        <v>45709.14947916667</v>
      </c>
      <c r="K10" s="197" t="s">
        <v>6798</v>
      </c>
      <c r="L10" s="184"/>
    </row>
    <row r="11" spans="1:12" ht="28.5">
      <c r="A11" s="184">
        <v>15</v>
      </c>
      <c r="B11" s="184" t="s">
        <v>5174</v>
      </c>
      <c r="C11" s="184" t="s">
        <v>5157</v>
      </c>
      <c r="D11" s="184">
        <v>11</v>
      </c>
      <c r="E11" s="197" t="s">
        <v>6562</v>
      </c>
      <c r="F11" s="184"/>
      <c r="G11" s="184">
        <v>1</v>
      </c>
      <c r="H11" s="184" t="s">
        <v>6794</v>
      </c>
      <c r="I11" s="184" t="s">
        <v>5164</v>
      </c>
      <c r="J11" s="183">
        <v>45719.214131944442</v>
      </c>
      <c r="K11" s="197" t="s">
        <v>6802</v>
      </c>
      <c r="L11" s="184"/>
    </row>
    <row r="12" spans="1:12">
      <c r="A12" s="184">
        <v>16</v>
      </c>
      <c r="B12" s="184" t="s">
        <v>5514</v>
      </c>
      <c r="C12" s="184" t="s">
        <v>5157</v>
      </c>
      <c r="D12" s="184">
        <v>7</v>
      </c>
      <c r="E12" s="197" t="s">
        <v>889</v>
      </c>
      <c r="F12" s="184"/>
      <c r="G12" s="184">
        <v>1</v>
      </c>
      <c r="H12" s="184" t="s">
        <v>6794</v>
      </c>
      <c r="I12" s="184" t="s">
        <v>5164</v>
      </c>
      <c r="J12" s="183">
        <v>45719.214861111112</v>
      </c>
      <c r="K12" s="197" t="s">
        <v>6802</v>
      </c>
      <c r="L12" s="184"/>
    </row>
    <row r="13" spans="1:12" ht="42.75">
      <c r="A13" s="184">
        <v>17</v>
      </c>
      <c r="B13" s="184" t="s">
        <v>6809</v>
      </c>
      <c r="C13" s="184">
        <v>1</v>
      </c>
      <c r="D13" s="184" t="s">
        <v>6428</v>
      </c>
      <c r="E13" s="197" t="s">
        <v>6638</v>
      </c>
      <c r="F13" s="184"/>
      <c r="G13" s="184" t="s">
        <v>6810</v>
      </c>
      <c r="H13" s="184" t="s">
        <v>6811</v>
      </c>
      <c r="I13" s="184" t="s">
        <v>6632</v>
      </c>
      <c r="J13" s="183">
        <v>46134.350960648146</v>
      </c>
      <c r="K13" s="197" t="s">
        <v>6812</v>
      </c>
      <c r="L13" s="184"/>
    </row>
    <row r="14" spans="1:12">
      <c r="A14" s="184">
        <v>18</v>
      </c>
      <c r="B14" s="184" t="s">
        <v>6813</v>
      </c>
      <c r="C14" s="184" t="s">
        <v>6212</v>
      </c>
      <c r="D14" s="184" t="s">
        <v>6213</v>
      </c>
      <c r="E14" s="197" t="s">
        <v>6814</v>
      </c>
      <c r="F14" s="184"/>
      <c r="G14" s="184" t="s">
        <v>6815</v>
      </c>
      <c r="H14" s="184" t="s">
        <v>6794</v>
      </c>
      <c r="I14" s="184" t="s">
        <v>6218</v>
      </c>
      <c r="J14" s="183">
        <v>46136.169733796298</v>
      </c>
      <c r="K14" s="197" t="s">
        <v>6816</v>
      </c>
      <c r="L14" s="184"/>
    </row>
    <row r="15" spans="1:12" ht="28.5">
      <c r="A15" s="184">
        <v>19</v>
      </c>
      <c r="B15" s="184" t="s">
        <v>6817</v>
      </c>
      <c r="C15" s="184" t="s">
        <v>6818</v>
      </c>
      <c r="D15" s="184" t="s">
        <v>214</v>
      </c>
      <c r="E15" s="197" t="s">
        <v>3424</v>
      </c>
      <c r="F15" s="184"/>
      <c r="G15" s="184">
        <v>7</v>
      </c>
      <c r="H15" s="184" t="s">
        <v>6794</v>
      </c>
      <c r="I15" s="184" t="s">
        <v>3282</v>
      </c>
      <c r="J15" s="183">
        <v>46149.155243055553</v>
      </c>
      <c r="K15" s="197" t="s">
        <v>6819</v>
      </c>
      <c r="L15" s="184" t="s">
        <v>6820</v>
      </c>
    </row>
    <row r="16" spans="1:12" ht="28.5">
      <c r="A16" s="184">
        <v>20</v>
      </c>
      <c r="B16" s="184" t="s">
        <v>6821</v>
      </c>
      <c r="C16" s="184">
        <v>8</v>
      </c>
      <c r="D16" s="184" t="s">
        <v>6822</v>
      </c>
      <c r="E16" s="197" t="s">
        <v>6821</v>
      </c>
      <c r="F16" s="184"/>
      <c r="G16" s="184" t="s">
        <v>6823</v>
      </c>
      <c r="H16" s="184" t="s">
        <v>6794</v>
      </c>
      <c r="I16" s="184" t="s">
        <v>4837</v>
      </c>
      <c r="J16" s="183">
        <v>46149.239351851851</v>
      </c>
      <c r="K16" s="197">
        <v>2</v>
      </c>
      <c r="L16" s="184"/>
    </row>
    <row r="17" spans="1:12" ht="28.5">
      <c r="A17" s="184">
        <v>21</v>
      </c>
      <c r="B17" s="184" t="s">
        <v>6824</v>
      </c>
      <c r="C17" s="184">
        <v>8</v>
      </c>
      <c r="D17" s="184" t="s">
        <v>6822</v>
      </c>
      <c r="E17" s="197" t="s">
        <v>6825</v>
      </c>
      <c r="F17" s="184"/>
      <c r="G17" s="184">
        <v>2</v>
      </c>
      <c r="H17" s="184" t="s">
        <v>6826</v>
      </c>
      <c r="I17" s="184" t="s">
        <v>4837</v>
      </c>
      <c r="J17" s="183">
        <v>46150.423379629632</v>
      </c>
      <c r="K17" s="197">
        <v>2</v>
      </c>
      <c r="L17" s="184" t="s">
        <v>6827</v>
      </c>
    </row>
    <row r="18" spans="1:12" ht="28.5">
      <c r="A18" s="184">
        <v>22</v>
      </c>
      <c r="B18" s="184" t="s">
        <v>6828</v>
      </c>
      <c r="C18" s="184">
        <v>8</v>
      </c>
      <c r="D18" s="184" t="s">
        <v>6822</v>
      </c>
      <c r="E18" s="197" t="s">
        <v>2214</v>
      </c>
      <c r="F18" s="184"/>
      <c r="G18" s="184">
        <v>22</v>
      </c>
      <c r="H18" s="184" t="s">
        <v>6829</v>
      </c>
      <c r="I18" s="184" t="s">
        <v>4837</v>
      </c>
      <c r="J18" s="183">
        <v>46150.42659722222</v>
      </c>
      <c r="K18" s="197">
        <v>2</v>
      </c>
      <c r="L18" s="184" t="s">
        <v>6830</v>
      </c>
    </row>
    <row r="19" spans="1:12" ht="28.5">
      <c r="A19" s="184">
        <v>23</v>
      </c>
      <c r="B19" s="184" t="s">
        <v>6828</v>
      </c>
      <c r="C19" s="184">
        <v>8</v>
      </c>
      <c r="D19" s="184" t="s">
        <v>6822</v>
      </c>
      <c r="E19" s="197" t="s">
        <v>2218</v>
      </c>
      <c r="F19" s="184"/>
      <c r="G19" s="184" t="s">
        <v>6831</v>
      </c>
      <c r="H19" s="184" t="s">
        <v>6832</v>
      </c>
      <c r="I19" s="184" t="s">
        <v>4837</v>
      </c>
      <c r="J19" s="183">
        <v>46150.428425925929</v>
      </c>
      <c r="K19" s="197">
        <v>2</v>
      </c>
      <c r="L19" s="184" t="s">
        <v>6833</v>
      </c>
    </row>
    <row r="20" spans="1:12" ht="43.5">
      <c r="A20" s="184">
        <v>24</v>
      </c>
      <c r="B20" s="184" t="s">
        <v>6834</v>
      </c>
      <c r="C20" s="184">
        <v>8</v>
      </c>
      <c r="D20" s="184" t="s">
        <v>6822</v>
      </c>
      <c r="E20" s="197" t="s">
        <v>2234</v>
      </c>
      <c r="F20" s="184"/>
      <c r="G20" s="184">
        <v>2</v>
      </c>
      <c r="H20" s="184" t="s">
        <v>6832</v>
      </c>
      <c r="I20" s="184" t="s">
        <v>4837</v>
      </c>
      <c r="J20" s="183">
        <v>46151.403067129628</v>
      </c>
      <c r="K20" s="197">
        <v>2</v>
      </c>
      <c r="L20" s="184"/>
    </row>
    <row r="21" spans="1:12" ht="43.5">
      <c r="A21" s="184">
        <v>25</v>
      </c>
      <c r="B21" s="184" t="s">
        <v>6835</v>
      </c>
      <c r="C21" s="184">
        <v>8</v>
      </c>
      <c r="D21" s="184" t="s">
        <v>6822</v>
      </c>
      <c r="E21" s="197" t="s">
        <v>2234</v>
      </c>
      <c r="F21" s="184"/>
      <c r="G21" s="184">
        <v>2</v>
      </c>
      <c r="H21" s="184" t="s">
        <v>6832</v>
      </c>
      <c r="I21" s="184" t="s">
        <v>4837</v>
      </c>
      <c r="J21" s="183">
        <v>46151.404062499998</v>
      </c>
      <c r="K21" s="197">
        <v>2</v>
      </c>
      <c r="L21" s="184"/>
    </row>
    <row r="22" spans="1:12" ht="43.5">
      <c r="A22" s="184">
        <v>26</v>
      </c>
      <c r="B22" s="184" t="s">
        <v>2234</v>
      </c>
      <c r="C22" s="184">
        <v>8</v>
      </c>
      <c r="D22" s="184" t="s">
        <v>6822</v>
      </c>
      <c r="E22" s="197" t="s">
        <v>2234</v>
      </c>
      <c r="F22" s="184"/>
      <c r="G22" s="184">
        <v>5</v>
      </c>
      <c r="H22" s="184" t="s">
        <v>6832</v>
      </c>
      <c r="I22" s="184" t="s">
        <v>4837</v>
      </c>
      <c r="J22" s="183">
        <v>46151.405324074076</v>
      </c>
      <c r="K22" s="197">
        <v>2</v>
      </c>
      <c r="L22" s="184"/>
    </row>
    <row r="23" spans="1:12" ht="43.5">
      <c r="A23" s="184">
        <v>27</v>
      </c>
      <c r="B23" s="184" t="s">
        <v>6836</v>
      </c>
      <c r="C23" s="184">
        <v>8</v>
      </c>
      <c r="D23" s="184" t="s">
        <v>6822</v>
      </c>
      <c r="E23" s="197" t="s">
        <v>2234</v>
      </c>
      <c r="F23" s="184"/>
      <c r="G23" s="184">
        <v>1</v>
      </c>
      <c r="H23" s="184" t="s">
        <v>6832</v>
      </c>
      <c r="I23" s="184" t="s">
        <v>4837</v>
      </c>
      <c r="J23" s="183">
        <v>46151.406238425923</v>
      </c>
      <c r="K23" s="197">
        <v>2</v>
      </c>
      <c r="L23" s="184"/>
    </row>
    <row r="24" spans="1:12" ht="43.5">
      <c r="A24" s="184">
        <v>28</v>
      </c>
      <c r="B24" s="184" t="s">
        <v>6837</v>
      </c>
      <c r="C24" s="184">
        <v>8</v>
      </c>
      <c r="D24" s="184" t="s">
        <v>6822</v>
      </c>
      <c r="E24" s="197" t="s">
        <v>2234</v>
      </c>
      <c r="F24" s="184"/>
      <c r="G24" s="184">
        <v>3</v>
      </c>
      <c r="H24" s="184" t="s">
        <v>6832</v>
      </c>
      <c r="I24" s="184" t="s">
        <v>4837</v>
      </c>
      <c r="J24" s="183">
        <v>46151.407129629632</v>
      </c>
      <c r="K24" s="197">
        <v>2</v>
      </c>
      <c r="L24" s="18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6FDE-73C4-4655-8195-CF3A924B22C8}">
  <sheetPr codeName="Sheet6">
    <tabColor rgb="FF002060"/>
  </sheetPr>
  <dimension ref="A1:L39"/>
  <sheetViews>
    <sheetView topLeftCell="A23" workbookViewId="0">
      <selection activeCell="D47" sqref="D47"/>
    </sheetView>
  </sheetViews>
  <sheetFormatPr defaultRowHeight="14.25"/>
  <cols>
    <col min="1" max="1" width="6.375" customWidth="1"/>
    <col min="2" max="2" width="29.125" customWidth="1"/>
    <col min="3" max="3" width="7.25" customWidth="1"/>
    <col min="4" max="4" width="9.75" customWidth="1"/>
    <col min="5" max="5" width="28.875" customWidth="1"/>
    <col min="6" max="6" width="18.5" customWidth="1"/>
    <col min="7" max="7" width="23.625" customWidth="1"/>
    <col min="8" max="8" width="10.75" customWidth="1"/>
    <col min="9" max="9" width="29.25" customWidth="1"/>
    <col min="10" max="10" width="15.875" customWidth="1"/>
    <col min="11" max="11" width="32.25" customWidth="1"/>
  </cols>
  <sheetData>
    <row r="1" spans="1:12">
      <c r="H1">
        <f>SUM(H3:H1140)</f>
        <v>3125</v>
      </c>
    </row>
    <row r="2" spans="1:12" s="2" customFormat="1" ht="15">
      <c r="A2" s="61" t="s">
        <v>0</v>
      </c>
      <c r="B2" s="61" t="s">
        <v>2</v>
      </c>
      <c r="C2" s="61" t="s">
        <v>3</v>
      </c>
      <c r="D2" s="61" t="s">
        <v>4</v>
      </c>
      <c r="E2" s="61" t="s">
        <v>5</v>
      </c>
      <c r="F2" s="62" t="s">
        <v>6570</v>
      </c>
      <c r="G2" s="62" t="s">
        <v>6838</v>
      </c>
      <c r="H2" s="62" t="s">
        <v>6788</v>
      </c>
      <c r="I2" s="62" t="s">
        <v>13</v>
      </c>
      <c r="J2" s="60" t="s">
        <v>6790</v>
      </c>
      <c r="K2" s="60" t="s">
        <v>189</v>
      </c>
      <c r="L2" s="60" t="s">
        <v>6571</v>
      </c>
    </row>
    <row r="3" spans="1:12" s="6" customFormat="1">
      <c r="A3" s="198"/>
      <c r="B3" s="199"/>
      <c r="C3" s="199"/>
      <c r="D3" s="199"/>
      <c r="E3" s="200"/>
      <c r="F3" s="200"/>
      <c r="G3" s="200"/>
      <c r="H3" s="201"/>
      <c r="I3" s="201"/>
      <c r="J3" s="200"/>
      <c r="K3" s="184"/>
      <c r="L3" s="184"/>
    </row>
    <row r="4" spans="1:12">
      <c r="A4" s="202" t="s">
        <v>6839</v>
      </c>
      <c r="B4" s="203" t="s">
        <v>6840</v>
      </c>
      <c r="C4" s="203" t="s">
        <v>6841</v>
      </c>
      <c r="D4" s="203" t="s">
        <v>6842</v>
      </c>
      <c r="E4" s="204" t="s">
        <v>2742</v>
      </c>
      <c r="F4" s="204">
        <v>2010</v>
      </c>
      <c r="G4" s="204" t="s">
        <v>6843</v>
      </c>
      <c r="H4" s="205">
        <v>150</v>
      </c>
      <c r="I4" s="205" t="s">
        <v>2548</v>
      </c>
      <c r="J4" s="206">
        <v>45706.098761574074</v>
      </c>
      <c r="K4" s="184"/>
      <c r="L4" s="184"/>
    </row>
    <row r="5" spans="1:12">
      <c r="A5" s="202" t="s">
        <v>6844</v>
      </c>
      <c r="B5" s="203" t="s">
        <v>6845</v>
      </c>
      <c r="C5" s="203" t="s">
        <v>6841</v>
      </c>
      <c r="D5" s="203" t="s">
        <v>6842</v>
      </c>
      <c r="E5" s="204" t="s">
        <v>6846</v>
      </c>
      <c r="F5" s="204">
        <v>2010</v>
      </c>
      <c r="G5" s="204" t="s">
        <v>6843</v>
      </c>
      <c r="H5" s="205">
        <v>50</v>
      </c>
      <c r="I5" s="205" t="s">
        <v>2548</v>
      </c>
      <c r="J5" s="206">
        <v>45706.100034722222</v>
      </c>
      <c r="K5" s="184"/>
      <c r="L5" s="184"/>
    </row>
    <row r="6" spans="1:12">
      <c r="A6" s="202" t="s">
        <v>6847</v>
      </c>
      <c r="B6" s="203" t="s">
        <v>6848</v>
      </c>
      <c r="C6" s="203" t="s">
        <v>6841</v>
      </c>
      <c r="D6" s="203" t="s">
        <v>6842</v>
      </c>
      <c r="E6" s="204" t="s">
        <v>6849</v>
      </c>
      <c r="F6" s="204">
        <v>2010</v>
      </c>
      <c r="G6" s="204" t="s">
        <v>6843</v>
      </c>
      <c r="H6" s="205">
        <v>167</v>
      </c>
      <c r="I6" s="205" t="s">
        <v>2548</v>
      </c>
      <c r="J6" s="206">
        <v>45706.100844907407</v>
      </c>
      <c r="K6" s="184"/>
      <c r="L6" s="184"/>
    </row>
    <row r="7" spans="1:12">
      <c r="A7" s="202" t="s">
        <v>6842</v>
      </c>
      <c r="B7" s="203" t="s">
        <v>6850</v>
      </c>
      <c r="C7" s="203" t="s">
        <v>6841</v>
      </c>
      <c r="D7" s="203" t="s">
        <v>6844</v>
      </c>
      <c r="E7" s="204" t="s">
        <v>2546</v>
      </c>
      <c r="F7" s="204">
        <v>2009</v>
      </c>
      <c r="G7" s="204" t="s">
        <v>6851</v>
      </c>
      <c r="H7" s="205">
        <v>199</v>
      </c>
      <c r="I7" s="205" t="s">
        <v>2548</v>
      </c>
      <c r="J7" s="206">
        <v>45706.102488425924</v>
      </c>
      <c r="K7" s="184"/>
      <c r="L7" s="184"/>
    </row>
    <row r="8" spans="1:12">
      <c r="A8" s="202" t="s">
        <v>6841</v>
      </c>
      <c r="B8" s="203" t="s">
        <v>6852</v>
      </c>
      <c r="C8" s="203" t="s">
        <v>6841</v>
      </c>
      <c r="D8" s="203" t="s">
        <v>6853</v>
      </c>
      <c r="E8" s="204" t="s">
        <v>1737</v>
      </c>
      <c r="F8" s="204">
        <v>2010</v>
      </c>
      <c r="G8" s="204" t="s">
        <v>6851</v>
      </c>
      <c r="H8" s="205">
        <v>80</v>
      </c>
      <c r="I8" s="205" t="s">
        <v>1623</v>
      </c>
      <c r="J8" s="206">
        <v>45706.103865740741</v>
      </c>
      <c r="K8" s="184"/>
      <c r="L8" s="184"/>
    </row>
    <row r="9" spans="1:12">
      <c r="A9" s="202" t="s">
        <v>6854</v>
      </c>
      <c r="B9" s="203" t="s">
        <v>6852</v>
      </c>
      <c r="C9" s="203" t="s">
        <v>6841</v>
      </c>
      <c r="D9" s="203" t="s">
        <v>6853</v>
      </c>
      <c r="E9" s="204" t="s">
        <v>1733</v>
      </c>
      <c r="F9" s="204">
        <v>2010</v>
      </c>
      <c r="G9" s="204" t="s">
        <v>6851</v>
      </c>
      <c r="H9" s="205">
        <v>56</v>
      </c>
      <c r="I9" s="205" t="s">
        <v>1623</v>
      </c>
      <c r="J9" s="206">
        <v>45706.104212962964</v>
      </c>
      <c r="K9" s="184"/>
      <c r="L9" s="184"/>
    </row>
    <row r="10" spans="1:12">
      <c r="A10" s="202" t="s">
        <v>434</v>
      </c>
      <c r="B10" s="203" t="s">
        <v>6852</v>
      </c>
      <c r="C10" s="203" t="s">
        <v>6841</v>
      </c>
      <c r="D10" s="203" t="s">
        <v>6853</v>
      </c>
      <c r="E10" s="204" t="s">
        <v>1741</v>
      </c>
      <c r="F10" s="204">
        <v>2010</v>
      </c>
      <c r="G10" s="204" t="s">
        <v>6851</v>
      </c>
      <c r="H10" s="205">
        <v>64</v>
      </c>
      <c r="I10" s="205" t="s">
        <v>1623</v>
      </c>
      <c r="J10" s="206">
        <v>45706.104513888888</v>
      </c>
      <c r="K10" s="184"/>
      <c r="L10" s="184"/>
    </row>
    <row r="11" spans="1:12">
      <c r="A11" s="202" t="s">
        <v>418</v>
      </c>
      <c r="B11" s="203" t="s">
        <v>300</v>
      </c>
      <c r="C11" s="203" t="s">
        <v>6841</v>
      </c>
      <c r="D11" s="203" t="s">
        <v>6853</v>
      </c>
      <c r="E11" s="204" t="s">
        <v>1725</v>
      </c>
      <c r="F11" s="204">
        <v>2010</v>
      </c>
      <c r="G11" s="204" t="s">
        <v>6855</v>
      </c>
      <c r="H11" s="205">
        <v>32</v>
      </c>
      <c r="I11" s="205" t="s">
        <v>1623</v>
      </c>
      <c r="J11" s="206">
        <v>45706.105543981481</v>
      </c>
      <c r="K11" s="184"/>
      <c r="L11" s="184"/>
    </row>
    <row r="12" spans="1:12">
      <c r="A12" s="202" t="s">
        <v>6856</v>
      </c>
      <c r="B12" s="203" t="s">
        <v>6857</v>
      </c>
      <c r="C12" s="203" t="s">
        <v>6841</v>
      </c>
      <c r="D12" s="203" t="s">
        <v>6853</v>
      </c>
      <c r="E12" s="204" t="s">
        <v>1725</v>
      </c>
      <c r="F12" s="204">
        <v>2010</v>
      </c>
      <c r="G12" s="204" t="s">
        <v>6851</v>
      </c>
      <c r="H12" s="205">
        <v>58</v>
      </c>
      <c r="I12" s="205" t="s">
        <v>1623</v>
      </c>
      <c r="J12" s="206">
        <v>45706.106307870374</v>
      </c>
      <c r="K12" s="184"/>
      <c r="L12" s="184"/>
    </row>
    <row r="13" spans="1:12">
      <c r="A13" s="202" t="s">
        <v>6858</v>
      </c>
      <c r="B13" s="203" t="s">
        <v>6859</v>
      </c>
      <c r="C13" s="203" t="s">
        <v>6841</v>
      </c>
      <c r="D13" s="203" t="s">
        <v>6860</v>
      </c>
      <c r="E13" s="204" t="s">
        <v>1773</v>
      </c>
      <c r="F13" s="204">
        <v>2010</v>
      </c>
      <c r="G13" s="204" t="s">
        <v>6855</v>
      </c>
      <c r="H13" s="205">
        <v>55</v>
      </c>
      <c r="I13" s="205" t="s">
        <v>1623</v>
      </c>
      <c r="J13" s="206">
        <v>45706.10728009259</v>
      </c>
      <c r="K13" s="184"/>
      <c r="L13" s="184"/>
    </row>
    <row r="14" spans="1:12">
      <c r="A14" s="202" t="s">
        <v>6861</v>
      </c>
      <c r="B14" s="203" t="s">
        <v>1836</v>
      </c>
      <c r="C14" s="203" t="s">
        <v>6841</v>
      </c>
      <c r="D14" s="203" t="s">
        <v>6861</v>
      </c>
      <c r="E14" s="204" t="s">
        <v>1836</v>
      </c>
      <c r="F14" s="204">
        <v>2011</v>
      </c>
      <c r="G14" s="204" t="s">
        <v>6862</v>
      </c>
      <c r="H14" s="205">
        <v>93</v>
      </c>
      <c r="I14" s="205" t="s">
        <v>1623</v>
      </c>
      <c r="J14" s="206">
        <v>45706.108055555553</v>
      </c>
      <c r="K14" s="184"/>
      <c r="L14" s="184"/>
    </row>
    <row r="15" spans="1:12">
      <c r="A15" s="202" t="s">
        <v>6860</v>
      </c>
      <c r="B15" s="203" t="s">
        <v>6863</v>
      </c>
      <c r="C15" s="203" t="s">
        <v>6841</v>
      </c>
      <c r="D15" s="203" t="s">
        <v>6844</v>
      </c>
      <c r="E15" s="204" t="s">
        <v>2234</v>
      </c>
      <c r="F15" s="204">
        <v>2010</v>
      </c>
      <c r="G15" s="204" t="s">
        <v>6862</v>
      </c>
      <c r="H15" s="205">
        <v>80</v>
      </c>
      <c r="I15" s="205" t="s">
        <v>1623</v>
      </c>
      <c r="J15" s="206">
        <v>45706.108657407407</v>
      </c>
      <c r="K15" s="184"/>
      <c r="L15" s="184"/>
    </row>
    <row r="16" spans="1:12">
      <c r="A16" s="202" t="s">
        <v>6853</v>
      </c>
      <c r="B16" s="203" t="s">
        <v>6864</v>
      </c>
      <c r="C16" s="203" t="s">
        <v>6841</v>
      </c>
      <c r="D16" s="203" t="s">
        <v>6860</v>
      </c>
      <c r="E16" s="204" t="s">
        <v>6865</v>
      </c>
      <c r="F16" s="204">
        <v>2005</v>
      </c>
      <c r="G16" s="204" t="s">
        <v>6851</v>
      </c>
      <c r="H16" s="205">
        <v>118</v>
      </c>
      <c r="I16" s="205" t="s">
        <v>1623</v>
      </c>
      <c r="J16" s="206">
        <v>45706.109664351854</v>
      </c>
      <c r="K16" s="184"/>
      <c r="L16" s="184"/>
    </row>
    <row r="17" spans="1:12">
      <c r="A17" s="202" t="s">
        <v>6866</v>
      </c>
      <c r="B17" s="203" t="s">
        <v>6864</v>
      </c>
      <c r="C17" s="203" t="s">
        <v>6841</v>
      </c>
      <c r="D17" s="203" t="s">
        <v>6860</v>
      </c>
      <c r="E17" s="204" t="s">
        <v>6865</v>
      </c>
      <c r="F17" s="204">
        <v>2005</v>
      </c>
      <c r="G17" s="204" t="s">
        <v>6855</v>
      </c>
      <c r="H17" s="205">
        <v>150</v>
      </c>
      <c r="I17" s="205" t="s">
        <v>1623</v>
      </c>
      <c r="J17" s="206">
        <v>45706.110543981478</v>
      </c>
      <c r="K17" s="184"/>
      <c r="L17" s="184"/>
    </row>
    <row r="18" spans="1:12">
      <c r="A18" s="202" t="s">
        <v>6867</v>
      </c>
      <c r="B18" s="203" t="s">
        <v>1791</v>
      </c>
      <c r="C18" s="203" t="s">
        <v>6841</v>
      </c>
      <c r="D18" s="203" t="s">
        <v>6860</v>
      </c>
      <c r="E18" s="204" t="s">
        <v>1791</v>
      </c>
      <c r="F18" s="204">
        <v>2010</v>
      </c>
      <c r="G18" s="204" t="s">
        <v>6868</v>
      </c>
      <c r="H18" s="205">
        <v>64</v>
      </c>
      <c r="I18" s="205" t="s">
        <v>1623</v>
      </c>
      <c r="J18" s="206">
        <v>45706.111250000002</v>
      </c>
      <c r="K18" s="184"/>
      <c r="L18" s="184"/>
    </row>
    <row r="19" spans="1:12">
      <c r="A19" s="202" t="s">
        <v>6869</v>
      </c>
      <c r="B19" s="203" t="s">
        <v>6870</v>
      </c>
      <c r="C19" s="203" t="s">
        <v>6841</v>
      </c>
      <c r="D19" s="203" t="s">
        <v>6860</v>
      </c>
      <c r="E19" s="204" t="s">
        <v>6871</v>
      </c>
      <c r="F19" s="204">
        <v>2010</v>
      </c>
      <c r="G19" s="204" t="s">
        <v>6872</v>
      </c>
      <c r="H19" s="205">
        <v>121</v>
      </c>
      <c r="I19" s="205" t="s">
        <v>1623</v>
      </c>
      <c r="J19" s="206">
        <v>45706.111979166664</v>
      </c>
      <c r="K19" s="184"/>
      <c r="L19" s="184"/>
    </row>
    <row r="20" spans="1:12">
      <c r="A20" s="202" t="s">
        <v>6873</v>
      </c>
      <c r="B20" s="203" t="s">
        <v>6874</v>
      </c>
      <c r="C20" s="203" t="s">
        <v>6841</v>
      </c>
      <c r="D20" s="203" t="s">
        <v>6853</v>
      </c>
      <c r="E20" s="204" t="s">
        <v>1664</v>
      </c>
      <c r="F20" s="204">
        <v>2010</v>
      </c>
      <c r="G20" s="204" t="s">
        <v>6872</v>
      </c>
      <c r="H20" s="205">
        <v>112</v>
      </c>
      <c r="I20" s="205" t="s">
        <v>1623</v>
      </c>
      <c r="J20" s="206">
        <v>45706.112847222219</v>
      </c>
      <c r="K20" s="184"/>
      <c r="L20" s="184"/>
    </row>
    <row r="21" spans="1:12">
      <c r="A21" s="202" t="s">
        <v>6875</v>
      </c>
      <c r="B21" s="203" t="s">
        <v>6876</v>
      </c>
      <c r="C21" s="203" t="s">
        <v>6841</v>
      </c>
      <c r="D21" s="203" t="s">
        <v>6853</v>
      </c>
      <c r="E21" s="204" t="s">
        <v>6876</v>
      </c>
      <c r="F21" s="204">
        <v>2010</v>
      </c>
      <c r="G21" s="204" t="s">
        <v>6868</v>
      </c>
      <c r="H21" s="205">
        <v>152</v>
      </c>
      <c r="I21" s="205" t="s">
        <v>1623</v>
      </c>
      <c r="J21" s="206">
        <v>45706.114120370374</v>
      </c>
      <c r="K21" s="184"/>
      <c r="L21" s="184"/>
    </row>
    <row r="22" spans="1:12">
      <c r="A22" s="202" t="s">
        <v>6877</v>
      </c>
      <c r="B22" s="203" t="s">
        <v>6878</v>
      </c>
      <c r="C22" s="203" t="s">
        <v>6841</v>
      </c>
      <c r="D22" s="203" t="s">
        <v>6853</v>
      </c>
      <c r="E22" s="204" t="s">
        <v>1682</v>
      </c>
      <c r="F22" s="204">
        <v>2010</v>
      </c>
      <c r="G22" s="204" t="s">
        <v>6862</v>
      </c>
      <c r="H22" s="205">
        <v>174</v>
      </c>
      <c r="I22" s="205" t="s">
        <v>1623</v>
      </c>
      <c r="J22" s="206">
        <v>45706.115358796298</v>
      </c>
      <c r="K22" s="184"/>
      <c r="L22" s="184"/>
    </row>
    <row r="23" spans="1:12">
      <c r="A23" s="202" t="s">
        <v>6879</v>
      </c>
      <c r="B23" s="203" t="s">
        <v>6878</v>
      </c>
      <c r="C23" s="203" t="s">
        <v>6841</v>
      </c>
      <c r="D23" s="203" t="s">
        <v>6853</v>
      </c>
      <c r="E23" s="204" t="s">
        <v>1686</v>
      </c>
      <c r="F23" s="204">
        <v>2010</v>
      </c>
      <c r="G23" s="204" t="s">
        <v>6868</v>
      </c>
      <c r="H23" s="205">
        <v>114</v>
      </c>
      <c r="I23" s="205" t="s">
        <v>1623</v>
      </c>
      <c r="J23" s="206">
        <v>45706.116157407407</v>
      </c>
      <c r="K23" s="184"/>
      <c r="L23" s="184"/>
    </row>
    <row r="24" spans="1:12">
      <c r="A24" s="202" t="s">
        <v>6880</v>
      </c>
      <c r="B24" s="203" t="s">
        <v>6878</v>
      </c>
      <c r="C24" s="203" t="s">
        <v>6841</v>
      </c>
      <c r="D24" s="203" t="s">
        <v>6853</v>
      </c>
      <c r="E24" s="204" t="s">
        <v>1686</v>
      </c>
      <c r="F24" s="204">
        <v>2010</v>
      </c>
      <c r="G24" s="204" t="s">
        <v>6868</v>
      </c>
      <c r="H24" s="205">
        <v>97</v>
      </c>
      <c r="I24" s="205" t="s">
        <v>1623</v>
      </c>
      <c r="J24" s="206">
        <v>45706.116446759261</v>
      </c>
      <c r="K24" s="184"/>
      <c r="L24" s="184"/>
    </row>
    <row r="25" spans="1:12">
      <c r="A25" s="202" t="s">
        <v>6881</v>
      </c>
      <c r="B25" s="203" t="s">
        <v>6878</v>
      </c>
      <c r="C25" s="203" t="s">
        <v>6841</v>
      </c>
      <c r="D25" s="203" t="s">
        <v>6853</v>
      </c>
      <c r="E25" s="204" t="s">
        <v>1690</v>
      </c>
      <c r="F25" s="204">
        <v>2010</v>
      </c>
      <c r="G25" s="204" t="s">
        <v>6868</v>
      </c>
      <c r="H25" s="205">
        <v>235</v>
      </c>
      <c r="I25" s="205" t="s">
        <v>1623</v>
      </c>
      <c r="J25" s="206">
        <v>45706.116990740738</v>
      </c>
      <c r="K25" s="184"/>
      <c r="L25" s="184"/>
    </row>
    <row r="26" spans="1:12">
      <c r="A26" s="202" t="s">
        <v>6882</v>
      </c>
      <c r="B26" s="203" t="s">
        <v>6878</v>
      </c>
      <c r="C26" s="203" t="s">
        <v>6841</v>
      </c>
      <c r="D26" s="203" t="s">
        <v>6853</v>
      </c>
      <c r="E26" s="204" t="s">
        <v>6883</v>
      </c>
      <c r="F26" s="204">
        <v>2010</v>
      </c>
      <c r="G26" s="204" t="s">
        <v>6868</v>
      </c>
      <c r="H26" s="205">
        <v>193</v>
      </c>
      <c r="I26" s="205" t="s">
        <v>1623</v>
      </c>
      <c r="J26" s="206">
        <v>45706.117743055554</v>
      </c>
      <c r="K26" s="184"/>
      <c r="L26" s="184"/>
    </row>
    <row r="27" spans="1:12">
      <c r="A27" s="202" t="s">
        <v>6884</v>
      </c>
      <c r="B27" s="203" t="s">
        <v>1729</v>
      </c>
      <c r="C27" s="203" t="s">
        <v>6841</v>
      </c>
      <c r="D27" s="203" t="s">
        <v>6860</v>
      </c>
      <c r="E27" s="204" t="s">
        <v>1729</v>
      </c>
      <c r="F27" s="204">
        <v>2010</v>
      </c>
      <c r="G27" s="204" t="s">
        <v>6851</v>
      </c>
      <c r="H27" s="205">
        <v>34</v>
      </c>
      <c r="I27" s="205" t="s">
        <v>1623</v>
      </c>
      <c r="J27" s="206">
        <v>45706.118414351855</v>
      </c>
      <c r="K27" s="184"/>
      <c r="L27" s="184"/>
    </row>
    <row r="28" spans="1:12" ht="42.75">
      <c r="A28" s="202" t="s">
        <v>6885</v>
      </c>
      <c r="B28" s="203" t="s">
        <v>3608</v>
      </c>
      <c r="C28" s="203" t="s">
        <v>418</v>
      </c>
      <c r="D28" s="203" t="s">
        <v>6841</v>
      </c>
      <c r="E28" s="204" t="s">
        <v>6886</v>
      </c>
      <c r="F28" s="204">
        <v>2013</v>
      </c>
      <c r="G28" s="204" t="s">
        <v>6887</v>
      </c>
      <c r="H28" s="205">
        <v>337</v>
      </c>
      <c r="I28" s="205" t="s">
        <v>4050</v>
      </c>
      <c r="J28" s="206">
        <v>45706.147488425922</v>
      </c>
      <c r="K28" s="197" t="s">
        <v>6888</v>
      </c>
      <c r="L28" s="184"/>
    </row>
    <row r="29" spans="1:12" ht="41.25" customHeight="1">
      <c r="A29" s="202" t="s">
        <v>6889</v>
      </c>
      <c r="B29" s="203" t="s">
        <v>6890</v>
      </c>
      <c r="C29" s="203" t="s">
        <v>434</v>
      </c>
      <c r="D29" s="203" t="s">
        <v>6891</v>
      </c>
      <c r="E29" s="204" t="s">
        <v>6892</v>
      </c>
      <c r="F29" s="204">
        <v>2002</v>
      </c>
      <c r="G29" s="204" t="s">
        <v>6893</v>
      </c>
      <c r="H29" s="205">
        <v>68</v>
      </c>
      <c r="I29" s="205" t="s">
        <v>2859</v>
      </c>
      <c r="J29" s="206">
        <v>45712.310636574075</v>
      </c>
      <c r="K29" s="197" t="s">
        <v>6894</v>
      </c>
      <c r="L29" s="184"/>
    </row>
    <row r="30" spans="1:12" ht="56.25" customHeight="1">
      <c r="A30" s="202" t="s">
        <v>6895</v>
      </c>
      <c r="B30" s="203" t="s">
        <v>6890</v>
      </c>
      <c r="C30" s="203" t="s">
        <v>434</v>
      </c>
      <c r="D30" s="203" t="s">
        <v>6891</v>
      </c>
      <c r="E30" s="204" t="s">
        <v>2893</v>
      </c>
      <c r="F30" s="204">
        <v>2002</v>
      </c>
      <c r="G30" s="204" t="s">
        <v>6896</v>
      </c>
      <c r="H30" s="207" t="s">
        <v>6897</v>
      </c>
      <c r="I30" s="205" t="s">
        <v>2859</v>
      </c>
      <c r="J30" s="206">
        <v>45712.319664351853</v>
      </c>
      <c r="K30" s="197" t="s">
        <v>6898</v>
      </c>
      <c r="L30" s="184"/>
    </row>
    <row r="31" spans="1:12" ht="28.5">
      <c r="A31" s="202" t="s">
        <v>6899</v>
      </c>
      <c r="B31" s="203" t="s">
        <v>6890</v>
      </c>
      <c r="C31" s="203" t="s">
        <v>434</v>
      </c>
      <c r="D31" s="203" t="s">
        <v>6891</v>
      </c>
      <c r="E31" s="204" t="s">
        <v>2897</v>
      </c>
      <c r="F31" s="204">
        <v>2002</v>
      </c>
      <c r="G31" s="204" t="s">
        <v>6900</v>
      </c>
      <c r="H31" s="205">
        <v>32</v>
      </c>
      <c r="I31" s="205" t="s">
        <v>2859</v>
      </c>
      <c r="J31" s="206">
        <v>45712.337418981479</v>
      </c>
      <c r="K31" s="197" t="s">
        <v>6901</v>
      </c>
      <c r="L31" s="184"/>
    </row>
    <row r="32" spans="1:12" ht="28.5">
      <c r="A32" s="202" t="s">
        <v>6902</v>
      </c>
      <c r="B32" s="203" t="s">
        <v>6555</v>
      </c>
      <c r="C32" s="203" t="s">
        <v>6903</v>
      </c>
      <c r="D32" s="203" t="s">
        <v>6552</v>
      </c>
      <c r="E32" s="204" t="s">
        <v>1024</v>
      </c>
      <c r="F32" s="204"/>
      <c r="G32" s="204" t="s">
        <v>6904</v>
      </c>
      <c r="H32" s="205"/>
      <c r="I32" s="205" t="s">
        <v>5164</v>
      </c>
      <c r="J32" s="206">
        <v>46135.154016203705</v>
      </c>
      <c r="K32" s="197" t="s">
        <v>6905</v>
      </c>
      <c r="L32" s="184"/>
    </row>
    <row r="33" spans="1:12" ht="28.5">
      <c r="A33" s="202" t="s">
        <v>6906</v>
      </c>
      <c r="B33" s="203" t="s">
        <v>6555</v>
      </c>
      <c r="C33" s="203" t="s">
        <v>6903</v>
      </c>
      <c r="D33" s="203" t="s">
        <v>6552</v>
      </c>
      <c r="E33" s="204" t="s">
        <v>870</v>
      </c>
      <c r="F33" s="204"/>
      <c r="G33" s="204" t="s">
        <v>6904</v>
      </c>
      <c r="H33" s="205"/>
      <c r="I33" s="205" t="s">
        <v>5164</v>
      </c>
      <c r="J33" s="206">
        <v>46135.158321759256</v>
      </c>
      <c r="K33" s="197" t="s">
        <v>6907</v>
      </c>
      <c r="L33" s="184"/>
    </row>
    <row r="34" spans="1:12" ht="43.5">
      <c r="A34" s="202" t="s">
        <v>6908</v>
      </c>
      <c r="B34" s="203" t="s">
        <v>4792</v>
      </c>
      <c r="C34" s="203" t="s">
        <v>6841</v>
      </c>
      <c r="D34" s="203" t="s">
        <v>6822</v>
      </c>
      <c r="E34" s="204" t="s">
        <v>6909</v>
      </c>
      <c r="F34" s="204"/>
      <c r="G34" s="204" t="s">
        <v>6910</v>
      </c>
      <c r="H34" s="205" t="s">
        <v>6911</v>
      </c>
      <c r="I34" s="205" t="s">
        <v>4837</v>
      </c>
      <c r="J34" s="206">
        <v>46149.246562499997</v>
      </c>
      <c r="K34" s="197"/>
      <c r="L34" s="184"/>
    </row>
    <row r="35" spans="1:12">
      <c r="A35" s="202" t="s">
        <v>6912</v>
      </c>
      <c r="B35" s="203" t="s">
        <v>6913</v>
      </c>
      <c r="C35" s="203" t="s">
        <v>418</v>
      </c>
      <c r="D35" s="203" t="s">
        <v>4890</v>
      </c>
      <c r="E35" s="204" t="s">
        <v>6914</v>
      </c>
      <c r="F35" s="204"/>
      <c r="G35" s="204" t="s">
        <v>6915</v>
      </c>
      <c r="H35" s="205" t="s">
        <v>6916</v>
      </c>
      <c r="I35" s="205" t="s">
        <v>4861</v>
      </c>
      <c r="J35" s="206">
        <v>46149.338622685187</v>
      </c>
      <c r="K35" s="197"/>
      <c r="L35" s="184"/>
    </row>
    <row r="36" spans="1:12">
      <c r="A36" s="202" t="s">
        <v>6917</v>
      </c>
      <c r="B36" s="203" t="s">
        <v>6918</v>
      </c>
      <c r="C36" s="203" t="s">
        <v>418</v>
      </c>
      <c r="D36" s="203" t="s">
        <v>4748</v>
      </c>
      <c r="E36" s="204" t="s">
        <v>6919</v>
      </c>
      <c r="F36" s="204"/>
      <c r="G36" s="204" t="s">
        <v>6855</v>
      </c>
      <c r="H36" s="205">
        <v>40</v>
      </c>
      <c r="I36" s="205" t="s">
        <v>4861</v>
      </c>
      <c r="J36" s="206">
        <v>46149.340729166666</v>
      </c>
      <c r="K36" s="197"/>
      <c r="L36" s="184"/>
    </row>
    <row r="37" spans="1:12">
      <c r="A37" s="202" t="s">
        <v>6920</v>
      </c>
      <c r="B37" s="203" t="s">
        <v>4906</v>
      </c>
      <c r="C37" s="203" t="s">
        <v>418</v>
      </c>
      <c r="D37" s="203" t="s">
        <v>4728</v>
      </c>
      <c r="E37" s="204" t="s">
        <v>3546</v>
      </c>
      <c r="F37" s="204"/>
      <c r="G37" s="204" t="s">
        <v>6921</v>
      </c>
      <c r="H37" s="205" t="s">
        <v>6922</v>
      </c>
      <c r="I37" s="205" t="s">
        <v>4861</v>
      </c>
      <c r="J37" s="206">
        <v>46149.342893518522</v>
      </c>
      <c r="K37" s="197"/>
      <c r="L37" s="184"/>
    </row>
    <row r="38" spans="1:12">
      <c r="A38" s="202" t="s">
        <v>6923</v>
      </c>
      <c r="B38" s="203" t="s">
        <v>6924</v>
      </c>
      <c r="C38" s="203" t="s">
        <v>418</v>
      </c>
      <c r="D38" s="203" t="s">
        <v>4748</v>
      </c>
      <c r="E38" s="204" t="s">
        <v>3706</v>
      </c>
      <c r="F38" s="204"/>
      <c r="G38" s="204" t="s">
        <v>6921</v>
      </c>
      <c r="H38" s="205" t="s">
        <v>6925</v>
      </c>
      <c r="I38" s="205" t="s">
        <v>4861</v>
      </c>
      <c r="J38" s="206">
        <v>46149.346736111111</v>
      </c>
      <c r="K38" s="197"/>
      <c r="L38" s="184"/>
    </row>
    <row r="39" spans="1:12">
      <c r="A39" s="202" t="s">
        <v>6926</v>
      </c>
      <c r="B39" s="203" t="s">
        <v>6555</v>
      </c>
      <c r="C39" s="203" t="s">
        <v>434</v>
      </c>
      <c r="D39" s="203" t="s">
        <v>6927</v>
      </c>
      <c r="E39" s="204" t="s">
        <v>3231</v>
      </c>
      <c r="F39" s="204"/>
      <c r="G39" s="226">
        <v>46123</v>
      </c>
      <c r="H39" s="205" t="s">
        <v>6928</v>
      </c>
      <c r="I39" s="205" t="s">
        <v>6764</v>
      </c>
      <c r="J39" s="206">
        <v>46167.165451388886</v>
      </c>
      <c r="K39" s="197"/>
      <c r="L39" s="184"/>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0238C-CE70-4F97-9173-491ED7B56A97}">
  <sheetPr codeName="Sheet7">
    <tabColor rgb="FF002060"/>
  </sheetPr>
  <dimension ref="A1:XFA66"/>
  <sheetViews>
    <sheetView topLeftCell="A28" workbookViewId="0">
      <selection activeCell="C12" sqref="C12"/>
    </sheetView>
  </sheetViews>
  <sheetFormatPr defaultRowHeight="14.25"/>
  <cols>
    <col min="1" max="1" width="6.625" style="70" bestFit="1" customWidth="1"/>
    <col min="2" max="2" width="23.5" style="70" customWidth="1"/>
    <col min="3" max="3" width="26.25" style="70" bestFit="1" customWidth="1"/>
    <col min="4" max="4" width="8" style="70" bestFit="1" customWidth="1"/>
    <col min="5" max="5" width="10.625" style="70" bestFit="1" customWidth="1"/>
    <col min="6" max="6" width="15.625" style="70" bestFit="1" customWidth="1"/>
    <col min="7" max="7" width="14" style="70" bestFit="1" customWidth="1"/>
    <col min="8" max="8" width="27.5" style="70" customWidth="1"/>
    <col min="9" max="9" width="23.75" style="70" customWidth="1"/>
    <col min="10" max="10" width="16.375" style="70" customWidth="1"/>
    <col min="11" max="11" width="17" style="70" bestFit="1" customWidth="1"/>
    <col min="12" max="12" width="10" style="70" bestFit="1" customWidth="1"/>
    <col min="13" max="13" width="6.625" style="70" bestFit="1" customWidth="1"/>
  </cols>
  <sheetData>
    <row r="1" spans="1:1015 1025:2042 2052:3069 3079:4096 4106:5120 5122:6137 6147:7164 7174:8191 8201:9215 9217:10232 10242:11259 11269:12286 12296:14327 14337:15354 15364:16381" s="2" customFormat="1" ht="15">
      <c r="A1" s="64" t="s">
        <v>0</v>
      </c>
      <c r="B1" s="64" t="s">
        <v>4332</v>
      </c>
      <c r="C1" s="64" t="s">
        <v>2</v>
      </c>
      <c r="D1" s="64" t="s">
        <v>3</v>
      </c>
      <c r="E1" s="64" t="s">
        <v>4</v>
      </c>
      <c r="F1" s="64" t="s">
        <v>5</v>
      </c>
      <c r="G1" s="65" t="s">
        <v>6570</v>
      </c>
      <c r="H1" s="65" t="s">
        <v>6929</v>
      </c>
      <c r="I1" s="65" t="s">
        <v>6788</v>
      </c>
      <c r="J1" s="65" t="s">
        <v>13</v>
      </c>
      <c r="K1" s="62" t="s">
        <v>6790</v>
      </c>
      <c r="L1" s="65" t="s">
        <v>189</v>
      </c>
      <c r="M1" s="214" t="s">
        <v>6571</v>
      </c>
    </row>
    <row r="2" spans="1:1015 1025:2042 2052:3069 3079:4096 4106:5120 5122:6137 6147:7164 7174:8191 8201:9215 9217:10232 10242:11259 11269:12286 12296:14327 14337:15354 15364:16381" s="211" customFormat="1" ht="28.5">
      <c r="A2" s="210" t="s">
        <v>6891</v>
      </c>
      <c r="B2" s="211" t="s">
        <v>6930</v>
      </c>
      <c r="C2" s="211" t="s">
        <v>6909</v>
      </c>
      <c r="D2" s="211">
        <v>8</v>
      </c>
      <c r="E2" s="211">
        <v>1</v>
      </c>
      <c r="F2" s="211" t="s">
        <v>6909</v>
      </c>
      <c r="I2" s="211" t="s">
        <v>6931</v>
      </c>
      <c r="J2" s="211" t="s">
        <v>4544</v>
      </c>
      <c r="K2" s="212"/>
      <c r="M2" s="213"/>
      <c r="N2" s="210"/>
      <c r="X2" s="212"/>
      <c r="Z2" s="213"/>
      <c r="AA2" s="210"/>
      <c r="AK2" s="212"/>
      <c r="AM2" s="213"/>
      <c r="AN2" s="210"/>
      <c r="AX2" s="212"/>
      <c r="AZ2" s="213"/>
      <c r="BA2" s="210"/>
      <c r="BK2" s="212"/>
      <c r="BM2" s="213"/>
      <c r="BN2" s="210"/>
      <c r="BX2" s="212"/>
      <c r="BZ2" s="213"/>
      <c r="CA2" s="210"/>
      <c r="CK2" s="212"/>
      <c r="CM2" s="213"/>
      <c r="CN2" s="210"/>
      <c r="CX2" s="212"/>
      <c r="CZ2" s="213"/>
      <c r="DA2" s="210"/>
      <c r="DK2" s="212"/>
      <c r="DM2" s="213"/>
      <c r="DN2" s="210"/>
      <c r="DX2" s="212"/>
      <c r="DZ2" s="213"/>
      <c r="EA2" s="210"/>
      <c r="EK2" s="212"/>
      <c r="EM2" s="213"/>
      <c r="EN2" s="210"/>
      <c r="EX2" s="212"/>
      <c r="EZ2" s="213"/>
      <c r="FA2" s="210"/>
      <c r="FK2" s="212"/>
      <c r="FM2" s="213"/>
      <c r="FN2" s="210"/>
      <c r="FX2" s="212"/>
      <c r="FZ2" s="213"/>
      <c r="GA2" s="210"/>
      <c r="GK2" s="212"/>
      <c r="GM2" s="213"/>
      <c r="GN2" s="210"/>
      <c r="GX2" s="212"/>
      <c r="GZ2" s="213"/>
      <c r="HA2" s="210"/>
      <c r="HK2" s="212"/>
      <c r="HM2" s="213"/>
      <c r="HN2" s="210"/>
      <c r="HX2" s="212"/>
      <c r="HZ2" s="213"/>
      <c r="IA2" s="210"/>
      <c r="IK2" s="212"/>
      <c r="IM2" s="213"/>
      <c r="IN2" s="210"/>
      <c r="IX2" s="212"/>
      <c r="IZ2" s="213"/>
      <c r="JA2" s="210"/>
      <c r="JK2" s="212"/>
      <c r="JM2" s="213"/>
      <c r="JN2" s="210"/>
      <c r="JX2" s="212"/>
      <c r="JZ2" s="213"/>
      <c r="KA2" s="210"/>
      <c r="KK2" s="212"/>
      <c r="KM2" s="213"/>
      <c r="KN2" s="210"/>
      <c r="KX2" s="212"/>
      <c r="KZ2" s="213"/>
      <c r="LA2" s="210"/>
      <c r="LK2" s="212"/>
      <c r="LM2" s="213"/>
      <c r="LN2" s="210"/>
      <c r="LX2" s="212"/>
      <c r="LZ2" s="213"/>
      <c r="MA2" s="210"/>
      <c r="MK2" s="212"/>
      <c r="MM2" s="213"/>
      <c r="MN2" s="210"/>
      <c r="MX2" s="212"/>
      <c r="MZ2" s="213"/>
      <c r="NA2" s="210"/>
      <c r="NK2" s="212"/>
      <c r="NM2" s="213"/>
      <c r="NN2" s="210"/>
      <c r="NX2" s="212"/>
      <c r="NZ2" s="213"/>
      <c r="OA2" s="210"/>
      <c r="OK2" s="212"/>
      <c r="OM2" s="213"/>
      <c r="ON2" s="210"/>
      <c r="OX2" s="212"/>
      <c r="OZ2" s="213"/>
      <c r="PA2" s="210"/>
      <c r="PK2" s="212"/>
      <c r="PM2" s="213"/>
      <c r="PN2" s="210"/>
      <c r="PX2" s="212"/>
      <c r="PZ2" s="213"/>
      <c r="QA2" s="210"/>
      <c r="QK2" s="212"/>
      <c r="QM2" s="213"/>
      <c r="QN2" s="210"/>
      <c r="QX2" s="212"/>
      <c r="QZ2" s="213"/>
      <c r="RA2" s="210"/>
      <c r="RK2" s="212"/>
      <c r="RM2" s="213"/>
      <c r="RN2" s="210"/>
      <c r="RX2" s="212"/>
      <c r="RZ2" s="213"/>
      <c r="SA2" s="210"/>
      <c r="SK2" s="212"/>
      <c r="SM2" s="213"/>
      <c r="SN2" s="210"/>
      <c r="SX2" s="212"/>
      <c r="SZ2" s="213"/>
      <c r="TA2" s="210"/>
      <c r="TK2" s="212"/>
      <c r="TM2" s="213"/>
      <c r="TN2" s="210"/>
      <c r="TX2" s="212"/>
      <c r="TZ2" s="213"/>
      <c r="UA2" s="210"/>
      <c r="UK2" s="212"/>
      <c r="UM2" s="213"/>
      <c r="UN2" s="210"/>
      <c r="UX2" s="212"/>
      <c r="UZ2" s="213"/>
      <c r="VA2" s="210"/>
      <c r="VK2" s="212"/>
      <c r="VM2" s="213"/>
      <c r="VN2" s="210"/>
      <c r="VX2" s="212"/>
      <c r="VZ2" s="213"/>
      <c r="WA2" s="210"/>
      <c r="WK2" s="212"/>
      <c r="WM2" s="213"/>
      <c r="WN2" s="210"/>
      <c r="WX2" s="212"/>
      <c r="WZ2" s="213"/>
      <c r="XA2" s="210"/>
      <c r="XK2" s="212"/>
      <c r="XM2" s="213"/>
      <c r="XN2" s="210"/>
      <c r="XX2" s="212"/>
      <c r="XZ2" s="213"/>
      <c r="YA2" s="210"/>
      <c r="YK2" s="212"/>
      <c r="YM2" s="213"/>
      <c r="YN2" s="210"/>
      <c r="YX2" s="212"/>
      <c r="YZ2" s="213"/>
      <c r="ZA2" s="210"/>
      <c r="ZK2" s="212"/>
      <c r="ZM2" s="213"/>
      <c r="ZN2" s="210"/>
      <c r="ZX2" s="212"/>
      <c r="ZZ2" s="213"/>
      <c r="AAA2" s="210"/>
      <c r="AAK2" s="212"/>
      <c r="AAM2" s="213"/>
      <c r="AAN2" s="210"/>
      <c r="AAX2" s="212"/>
      <c r="AAZ2" s="213"/>
      <c r="ABA2" s="210"/>
      <c r="ABK2" s="212"/>
      <c r="ABM2" s="213"/>
      <c r="ABN2" s="210"/>
      <c r="ABX2" s="212"/>
      <c r="ABZ2" s="213"/>
      <c r="ACA2" s="210"/>
      <c r="ACK2" s="212"/>
      <c r="ACM2" s="213"/>
      <c r="ACN2" s="210"/>
      <c r="ACX2" s="212"/>
      <c r="ACZ2" s="213"/>
      <c r="ADA2" s="210"/>
      <c r="ADK2" s="212"/>
      <c r="ADM2" s="213"/>
      <c r="ADN2" s="210"/>
      <c r="ADX2" s="212"/>
      <c r="ADZ2" s="213"/>
      <c r="AEA2" s="210"/>
      <c r="AEK2" s="212"/>
      <c r="AEM2" s="213"/>
      <c r="AEN2" s="210"/>
      <c r="AEX2" s="212"/>
      <c r="AEZ2" s="213"/>
      <c r="AFA2" s="210"/>
      <c r="AFK2" s="212"/>
      <c r="AFM2" s="213"/>
      <c r="AFN2" s="210"/>
      <c r="AFX2" s="212"/>
      <c r="AFZ2" s="213"/>
      <c r="AGA2" s="210"/>
      <c r="AGK2" s="212"/>
      <c r="AGM2" s="213"/>
      <c r="AGN2" s="210"/>
      <c r="AGX2" s="212"/>
      <c r="AGZ2" s="213"/>
      <c r="AHA2" s="210"/>
      <c r="AHK2" s="212"/>
      <c r="AHM2" s="213"/>
      <c r="AHN2" s="210"/>
      <c r="AHX2" s="212"/>
      <c r="AHZ2" s="213"/>
      <c r="AIA2" s="210"/>
      <c r="AIK2" s="212"/>
      <c r="AIM2" s="213"/>
      <c r="AIN2" s="210"/>
      <c r="AIX2" s="212"/>
      <c r="AIZ2" s="213"/>
      <c r="AJA2" s="210"/>
      <c r="AJK2" s="212"/>
      <c r="AJM2" s="213"/>
      <c r="AJN2" s="210"/>
      <c r="AJX2" s="212"/>
      <c r="AJZ2" s="213"/>
      <c r="AKA2" s="210"/>
      <c r="AKK2" s="212"/>
      <c r="AKM2" s="213"/>
      <c r="AKN2" s="210"/>
      <c r="AKX2" s="212"/>
      <c r="AKZ2" s="213"/>
      <c r="ALA2" s="210"/>
      <c r="ALK2" s="212"/>
      <c r="ALM2" s="213"/>
      <c r="ALN2" s="210"/>
      <c r="ALX2" s="212"/>
      <c r="ALZ2" s="213"/>
      <c r="AMA2" s="210"/>
      <c r="AMK2" s="212"/>
      <c r="AMM2" s="213"/>
      <c r="AMN2" s="210"/>
      <c r="AMX2" s="212"/>
      <c r="AMZ2" s="213"/>
      <c r="ANA2" s="210"/>
      <c r="ANK2" s="212"/>
      <c r="ANM2" s="213"/>
      <c r="ANN2" s="210"/>
      <c r="ANX2" s="212"/>
      <c r="ANZ2" s="213"/>
      <c r="AOA2" s="210"/>
      <c r="AOK2" s="212"/>
      <c r="AOM2" s="213"/>
      <c r="AON2" s="210"/>
      <c r="AOX2" s="212"/>
      <c r="AOZ2" s="213"/>
      <c r="APA2" s="210"/>
      <c r="APK2" s="212"/>
      <c r="APM2" s="213"/>
      <c r="APN2" s="210"/>
      <c r="APX2" s="212"/>
      <c r="APZ2" s="213"/>
      <c r="AQA2" s="210"/>
      <c r="AQK2" s="212"/>
      <c r="AQM2" s="213"/>
      <c r="AQN2" s="210"/>
      <c r="AQX2" s="212"/>
      <c r="AQZ2" s="213"/>
      <c r="ARA2" s="210"/>
      <c r="ARK2" s="212"/>
      <c r="ARM2" s="213"/>
      <c r="ARN2" s="210"/>
      <c r="ARX2" s="212"/>
      <c r="ARZ2" s="213"/>
      <c r="ASA2" s="210"/>
      <c r="ASK2" s="212"/>
      <c r="ASM2" s="213"/>
      <c r="ASN2" s="210"/>
      <c r="ASX2" s="212"/>
      <c r="ASZ2" s="213"/>
      <c r="ATA2" s="210"/>
      <c r="ATK2" s="212"/>
      <c r="ATM2" s="213"/>
      <c r="ATN2" s="210"/>
      <c r="ATX2" s="212"/>
      <c r="ATZ2" s="213"/>
      <c r="AUA2" s="210"/>
      <c r="AUK2" s="212"/>
      <c r="AUM2" s="213"/>
      <c r="AUN2" s="210"/>
      <c r="AUX2" s="212"/>
      <c r="AUZ2" s="213"/>
      <c r="AVA2" s="210"/>
      <c r="AVK2" s="212"/>
      <c r="AVM2" s="213"/>
      <c r="AVN2" s="210"/>
      <c r="AVX2" s="212"/>
      <c r="AVZ2" s="213"/>
      <c r="AWA2" s="210"/>
      <c r="AWK2" s="212"/>
      <c r="AWM2" s="213"/>
      <c r="AWN2" s="210"/>
      <c r="AWX2" s="212"/>
      <c r="AWZ2" s="213"/>
      <c r="AXA2" s="210"/>
      <c r="AXK2" s="212"/>
      <c r="AXM2" s="213"/>
      <c r="AXN2" s="210"/>
      <c r="AXX2" s="212"/>
      <c r="AXZ2" s="213"/>
      <c r="AYA2" s="210"/>
      <c r="AYK2" s="212"/>
      <c r="AYM2" s="213"/>
      <c r="AYN2" s="210"/>
      <c r="AYX2" s="212"/>
      <c r="AYZ2" s="213"/>
      <c r="AZA2" s="210"/>
      <c r="AZK2" s="212"/>
      <c r="AZM2" s="213"/>
      <c r="AZN2" s="210"/>
      <c r="AZX2" s="212"/>
      <c r="AZZ2" s="213"/>
      <c r="BAA2" s="210"/>
      <c r="BAK2" s="212"/>
      <c r="BAM2" s="213"/>
      <c r="BAN2" s="210"/>
      <c r="BAX2" s="212"/>
      <c r="BAZ2" s="213"/>
      <c r="BBA2" s="210"/>
      <c r="BBK2" s="212"/>
      <c r="BBM2" s="213"/>
      <c r="BBN2" s="210"/>
      <c r="BBX2" s="212"/>
      <c r="BBZ2" s="213"/>
      <c r="BCA2" s="210"/>
      <c r="BCK2" s="212"/>
      <c r="BCM2" s="213"/>
      <c r="BCN2" s="210"/>
      <c r="BCX2" s="212"/>
      <c r="BCZ2" s="213"/>
      <c r="BDA2" s="210"/>
      <c r="BDK2" s="212"/>
      <c r="BDM2" s="213"/>
      <c r="BDN2" s="210"/>
      <c r="BDX2" s="212"/>
      <c r="BDZ2" s="213"/>
      <c r="BEA2" s="210"/>
      <c r="BEK2" s="212"/>
      <c r="BEM2" s="213"/>
      <c r="BEN2" s="210"/>
      <c r="BEX2" s="212"/>
      <c r="BEZ2" s="213"/>
      <c r="BFA2" s="210"/>
      <c r="BFK2" s="212"/>
      <c r="BFM2" s="213"/>
      <c r="BFN2" s="210"/>
      <c r="BFX2" s="212"/>
      <c r="BFZ2" s="213"/>
      <c r="BGA2" s="210"/>
      <c r="BGK2" s="212"/>
      <c r="BGM2" s="213"/>
      <c r="BGN2" s="210"/>
      <c r="BGX2" s="212"/>
      <c r="BGZ2" s="213"/>
      <c r="BHA2" s="210"/>
      <c r="BHK2" s="212"/>
      <c r="BHM2" s="213"/>
      <c r="BHN2" s="210"/>
      <c r="BHX2" s="212"/>
      <c r="BHZ2" s="213"/>
      <c r="BIA2" s="210"/>
      <c r="BIK2" s="212"/>
      <c r="BIM2" s="213"/>
      <c r="BIN2" s="210"/>
      <c r="BIX2" s="212"/>
      <c r="BIZ2" s="213"/>
      <c r="BJA2" s="210"/>
      <c r="BJK2" s="212"/>
      <c r="BJM2" s="213"/>
      <c r="BJN2" s="210"/>
      <c r="BJX2" s="212"/>
      <c r="BJZ2" s="213"/>
      <c r="BKA2" s="210"/>
      <c r="BKK2" s="212"/>
      <c r="BKM2" s="213"/>
      <c r="BKN2" s="210"/>
      <c r="BKX2" s="212"/>
      <c r="BKZ2" s="213"/>
      <c r="BLA2" s="210"/>
      <c r="BLK2" s="212"/>
      <c r="BLM2" s="213"/>
      <c r="BLN2" s="210"/>
      <c r="BLX2" s="212"/>
      <c r="BLZ2" s="213"/>
      <c r="BMA2" s="210"/>
      <c r="BMK2" s="212"/>
      <c r="BMM2" s="213"/>
      <c r="BMN2" s="210"/>
      <c r="BMX2" s="212"/>
      <c r="BMZ2" s="213"/>
      <c r="BNA2" s="210"/>
      <c r="BNK2" s="212"/>
      <c r="BNM2" s="213"/>
      <c r="BNN2" s="210"/>
      <c r="BNX2" s="212"/>
      <c r="BNZ2" s="213"/>
      <c r="BOA2" s="210"/>
      <c r="BOK2" s="212"/>
      <c r="BOM2" s="213"/>
      <c r="BON2" s="210"/>
      <c r="BOX2" s="212"/>
      <c r="BOZ2" s="213"/>
      <c r="BPA2" s="210"/>
      <c r="BPK2" s="212"/>
      <c r="BPM2" s="213"/>
      <c r="BPN2" s="210"/>
      <c r="BPX2" s="212"/>
      <c r="BPZ2" s="213"/>
      <c r="BQA2" s="210"/>
      <c r="BQK2" s="212"/>
      <c r="BQM2" s="213"/>
      <c r="BQN2" s="210"/>
      <c r="BQX2" s="212"/>
      <c r="BQZ2" s="213"/>
      <c r="BRA2" s="210"/>
      <c r="BRK2" s="212"/>
      <c r="BRM2" s="213"/>
      <c r="BRN2" s="210"/>
      <c r="BRX2" s="212"/>
      <c r="BRZ2" s="213"/>
      <c r="BSA2" s="210"/>
      <c r="BSK2" s="212"/>
      <c r="BSM2" s="213"/>
      <c r="BSN2" s="210"/>
      <c r="BSX2" s="212"/>
      <c r="BSZ2" s="213"/>
      <c r="BTA2" s="210"/>
      <c r="BTK2" s="212"/>
      <c r="BTM2" s="213"/>
      <c r="BTN2" s="210"/>
      <c r="BTX2" s="212"/>
      <c r="BTZ2" s="213"/>
      <c r="BUA2" s="210"/>
      <c r="BUK2" s="212"/>
      <c r="BUM2" s="213"/>
      <c r="BUN2" s="210"/>
      <c r="BUX2" s="212"/>
      <c r="BUZ2" s="213"/>
      <c r="BVA2" s="210"/>
      <c r="BVK2" s="212"/>
      <c r="BVM2" s="213"/>
      <c r="BVN2" s="210"/>
      <c r="BVX2" s="212"/>
      <c r="BVZ2" s="213"/>
      <c r="BWA2" s="210"/>
      <c r="BWK2" s="212"/>
      <c r="BWM2" s="213"/>
      <c r="BWN2" s="210"/>
      <c r="BWX2" s="212"/>
      <c r="BWZ2" s="213"/>
      <c r="BXA2" s="210"/>
      <c r="BXK2" s="212"/>
      <c r="BXM2" s="213"/>
      <c r="BXN2" s="210"/>
      <c r="BXX2" s="212"/>
      <c r="BXZ2" s="213"/>
      <c r="BYA2" s="210"/>
      <c r="BYK2" s="212"/>
      <c r="BYM2" s="213"/>
      <c r="BYN2" s="210"/>
      <c r="BYX2" s="212"/>
      <c r="BYZ2" s="213"/>
      <c r="BZA2" s="210"/>
      <c r="BZK2" s="212"/>
      <c r="BZM2" s="213"/>
      <c r="BZN2" s="210"/>
      <c r="BZX2" s="212"/>
      <c r="BZZ2" s="213"/>
      <c r="CAA2" s="210"/>
      <c r="CAK2" s="212"/>
      <c r="CAM2" s="213"/>
      <c r="CAN2" s="210"/>
      <c r="CAX2" s="212"/>
      <c r="CAZ2" s="213"/>
      <c r="CBA2" s="210"/>
      <c r="CBK2" s="212"/>
      <c r="CBM2" s="213"/>
      <c r="CBN2" s="210"/>
      <c r="CBX2" s="212"/>
      <c r="CBZ2" s="213"/>
      <c r="CCA2" s="210"/>
      <c r="CCK2" s="212"/>
      <c r="CCM2" s="213"/>
      <c r="CCN2" s="210"/>
      <c r="CCX2" s="212"/>
      <c r="CCZ2" s="213"/>
      <c r="CDA2" s="210"/>
      <c r="CDK2" s="212"/>
      <c r="CDM2" s="213"/>
      <c r="CDN2" s="210"/>
      <c r="CDX2" s="212"/>
      <c r="CDZ2" s="213"/>
      <c r="CEA2" s="210"/>
      <c r="CEK2" s="212"/>
      <c r="CEM2" s="213"/>
      <c r="CEN2" s="210"/>
      <c r="CEX2" s="212"/>
      <c r="CEZ2" s="213"/>
      <c r="CFA2" s="210"/>
      <c r="CFK2" s="212"/>
      <c r="CFM2" s="213"/>
      <c r="CFN2" s="210"/>
      <c r="CFX2" s="212"/>
      <c r="CFZ2" s="213"/>
      <c r="CGA2" s="210"/>
      <c r="CGK2" s="212"/>
      <c r="CGM2" s="213"/>
      <c r="CGN2" s="210"/>
      <c r="CGX2" s="212"/>
      <c r="CGZ2" s="213"/>
      <c r="CHA2" s="210"/>
      <c r="CHK2" s="212"/>
      <c r="CHM2" s="213"/>
      <c r="CHN2" s="210"/>
      <c r="CHX2" s="212"/>
      <c r="CHZ2" s="213"/>
      <c r="CIA2" s="210"/>
      <c r="CIK2" s="212"/>
      <c r="CIM2" s="213"/>
      <c r="CIN2" s="210"/>
      <c r="CIX2" s="212"/>
      <c r="CIZ2" s="213"/>
      <c r="CJA2" s="210"/>
      <c r="CJK2" s="212"/>
      <c r="CJM2" s="213"/>
      <c r="CJN2" s="210"/>
      <c r="CJX2" s="212"/>
      <c r="CJZ2" s="213"/>
      <c r="CKA2" s="210"/>
      <c r="CKK2" s="212"/>
      <c r="CKM2" s="213"/>
      <c r="CKN2" s="210"/>
      <c r="CKX2" s="212"/>
      <c r="CKZ2" s="213"/>
      <c r="CLA2" s="210"/>
      <c r="CLK2" s="212"/>
      <c r="CLM2" s="213"/>
      <c r="CLN2" s="210"/>
      <c r="CLX2" s="212"/>
      <c r="CLZ2" s="213"/>
      <c r="CMA2" s="210"/>
      <c r="CMK2" s="212"/>
      <c r="CMM2" s="213"/>
      <c r="CMN2" s="210"/>
      <c r="CMX2" s="212"/>
      <c r="CMZ2" s="213"/>
      <c r="CNA2" s="210"/>
      <c r="CNK2" s="212"/>
      <c r="CNM2" s="213"/>
      <c r="CNN2" s="210"/>
      <c r="CNX2" s="212"/>
      <c r="CNZ2" s="213"/>
      <c r="COA2" s="210"/>
      <c r="COK2" s="212"/>
      <c r="COM2" s="213"/>
      <c r="CON2" s="210"/>
      <c r="COX2" s="212"/>
      <c r="COZ2" s="213"/>
      <c r="CPA2" s="210"/>
      <c r="CPK2" s="212"/>
      <c r="CPM2" s="213"/>
      <c r="CPN2" s="210"/>
      <c r="CPX2" s="212"/>
      <c r="CPZ2" s="213"/>
      <c r="CQA2" s="210"/>
      <c r="CQK2" s="212"/>
      <c r="CQM2" s="213"/>
      <c r="CQN2" s="210"/>
      <c r="CQX2" s="212"/>
      <c r="CQZ2" s="213"/>
      <c r="CRA2" s="210"/>
      <c r="CRK2" s="212"/>
      <c r="CRM2" s="213"/>
      <c r="CRN2" s="210"/>
      <c r="CRX2" s="212"/>
      <c r="CRZ2" s="213"/>
      <c r="CSA2" s="210"/>
      <c r="CSK2" s="212"/>
      <c r="CSM2" s="213"/>
      <c r="CSN2" s="210"/>
      <c r="CSX2" s="212"/>
      <c r="CSZ2" s="213"/>
      <c r="CTA2" s="210"/>
      <c r="CTK2" s="212"/>
      <c r="CTM2" s="213"/>
      <c r="CTN2" s="210"/>
      <c r="CTX2" s="212"/>
      <c r="CTZ2" s="213"/>
      <c r="CUA2" s="210"/>
      <c r="CUK2" s="212"/>
      <c r="CUM2" s="213"/>
      <c r="CUN2" s="210"/>
      <c r="CUX2" s="212"/>
      <c r="CUZ2" s="213"/>
      <c r="CVA2" s="210"/>
      <c r="CVK2" s="212"/>
      <c r="CVM2" s="213"/>
      <c r="CVN2" s="210"/>
      <c r="CVX2" s="212"/>
      <c r="CVZ2" s="213"/>
      <c r="CWA2" s="210"/>
      <c r="CWK2" s="212"/>
      <c r="CWM2" s="213"/>
      <c r="CWN2" s="210"/>
      <c r="CWX2" s="212"/>
      <c r="CWZ2" s="213"/>
      <c r="CXA2" s="210"/>
      <c r="CXK2" s="212"/>
      <c r="CXM2" s="213"/>
      <c r="CXN2" s="210"/>
      <c r="CXX2" s="212"/>
      <c r="CXZ2" s="213"/>
      <c r="CYA2" s="210"/>
      <c r="CYK2" s="212"/>
      <c r="CYM2" s="213"/>
      <c r="CYN2" s="210"/>
      <c r="CYX2" s="212"/>
      <c r="CYZ2" s="213"/>
      <c r="CZA2" s="210"/>
      <c r="CZK2" s="212"/>
      <c r="CZM2" s="213"/>
      <c r="CZN2" s="210"/>
      <c r="CZX2" s="212"/>
      <c r="CZZ2" s="213"/>
      <c r="DAA2" s="210"/>
      <c r="DAK2" s="212"/>
      <c r="DAM2" s="213"/>
      <c r="DAN2" s="210"/>
      <c r="DAX2" s="212"/>
      <c r="DAZ2" s="213"/>
      <c r="DBA2" s="210"/>
      <c r="DBK2" s="212"/>
      <c r="DBM2" s="213"/>
      <c r="DBN2" s="210"/>
      <c r="DBX2" s="212"/>
      <c r="DBZ2" s="213"/>
      <c r="DCA2" s="210"/>
      <c r="DCK2" s="212"/>
      <c r="DCM2" s="213"/>
      <c r="DCN2" s="210"/>
      <c r="DCX2" s="212"/>
      <c r="DCZ2" s="213"/>
      <c r="DDA2" s="210"/>
      <c r="DDK2" s="212"/>
      <c r="DDM2" s="213"/>
      <c r="DDN2" s="210"/>
      <c r="DDX2" s="212"/>
      <c r="DDZ2" s="213"/>
      <c r="DEA2" s="210"/>
      <c r="DEK2" s="212"/>
      <c r="DEM2" s="213"/>
      <c r="DEN2" s="210"/>
      <c r="DEX2" s="212"/>
      <c r="DEZ2" s="213"/>
      <c r="DFA2" s="210"/>
      <c r="DFK2" s="212"/>
      <c r="DFM2" s="213"/>
      <c r="DFN2" s="210"/>
      <c r="DFX2" s="212"/>
      <c r="DFZ2" s="213"/>
      <c r="DGA2" s="210"/>
      <c r="DGK2" s="212"/>
      <c r="DGM2" s="213"/>
      <c r="DGN2" s="210"/>
      <c r="DGX2" s="212"/>
      <c r="DGZ2" s="213"/>
      <c r="DHA2" s="210"/>
      <c r="DHK2" s="212"/>
      <c r="DHM2" s="213"/>
      <c r="DHN2" s="210"/>
      <c r="DHX2" s="212"/>
      <c r="DHZ2" s="213"/>
      <c r="DIA2" s="210"/>
      <c r="DIK2" s="212"/>
      <c r="DIM2" s="213"/>
      <c r="DIN2" s="210"/>
      <c r="DIX2" s="212"/>
      <c r="DIZ2" s="213"/>
      <c r="DJA2" s="210"/>
      <c r="DJK2" s="212"/>
      <c r="DJM2" s="213"/>
      <c r="DJN2" s="210"/>
      <c r="DJX2" s="212"/>
      <c r="DJZ2" s="213"/>
      <c r="DKA2" s="210"/>
      <c r="DKK2" s="212"/>
      <c r="DKM2" s="213"/>
      <c r="DKN2" s="210"/>
      <c r="DKX2" s="212"/>
      <c r="DKZ2" s="213"/>
      <c r="DLA2" s="210"/>
      <c r="DLK2" s="212"/>
      <c r="DLM2" s="213"/>
      <c r="DLN2" s="210"/>
      <c r="DLX2" s="212"/>
      <c r="DLZ2" s="213"/>
      <c r="DMA2" s="210"/>
      <c r="DMK2" s="212"/>
      <c r="DMM2" s="213"/>
      <c r="DMN2" s="210"/>
      <c r="DMX2" s="212"/>
      <c r="DMZ2" s="213"/>
      <c r="DNA2" s="210"/>
      <c r="DNK2" s="212"/>
      <c r="DNM2" s="213"/>
      <c r="DNN2" s="210"/>
      <c r="DNX2" s="212"/>
      <c r="DNZ2" s="213"/>
      <c r="DOA2" s="210"/>
      <c r="DOK2" s="212"/>
      <c r="DOM2" s="213"/>
      <c r="DON2" s="210"/>
      <c r="DOX2" s="212"/>
      <c r="DOZ2" s="213"/>
      <c r="DPA2" s="210"/>
      <c r="DPK2" s="212"/>
      <c r="DPM2" s="213"/>
      <c r="DPN2" s="210"/>
      <c r="DPX2" s="212"/>
      <c r="DPZ2" s="213"/>
      <c r="DQA2" s="210"/>
      <c r="DQK2" s="212"/>
      <c r="DQM2" s="213"/>
      <c r="DQN2" s="210"/>
      <c r="DQX2" s="212"/>
      <c r="DQZ2" s="213"/>
      <c r="DRA2" s="210"/>
      <c r="DRK2" s="212"/>
      <c r="DRM2" s="213"/>
      <c r="DRN2" s="210"/>
      <c r="DRX2" s="212"/>
      <c r="DRZ2" s="213"/>
      <c r="DSA2" s="210"/>
      <c r="DSK2" s="212"/>
      <c r="DSM2" s="213"/>
      <c r="DSN2" s="210"/>
      <c r="DSX2" s="212"/>
      <c r="DSZ2" s="213"/>
      <c r="DTA2" s="210"/>
      <c r="DTK2" s="212"/>
      <c r="DTM2" s="213"/>
      <c r="DTN2" s="210"/>
      <c r="DTX2" s="212"/>
      <c r="DTZ2" s="213"/>
      <c r="DUA2" s="210"/>
      <c r="DUK2" s="212"/>
      <c r="DUM2" s="213"/>
      <c r="DUN2" s="210"/>
      <c r="DUX2" s="212"/>
      <c r="DUZ2" s="213"/>
      <c r="DVA2" s="210"/>
      <c r="DVK2" s="212"/>
      <c r="DVM2" s="213"/>
      <c r="DVN2" s="210"/>
      <c r="DVX2" s="212"/>
      <c r="DVZ2" s="213"/>
      <c r="DWA2" s="210"/>
      <c r="DWK2" s="212"/>
      <c r="DWM2" s="213"/>
      <c r="DWN2" s="210"/>
      <c r="DWX2" s="212"/>
      <c r="DWZ2" s="213"/>
      <c r="DXA2" s="210"/>
      <c r="DXK2" s="212"/>
      <c r="DXM2" s="213"/>
      <c r="DXN2" s="210"/>
      <c r="DXX2" s="212"/>
      <c r="DXZ2" s="213"/>
      <c r="DYA2" s="210"/>
      <c r="DYK2" s="212"/>
      <c r="DYM2" s="213"/>
      <c r="DYN2" s="210"/>
      <c r="DYX2" s="212"/>
      <c r="DYZ2" s="213"/>
      <c r="DZA2" s="210"/>
      <c r="DZK2" s="212"/>
      <c r="DZM2" s="213"/>
      <c r="DZN2" s="210"/>
      <c r="DZX2" s="212"/>
      <c r="DZZ2" s="213"/>
      <c r="EAA2" s="210"/>
      <c r="EAK2" s="212"/>
      <c r="EAM2" s="213"/>
      <c r="EAN2" s="210"/>
      <c r="EAX2" s="212"/>
      <c r="EAZ2" s="213"/>
      <c r="EBA2" s="210"/>
      <c r="EBK2" s="212"/>
      <c r="EBM2" s="213"/>
      <c r="EBN2" s="210"/>
      <c r="EBX2" s="212"/>
      <c r="EBZ2" s="213"/>
      <c r="ECA2" s="210"/>
      <c r="ECK2" s="212"/>
      <c r="ECM2" s="213"/>
      <c r="ECN2" s="210"/>
      <c r="ECX2" s="212"/>
      <c r="ECZ2" s="213"/>
      <c r="EDA2" s="210"/>
      <c r="EDK2" s="212"/>
      <c r="EDM2" s="213"/>
      <c r="EDN2" s="210"/>
      <c r="EDX2" s="212"/>
      <c r="EDZ2" s="213"/>
      <c r="EEA2" s="210"/>
      <c r="EEK2" s="212"/>
      <c r="EEM2" s="213"/>
      <c r="EEN2" s="210"/>
      <c r="EEX2" s="212"/>
      <c r="EEZ2" s="213"/>
      <c r="EFA2" s="210"/>
      <c r="EFK2" s="212"/>
      <c r="EFM2" s="213"/>
      <c r="EFN2" s="210"/>
      <c r="EFX2" s="212"/>
      <c r="EFZ2" s="213"/>
      <c r="EGA2" s="210"/>
      <c r="EGK2" s="212"/>
      <c r="EGM2" s="213"/>
      <c r="EGN2" s="210"/>
      <c r="EGX2" s="212"/>
      <c r="EGZ2" s="213"/>
      <c r="EHA2" s="210"/>
      <c r="EHK2" s="212"/>
      <c r="EHM2" s="213"/>
      <c r="EHN2" s="210"/>
      <c r="EHX2" s="212"/>
      <c r="EHZ2" s="213"/>
      <c r="EIA2" s="210"/>
      <c r="EIK2" s="212"/>
      <c r="EIM2" s="213"/>
      <c r="EIN2" s="210"/>
      <c r="EIX2" s="212"/>
      <c r="EIZ2" s="213"/>
      <c r="EJA2" s="210"/>
      <c r="EJK2" s="212"/>
      <c r="EJM2" s="213"/>
      <c r="EJN2" s="210"/>
      <c r="EJX2" s="212"/>
      <c r="EJZ2" s="213"/>
      <c r="EKA2" s="210"/>
      <c r="EKK2" s="212"/>
      <c r="EKM2" s="213"/>
      <c r="EKN2" s="210"/>
      <c r="EKX2" s="212"/>
      <c r="EKZ2" s="213"/>
      <c r="ELA2" s="210"/>
      <c r="ELK2" s="212"/>
      <c r="ELM2" s="213"/>
      <c r="ELN2" s="210"/>
      <c r="ELX2" s="212"/>
      <c r="ELZ2" s="213"/>
      <c r="EMA2" s="210"/>
      <c r="EMK2" s="212"/>
      <c r="EMM2" s="213"/>
      <c r="EMN2" s="210"/>
      <c r="EMX2" s="212"/>
      <c r="EMZ2" s="213"/>
      <c r="ENA2" s="210"/>
      <c r="ENK2" s="212"/>
      <c r="ENM2" s="213"/>
      <c r="ENN2" s="210"/>
      <c r="ENX2" s="212"/>
      <c r="ENZ2" s="213"/>
      <c r="EOA2" s="210"/>
      <c r="EOK2" s="212"/>
      <c r="EOM2" s="213"/>
      <c r="EON2" s="210"/>
      <c r="EOX2" s="212"/>
      <c r="EOZ2" s="213"/>
      <c r="EPA2" s="210"/>
      <c r="EPK2" s="212"/>
      <c r="EPM2" s="213"/>
      <c r="EPN2" s="210"/>
      <c r="EPX2" s="212"/>
      <c r="EPZ2" s="213"/>
      <c r="EQA2" s="210"/>
      <c r="EQK2" s="212"/>
      <c r="EQM2" s="213"/>
      <c r="EQN2" s="210"/>
      <c r="EQX2" s="212"/>
      <c r="EQZ2" s="213"/>
      <c r="ERA2" s="210"/>
      <c r="ERK2" s="212"/>
      <c r="ERM2" s="213"/>
      <c r="ERN2" s="210"/>
      <c r="ERX2" s="212"/>
      <c r="ERZ2" s="213"/>
      <c r="ESA2" s="210"/>
      <c r="ESK2" s="212"/>
      <c r="ESM2" s="213"/>
      <c r="ESN2" s="210"/>
      <c r="ESX2" s="212"/>
      <c r="ESZ2" s="213"/>
      <c r="ETA2" s="210"/>
      <c r="ETK2" s="212"/>
      <c r="ETM2" s="213"/>
      <c r="ETN2" s="210"/>
      <c r="ETX2" s="212"/>
      <c r="ETZ2" s="213"/>
      <c r="EUA2" s="210"/>
      <c r="EUK2" s="212"/>
      <c r="EUM2" s="213"/>
      <c r="EUN2" s="210"/>
      <c r="EUX2" s="212"/>
      <c r="EUZ2" s="213"/>
      <c r="EVA2" s="210"/>
      <c r="EVK2" s="212"/>
      <c r="EVM2" s="213"/>
      <c r="EVN2" s="210"/>
      <c r="EVX2" s="212"/>
      <c r="EVZ2" s="213"/>
      <c r="EWA2" s="210"/>
      <c r="EWK2" s="212"/>
      <c r="EWM2" s="213"/>
      <c r="EWN2" s="210"/>
      <c r="EWX2" s="212"/>
      <c r="EWZ2" s="213"/>
      <c r="EXA2" s="210"/>
      <c r="EXK2" s="212"/>
      <c r="EXM2" s="213"/>
      <c r="EXN2" s="210"/>
      <c r="EXX2" s="212"/>
      <c r="EXZ2" s="213"/>
      <c r="EYA2" s="210"/>
      <c r="EYK2" s="212"/>
      <c r="EYM2" s="213"/>
      <c r="EYN2" s="210"/>
      <c r="EYX2" s="212"/>
      <c r="EYZ2" s="213"/>
      <c r="EZA2" s="210"/>
      <c r="EZK2" s="212"/>
      <c r="EZM2" s="213"/>
      <c r="EZN2" s="210"/>
      <c r="EZX2" s="212"/>
      <c r="EZZ2" s="213"/>
      <c r="FAA2" s="210"/>
      <c r="FAK2" s="212"/>
      <c r="FAM2" s="213"/>
      <c r="FAN2" s="210"/>
      <c r="FAX2" s="212"/>
      <c r="FAZ2" s="213"/>
      <c r="FBA2" s="210"/>
      <c r="FBK2" s="212"/>
      <c r="FBM2" s="213"/>
      <c r="FBN2" s="210"/>
      <c r="FBX2" s="212"/>
      <c r="FBZ2" s="213"/>
      <c r="FCA2" s="210"/>
      <c r="FCK2" s="212"/>
      <c r="FCM2" s="213"/>
      <c r="FCN2" s="210"/>
      <c r="FCX2" s="212"/>
      <c r="FCZ2" s="213"/>
      <c r="FDA2" s="210"/>
      <c r="FDK2" s="212"/>
      <c r="FDM2" s="213"/>
      <c r="FDN2" s="210"/>
      <c r="FDX2" s="212"/>
      <c r="FDZ2" s="213"/>
      <c r="FEA2" s="210"/>
      <c r="FEK2" s="212"/>
      <c r="FEM2" s="213"/>
      <c r="FEN2" s="210"/>
      <c r="FEX2" s="212"/>
      <c r="FEZ2" s="213"/>
      <c r="FFA2" s="210"/>
      <c r="FFK2" s="212"/>
      <c r="FFM2" s="213"/>
      <c r="FFN2" s="210"/>
      <c r="FFX2" s="212"/>
      <c r="FFZ2" s="213"/>
      <c r="FGA2" s="210"/>
      <c r="FGK2" s="212"/>
      <c r="FGM2" s="213"/>
      <c r="FGN2" s="210"/>
      <c r="FGX2" s="212"/>
      <c r="FGZ2" s="213"/>
      <c r="FHA2" s="210"/>
      <c r="FHK2" s="212"/>
      <c r="FHM2" s="213"/>
      <c r="FHN2" s="210"/>
      <c r="FHX2" s="212"/>
      <c r="FHZ2" s="213"/>
      <c r="FIA2" s="210"/>
      <c r="FIK2" s="212"/>
      <c r="FIM2" s="213"/>
      <c r="FIN2" s="210"/>
      <c r="FIX2" s="212"/>
      <c r="FIZ2" s="213"/>
      <c r="FJA2" s="210"/>
      <c r="FJK2" s="212"/>
      <c r="FJM2" s="213"/>
      <c r="FJN2" s="210"/>
      <c r="FJX2" s="212"/>
      <c r="FJZ2" s="213"/>
      <c r="FKA2" s="210"/>
      <c r="FKK2" s="212"/>
      <c r="FKM2" s="213"/>
      <c r="FKN2" s="210"/>
      <c r="FKX2" s="212"/>
      <c r="FKZ2" s="213"/>
      <c r="FLA2" s="210"/>
      <c r="FLK2" s="212"/>
      <c r="FLM2" s="213"/>
      <c r="FLN2" s="210"/>
      <c r="FLX2" s="212"/>
      <c r="FLZ2" s="213"/>
      <c r="FMA2" s="210"/>
      <c r="FMK2" s="212"/>
      <c r="FMM2" s="213"/>
      <c r="FMN2" s="210"/>
      <c r="FMX2" s="212"/>
      <c r="FMZ2" s="213"/>
      <c r="FNA2" s="210"/>
      <c r="FNK2" s="212"/>
      <c r="FNM2" s="213"/>
      <c r="FNN2" s="210"/>
      <c r="FNX2" s="212"/>
      <c r="FNZ2" s="213"/>
      <c r="FOA2" s="210"/>
      <c r="FOK2" s="212"/>
      <c r="FOM2" s="213"/>
      <c r="FON2" s="210"/>
      <c r="FOX2" s="212"/>
      <c r="FOZ2" s="213"/>
      <c r="FPA2" s="210"/>
      <c r="FPK2" s="212"/>
      <c r="FPM2" s="213"/>
      <c r="FPN2" s="210"/>
      <c r="FPX2" s="212"/>
      <c r="FPZ2" s="213"/>
      <c r="FQA2" s="210"/>
      <c r="FQK2" s="212"/>
      <c r="FQM2" s="213"/>
      <c r="FQN2" s="210"/>
      <c r="FQX2" s="212"/>
      <c r="FQZ2" s="213"/>
      <c r="FRA2" s="210"/>
      <c r="FRK2" s="212"/>
      <c r="FRM2" s="213"/>
      <c r="FRN2" s="210"/>
      <c r="FRX2" s="212"/>
      <c r="FRZ2" s="213"/>
      <c r="FSA2" s="210"/>
      <c r="FSK2" s="212"/>
      <c r="FSM2" s="213"/>
      <c r="FSN2" s="210"/>
      <c r="FSX2" s="212"/>
      <c r="FSZ2" s="213"/>
      <c r="FTA2" s="210"/>
      <c r="FTK2" s="212"/>
      <c r="FTM2" s="213"/>
      <c r="FTN2" s="210"/>
      <c r="FTX2" s="212"/>
      <c r="FTZ2" s="213"/>
      <c r="FUA2" s="210"/>
      <c r="FUK2" s="212"/>
      <c r="FUM2" s="213"/>
      <c r="FUN2" s="210"/>
      <c r="FUX2" s="212"/>
      <c r="FUZ2" s="213"/>
      <c r="FVA2" s="210"/>
      <c r="FVK2" s="212"/>
      <c r="FVM2" s="213"/>
      <c r="FVN2" s="210"/>
      <c r="FVX2" s="212"/>
      <c r="FVZ2" s="213"/>
      <c r="FWA2" s="210"/>
      <c r="FWK2" s="212"/>
      <c r="FWM2" s="213"/>
      <c r="FWN2" s="210"/>
      <c r="FWX2" s="212"/>
      <c r="FWZ2" s="213"/>
      <c r="FXA2" s="210"/>
      <c r="FXK2" s="212"/>
      <c r="FXM2" s="213"/>
      <c r="FXN2" s="210"/>
      <c r="FXX2" s="212"/>
      <c r="FXZ2" s="213"/>
      <c r="FYA2" s="210"/>
      <c r="FYK2" s="212"/>
      <c r="FYM2" s="213"/>
      <c r="FYN2" s="210"/>
      <c r="FYX2" s="212"/>
      <c r="FYZ2" s="213"/>
      <c r="FZA2" s="210"/>
      <c r="FZK2" s="212"/>
      <c r="FZM2" s="213"/>
      <c r="FZN2" s="210"/>
      <c r="FZX2" s="212"/>
      <c r="FZZ2" s="213"/>
      <c r="GAA2" s="210"/>
      <c r="GAK2" s="212"/>
      <c r="GAM2" s="213"/>
      <c r="GAN2" s="210"/>
      <c r="GAX2" s="212"/>
      <c r="GAZ2" s="213"/>
      <c r="GBA2" s="210"/>
      <c r="GBK2" s="212"/>
      <c r="GBM2" s="213"/>
      <c r="GBN2" s="210"/>
      <c r="GBX2" s="212"/>
      <c r="GBZ2" s="213"/>
      <c r="GCA2" s="210"/>
      <c r="GCK2" s="212"/>
      <c r="GCM2" s="213"/>
      <c r="GCN2" s="210"/>
      <c r="GCX2" s="212"/>
      <c r="GCZ2" s="213"/>
      <c r="GDA2" s="210"/>
      <c r="GDK2" s="212"/>
      <c r="GDM2" s="213"/>
      <c r="GDN2" s="210"/>
      <c r="GDX2" s="212"/>
      <c r="GDZ2" s="213"/>
      <c r="GEA2" s="210"/>
      <c r="GEK2" s="212"/>
      <c r="GEM2" s="213"/>
      <c r="GEN2" s="210"/>
      <c r="GEX2" s="212"/>
      <c r="GEZ2" s="213"/>
      <c r="GFA2" s="210"/>
      <c r="GFK2" s="212"/>
      <c r="GFM2" s="213"/>
      <c r="GFN2" s="210"/>
      <c r="GFX2" s="212"/>
      <c r="GFZ2" s="213"/>
      <c r="GGA2" s="210"/>
      <c r="GGK2" s="212"/>
      <c r="GGM2" s="213"/>
      <c r="GGN2" s="210"/>
      <c r="GGX2" s="212"/>
      <c r="GGZ2" s="213"/>
      <c r="GHA2" s="210"/>
      <c r="GHK2" s="212"/>
      <c r="GHM2" s="213"/>
      <c r="GHN2" s="210"/>
      <c r="GHX2" s="212"/>
      <c r="GHZ2" s="213"/>
      <c r="GIA2" s="210"/>
      <c r="GIK2" s="212"/>
      <c r="GIM2" s="213"/>
      <c r="GIN2" s="210"/>
      <c r="GIX2" s="212"/>
      <c r="GIZ2" s="213"/>
      <c r="GJA2" s="210"/>
      <c r="GJK2" s="212"/>
      <c r="GJM2" s="213"/>
      <c r="GJN2" s="210"/>
      <c r="GJX2" s="212"/>
      <c r="GJZ2" s="213"/>
      <c r="GKA2" s="210"/>
      <c r="GKK2" s="212"/>
      <c r="GKM2" s="213"/>
      <c r="GKN2" s="210"/>
      <c r="GKX2" s="212"/>
      <c r="GKZ2" s="213"/>
      <c r="GLA2" s="210"/>
      <c r="GLK2" s="212"/>
      <c r="GLM2" s="213"/>
      <c r="GLN2" s="210"/>
      <c r="GLX2" s="212"/>
      <c r="GLZ2" s="213"/>
      <c r="GMA2" s="210"/>
      <c r="GMK2" s="212"/>
      <c r="GMM2" s="213"/>
      <c r="GMN2" s="210"/>
      <c r="GMX2" s="212"/>
      <c r="GMZ2" s="213"/>
      <c r="GNA2" s="210"/>
      <c r="GNK2" s="212"/>
      <c r="GNM2" s="213"/>
      <c r="GNN2" s="210"/>
      <c r="GNX2" s="212"/>
      <c r="GNZ2" s="213"/>
      <c r="GOA2" s="210"/>
      <c r="GOK2" s="212"/>
      <c r="GOM2" s="213"/>
      <c r="GON2" s="210"/>
      <c r="GOX2" s="212"/>
      <c r="GOZ2" s="213"/>
      <c r="GPA2" s="210"/>
      <c r="GPK2" s="212"/>
      <c r="GPM2" s="213"/>
      <c r="GPN2" s="210"/>
      <c r="GPX2" s="212"/>
      <c r="GPZ2" s="213"/>
      <c r="GQA2" s="210"/>
      <c r="GQK2" s="212"/>
      <c r="GQM2" s="213"/>
      <c r="GQN2" s="210"/>
      <c r="GQX2" s="212"/>
      <c r="GQZ2" s="213"/>
      <c r="GRA2" s="210"/>
      <c r="GRK2" s="212"/>
      <c r="GRM2" s="213"/>
      <c r="GRN2" s="210"/>
      <c r="GRX2" s="212"/>
      <c r="GRZ2" s="213"/>
      <c r="GSA2" s="210"/>
      <c r="GSK2" s="212"/>
      <c r="GSM2" s="213"/>
      <c r="GSN2" s="210"/>
      <c r="GSX2" s="212"/>
      <c r="GSZ2" s="213"/>
      <c r="GTA2" s="210"/>
      <c r="GTK2" s="212"/>
      <c r="GTM2" s="213"/>
      <c r="GTN2" s="210"/>
      <c r="GTX2" s="212"/>
      <c r="GTZ2" s="213"/>
      <c r="GUA2" s="210"/>
      <c r="GUK2" s="212"/>
      <c r="GUM2" s="213"/>
      <c r="GUN2" s="210"/>
      <c r="GUX2" s="212"/>
      <c r="GUZ2" s="213"/>
      <c r="GVA2" s="210"/>
      <c r="GVK2" s="212"/>
      <c r="GVM2" s="213"/>
      <c r="GVN2" s="210"/>
      <c r="GVX2" s="212"/>
      <c r="GVZ2" s="213"/>
      <c r="GWA2" s="210"/>
      <c r="GWK2" s="212"/>
      <c r="GWM2" s="213"/>
      <c r="GWN2" s="210"/>
      <c r="GWX2" s="212"/>
      <c r="GWZ2" s="213"/>
      <c r="GXA2" s="210"/>
      <c r="GXK2" s="212"/>
      <c r="GXM2" s="213"/>
      <c r="GXN2" s="210"/>
      <c r="GXX2" s="212"/>
      <c r="GXZ2" s="213"/>
      <c r="GYA2" s="210"/>
      <c r="GYK2" s="212"/>
      <c r="GYM2" s="213"/>
      <c r="GYN2" s="210"/>
      <c r="GYX2" s="212"/>
      <c r="GYZ2" s="213"/>
      <c r="GZA2" s="210"/>
      <c r="GZK2" s="212"/>
      <c r="GZM2" s="213"/>
      <c r="GZN2" s="210"/>
      <c r="GZX2" s="212"/>
      <c r="GZZ2" s="213"/>
      <c r="HAA2" s="210"/>
      <c r="HAK2" s="212"/>
      <c r="HAM2" s="213"/>
      <c r="HAN2" s="210"/>
      <c r="HAX2" s="212"/>
      <c r="HAZ2" s="213"/>
      <c r="HBA2" s="210"/>
      <c r="HBK2" s="212"/>
      <c r="HBM2" s="213"/>
      <c r="HBN2" s="210"/>
      <c r="HBX2" s="212"/>
      <c r="HBZ2" s="213"/>
      <c r="HCA2" s="210"/>
      <c r="HCK2" s="212"/>
      <c r="HCM2" s="213"/>
      <c r="HCN2" s="210"/>
      <c r="HCX2" s="212"/>
      <c r="HCZ2" s="213"/>
      <c r="HDA2" s="210"/>
      <c r="HDK2" s="212"/>
      <c r="HDM2" s="213"/>
      <c r="HDN2" s="210"/>
      <c r="HDX2" s="212"/>
      <c r="HDZ2" s="213"/>
      <c r="HEA2" s="210"/>
      <c r="HEK2" s="212"/>
      <c r="HEM2" s="213"/>
      <c r="HEN2" s="210"/>
      <c r="HEX2" s="212"/>
      <c r="HEZ2" s="213"/>
      <c r="HFA2" s="210"/>
      <c r="HFK2" s="212"/>
      <c r="HFM2" s="213"/>
      <c r="HFN2" s="210"/>
      <c r="HFX2" s="212"/>
      <c r="HFZ2" s="213"/>
      <c r="HGA2" s="210"/>
      <c r="HGK2" s="212"/>
      <c r="HGM2" s="213"/>
      <c r="HGN2" s="210"/>
      <c r="HGX2" s="212"/>
      <c r="HGZ2" s="213"/>
      <c r="HHA2" s="210"/>
      <c r="HHK2" s="212"/>
      <c r="HHM2" s="213"/>
      <c r="HHN2" s="210"/>
      <c r="HHX2" s="212"/>
      <c r="HHZ2" s="213"/>
      <c r="HIA2" s="210"/>
      <c r="HIK2" s="212"/>
      <c r="HIM2" s="213"/>
      <c r="HIN2" s="210"/>
      <c r="HIX2" s="212"/>
      <c r="HIZ2" s="213"/>
      <c r="HJA2" s="210"/>
      <c r="HJK2" s="212"/>
      <c r="HJM2" s="213"/>
      <c r="HJN2" s="210"/>
      <c r="HJX2" s="212"/>
      <c r="HJZ2" s="213"/>
      <c r="HKA2" s="210"/>
      <c r="HKK2" s="212"/>
      <c r="HKM2" s="213"/>
      <c r="HKN2" s="210"/>
      <c r="HKX2" s="212"/>
      <c r="HKZ2" s="213"/>
      <c r="HLA2" s="210"/>
      <c r="HLK2" s="212"/>
      <c r="HLM2" s="213"/>
      <c r="HLN2" s="210"/>
      <c r="HLX2" s="212"/>
      <c r="HLZ2" s="213"/>
      <c r="HMA2" s="210"/>
      <c r="HMK2" s="212"/>
      <c r="HMM2" s="213"/>
      <c r="HMN2" s="210"/>
      <c r="HMX2" s="212"/>
      <c r="HMZ2" s="213"/>
      <c r="HNA2" s="210"/>
      <c r="HNK2" s="212"/>
      <c r="HNM2" s="213"/>
      <c r="HNN2" s="210"/>
      <c r="HNX2" s="212"/>
      <c r="HNZ2" s="213"/>
      <c r="HOA2" s="210"/>
      <c r="HOK2" s="212"/>
      <c r="HOM2" s="213"/>
      <c r="HON2" s="210"/>
      <c r="HOX2" s="212"/>
      <c r="HOZ2" s="213"/>
      <c r="HPA2" s="210"/>
      <c r="HPK2" s="212"/>
      <c r="HPM2" s="213"/>
      <c r="HPN2" s="210"/>
      <c r="HPX2" s="212"/>
      <c r="HPZ2" s="213"/>
      <c r="HQA2" s="210"/>
      <c r="HQK2" s="212"/>
      <c r="HQM2" s="213"/>
      <c r="HQN2" s="210"/>
      <c r="HQX2" s="212"/>
      <c r="HQZ2" s="213"/>
      <c r="HRA2" s="210"/>
      <c r="HRK2" s="212"/>
      <c r="HRM2" s="213"/>
      <c r="HRN2" s="210"/>
      <c r="HRX2" s="212"/>
      <c r="HRZ2" s="213"/>
      <c r="HSA2" s="210"/>
      <c r="HSK2" s="212"/>
      <c r="HSM2" s="213"/>
      <c r="HSN2" s="210"/>
      <c r="HSX2" s="212"/>
      <c r="HSZ2" s="213"/>
      <c r="HTA2" s="210"/>
      <c r="HTK2" s="212"/>
      <c r="HTM2" s="213"/>
      <c r="HTN2" s="210"/>
      <c r="HTX2" s="212"/>
      <c r="HTZ2" s="213"/>
      <c r="HUA2" s="210"/>
      <c r="HUK2" s="212"/>
      <c r="HUM2" s="213"/>
      <c r="HUN2" s="210"/>
      <c r="HUX2" s="212"/>
      <c r="HUZ2" s="213"/>
      <c r="HVA2" s="210"/>
      <c r="HVK2" s="212"/>
      <c r="HVM2" s="213"/>
      <c r="HVN2" s="210"/>
      <c r="HVX2" s="212"/>
      <c r="HVZ2" s="213"/>
      <c r="HWA2" s="210"/>
      <c r="HWK2" s="212"/>
      <c r="HWM2" s="213"/>
      <c r="HWN2" s="210"/>
      <c r="HWX2" s="212"/>
      <c r="HWZ2" s="213"/>
      <c r="HXA2" s="210"/>
      <c r="HXK2" s="212"/>
      <c r="HXM2" s="213"/>
      <c r="HXN2" s="210"/>
      <c r="HXX2" s="212"/>
      <c r="HXZ2" s="213"/>
      <c r="HYA2" s="210"/>
      <c r="HYK2" s="212"/>
      <c r="HYM2" s="213"/>
      <c r="HYN2" s="210"/>
      <c r="HYX2" s="212"/>
      <c r="HYZ2" s="213"/>
      <c r="HZA2" s="210"/>
      <c r="HZK2" s="212"/>
      <c r="HZM2" s="213"/>
      <c r="HZN2" s="210"/>
      <c r="HZX2" s="212"/>
      <c r="HZZ2" s="213"/>
      <c r="IAA2" s="210"/>
      <c r="IAK2" s="212"/>
      <c r="IAM2" s="213"/>
      <c r="IAN2" s="210"/>
      <c r="IAX2" s="212"/>
      <c r="IAZ2" s="213"/>
      <c r="IBA2" s="210"/>
      <c r="IBK2" s="212"/>
      <c r="IBM2" s="213"/>
      <c r="IBN2" s="210"/>
      <c r="IBX2" s="212"/>
      <c r="IBZ2" s="213"/>
      <c r="ICA2" s="210"/>
      <c r="ICK2" s="212"/>
      <c r="ICM2" s="213"/>
      <c r="ICN2" s="210"/>
      <c r="ICX2" s="212"/>
      <c r="ICZ2" s="213"/>
      <c r="IDA2" s="210"/>
      <c r="IDK2" s="212"/>
      <c r="IDM2" s="213"/>
      <c r="IDN2" s="210"/>
      <c r="IDX2" s="212"/>
      <c r="IDZ2" s="213"/>
      <c r="IEA2" s="210"/>
      <c r="IEK2" s="212"/>
      <c r="IEM2" s="213"/>
      <c r="IEN2" s="210"/>
      <c r="IEX2" s="212"/>
      <c r="IEZ2" s="213"/>
      <c r="IFA2" s="210"/>
      <c r="IFK2" s="212"/>
      <c r="IFM2" s="213"/>
      <c r="IFN2" s="210"/>
      <c r="IFX2" s="212"/>
      <c r="IFZ2" s="213"/>
      <c r="IGA2" s="210"/>
      <c r="IGK2" s="212"/>
      <c r="IGM2" s="213"/>
      <c r="IGN2" s="210"/>
      <c r="IGX2" s="212"/>
      <c r="IGZ2" s="213"/>
      <c r="IHA2" s="210"/>
      <c r="IHK2" s="212"/>
      <c r="IHM2" s="213"/>
      <c r="IHN2" s="210"/>
      <c r="IHX2" s="212"/>
      <c r="IHZ2" s="213"/>
      <c r="IIA2" s="210"/>
      <c r="IIK2" s="212"/>
      <c r="IIM2" s="213"/>
      <c r="IIN2" s="210"/>
      <c r="IIX2" s="212"/>
      <c r="IIZ2" s="213"/>
      <c r="IJA2" s="210"/>
      <c r="IJK2" s="212"/>
      <c r="IJM2" s="213"/>
      <c r="IJN2" s="210"/>
      <c r="IJX2" s="212"/>
      <c r="IJZ2" s="213"/>
      <c r="IKA2" s="210"/>
      <c r="IKK2" s="212"/>
      <c r="IKM2" s="213"/>
      <c r="IKN2" s="210"/>
      <c r="IKX2" s="212"/>
      <c r="IKZ2" s="213"/>
      <c r="ILA2" s="210"/>
      <c r="ILK2" s="212"/>
      <c r="ILM2" s="213"/>
      <c r="ILN2" s="210"/>
      <c r="ILX2" s="212"/>
      <c r="ILZ2" s="213"/>
      <c r="IMA2" s="210"/>
      <c r="IMK2" s="212"/>
      <c r="IMM2" s="213"/>
      <c r="IMN2" s="210"/>
      <c r="IMX2" s="212"/>
      <c r="IMZ2" s="213"/>
      <c r="INA2" s="210"/>
      <c r="INK2" s="212"/>
      <c r="INM2" s="213"/>
      <c r="INN2" s="210"/>
      <c r="INX2" s="212"/>
      <c r="INZ2" s="213"/>
      <c r="IOA2" s="210"/>
      <c r="IOK2" s="212"/>
      <c r="IOM2" s="213"/>
      <c r="ION2" s="210"/>
      <c r="IOX2" s="212"/>
      <c r="IOZ2" s="213"/>
      <c r="IPA2" s="210"/>
      <c r="IPK2" s="212"/>
      <c r="IPM2" s="213"/>
      <c r="IPN2" s="210"/>
      <c r="IPX2" s="212"/>
      <c r="IPZ2" s="213"/>
      <c r="IQA2" s="210"/>
      <c r="IQK2" s="212"/>
      <c r="IQM2" s="213"/>
      <c r="IQN2" s="210"/>
      <c r="IQX2" s="212"/>
      <c r="IQZ2" s="213"/>
      <c r="IRA2" s="210"/>
      <c r="IRK2" s="212"/>
      <c r="IRM2" s="213"/>
      <c r="IRN2" s="210"/>
      <c r="IRX2" s="212"/>
      <c r="IRZ2" s="213"/>
      <c r="ISA2" s="210"/>
      <c r="ISK2" s="212"/>
      <c r="ISM2" s="213"/>
      <c r="ISN2" s="210"/>
      <c r="ISX2" s="212"/>
      <c r="ISZ2" s="213"/>
      <c r="ITA2" s="210"/>
      <c r="ITK2" s="212"/>
      <c r="ITM2" s="213"/>
      <c r="ITN2" s="210"/>
      <c r="ITX2" s="212"/>
      <c r="ITZ2" s="213"/>
      <c r="IUA2" s="210"/>
      <c r="IUK2" s="212"/>
      <c r="IUM2" s="213"/>
      <c r="IUN2" s="210"/>
      <c r="IUX2" s="212"/>
      <c r="IUZ2" s="213"/>
      <c r="IVA2" s="210"/>
      <c r="IVK2" s="212"/>
      <c r="IVM2" s="213"/>
      <c r="IVN2" s="210"/>
      <c r="IVX2" s="212"/>
      <c r="IVZ2" s="213"/>
      <c r="IWA2" s="210"/>
      <c r="IWK2" s="212"/>
      <c r="IWM2" s="213"/>
      <c r="IWN2" s="210"/>
      <c r="IWX2" s="212"/>
      <c r="IWZ2" s="213"/>
      <c r="IXA2" s="210"/>
      <c r="IXK2" s="212"/>
      <c r="IXM2" s="213"/>
      <c r="IXN2" s="210"/>
      <c r="IXX2" s="212"/>
      <c r="IXZ2" s="213"/>
      <c r="IYA2" s="210"/>
      <c r="IYK2" s="212"/>
      <c r="IYM2" s="213"/>
      <c r="IYN2" s="210"/>
      <c r="IYX2" s="212"/>
      <c r="IYZ2" s="213"/>
      <c r="IZA2" s="210"/>
      <c r="IZK2" s="212"/>
      <c r="IZM2" s="213"/>
      <c r="IZN2" s="210"/>
      <c r="IZX2" s="212"/>
      <c r="IZZ2" s="213"/>
      <c r="JAA2" s="210"/>
      <c r="JAK2" s="212"/>
      <c r="JAM2" s="213"/>
      <c r="JAN2" s="210"/>
      <c r="JAX2" s="212"/>
      <c r="JAZ2" s="213"/>
      <c r="JBA2" s="210"/>
      <c r="JBK2" s="212"/>
      <c r="JBM2" s="213"/>
      <c r="JBN2" s="210"/>
      <c r="JBX2" s="212"/>
      <c r="JBZ2" s="213"/>
      <c r="JCA2" s="210"/>
      <c r="JCK2" s="212"/>
      <c r="JCM2" s="213"/>
      <c r="JCN2" s="210"/>
      <c r="JCX2" s="212"/>
      <c r="JCZ2" s="213"/>
      <c r="JDA2" s="210"/>
      <c r="JDK2" s="212"/>
      <c r="JDM2" s="213"/>
      <c r="JDN2" s="210"/>
      <c r="JDX2" s="212"/>
      <c r="JDZ2" s="213"/>
      <c r="JEA2" s="210"/>
      <c r="JEK2" s="212"/>
      <c r="JEM2" s="213"/>
      <c r="JEN2" s="210"/>
      <c r="JEX2" s="212"/>
      <c r="JEZ2" s="213"/>
      <c r="JFA2" s="210"/>
      <c r="JFK2" s="212"/>
      <c r="JFM2" s="213"/>
      <c r="JFN2" s="210"/>
      <c r="JFX2" s="212"/>
      <c r="JFZ2" s="213"/>
      <c r="JGA2" s="210"/>
      <c r="JGK2" s="212"/>
      <c r="JGM2" s="213"/>
      <c r="JGN2" s="210"/>
      <c r="JGX2" s="212"/>
      <c r="JGZ2" s="213"/>
      <c r="JHA2" s="210"/>
      <c r="JHK2" s="212"/>
      <c r="JHM2" s="213"/>
      <c r="JHN2" s="210"/>
      <c r="JHX2" s="212"/>
      <c r="JHZ2" s="213"/>
      <c r="JIA2" s="210"/>
      <c r="JIK2" s="212"/>
      <c r="JIM2" s="213"/>
      <c r="JIN2" s="210"/>
      <c r="JIX2" s="212"/>
      <c r="JIZ2" s="213"/>
      <c r="JJA2" s="210"/>
      <c r="JJK2" s="212"/>
      <c r="JJM2" s="213"/>
      <c r="JJN2" s="210"/>
      <c r="JJX2" s="212"/>
      <c r="JJZ2" s="213"/>
      <c r="JKA2" s="210"/>
      <c r="JKK2" s="212"/>
      <c r="JKM2" s="213"/>
      <c r="JKN2" s="210"/>
      <c r="JKX2" s="212"/>
      <c r="JKZ2" s="213"/>
      <c r="JLA2" s="210"/>
      <c r="JLK2" s="212"/>
      <c r="JLM2" s="213"/>
      <c r="JLN2" s="210"/>
      <c r="JLX2" s="212"/>
      <c r="JLZ2" s="213"/>
      <c r="JMA2" s="210"/>
      <c r="JMK2" s="212"/>
      <c r="JMM2" s="213"/>
      <c r="JMN2" s="210"/>
      <c r="JMX2" s="212"/>
      <c r="JMZ2" s="213"/>
      <c r="JNA2" s="210"/>
      <c r="JNK2" s="212"/>
      <c r="JNM2" s="213"/>
      <c r="JNN2" s="210"/>
      <c r="JNX2" s="212"/>
      <c r="JNZ2" s="213"/>
      <c r="JOA2" s="210"/>
      <c r="JOK2" s="212"/>
      <c r="JOM2" s="213"/>
      <c r="JON2" s="210"/>
      <c r="JOX2" s="212"/>
      <c r="JOZ2" s="213"/>
      <c r="JPA2" s="210"/>
      <c r="JPK2" s="212"/>
      <c r="JPM2" s="213"/>
      <c r="JPN2" s="210"/>
      <c r="JPX2" s="212"/>
      <c r="JPZ2" s="213"/>
      <c r="JQA2" s="210"/>
      <c r="JQK2" s="212"/>
      <c r="JQM2" s="213"/>
      <c r="JQN2" s="210"/>
      <c r="JQX2" s="212"/>
      <c r="JQZ2" s="213"/>
      <c r="JRA2" s="210"/>
      <c r="JRK2" s="212"/>
      <c r="JRM2" s="213"/>
      <c r="JRN2" s="210"/>
      <c r="JRX2" s="212"/>
      <c r="JRZ2" s="213"/>
      <c r="JSA2" s="210"/>
      <c r="JSK2" s="212"/>
      <c r="JSM2" s="213"/>
      <c r="JSN2" s="210"/>
      <c r="JSX2" s="212"/>
      <c r="JSZ2" s="213"/>
      <c r="JTA2" s="210"/>
      <c r="JTK2" s="212"/>
      <c r="JTM2" s="213"/>
      <c r="JTN2" s="210"/>
      <c r="JTX2" s="212"/>
      <c r="JTZ2" s="213"/>
      <c r="JUA2" s="210"/>
      <c r="JUK2" s="212"/>
      <c r="JUM2" s="213"/>
      <c r="JUN2" s="210"/>
      <c r="JUX2" s="212"/>
      <c r="JUZ2" s="213"/>
      <c r="JVA2" s="210"/>
      <c r="JVK2" s="212"/>
      <c r="JVM2" s="213"/>
      <c r="JVN2" s="210"/>
      <c r="JVX2" s="212"/>
      <c r="JVZ2" s="213"/>
      <c r="JWA2" s="210"/>
      <c r="JWK2" s="212"/>
      <c r="JWM2" s="213"/>
      <c r="JWN2" s="210"/>
      <c r="JWX2" s="212"/>
      <c r="JWZ2" s="213"/>
      <c r="JXA2" s="210"/>
      <c r="JXK2" s="212"/>
      <c r="JXM2" s="213"/>
      <c r="JXN2" s="210"/>
      <c r="JXX2" s="212"/>
      <c r="JXZ2" s="213"/>
      <c r="JYA2" s="210"/>
      <c r="JYK2" s="212"/>
      <c r="JYM2" s="213"/>
      <c r="JYN2" s="210"/>
      <c r="JYX2" s="212"/>
      <c r="JYZ2" s="213"/>
      <c r="JZA2" s="210"/>
      <c r="JZK2" s="212"/>
      <c r="JZM2" s="213"/>
      <c r="JZN2" s="210"/>
      <c r="JZX2" s="212"/>
      <c r="JZZ2" s="213"/>
      <c r="KAA2" s="210"/>
      <c r="KAK2" s="212"/>
      <c r="KAM2" s="213"/>
      <c r="KAN2" s="210"/>
      <c r="KAX2" s="212"/>
      <c r="KAZ2" s="213"/>
      <c r="KBA2" s="210"/>
      <c r="KBK2" s="212"/>
      <c r="KBM2" s="213"/>
      <c r="KBN2" s="210"/>
      <c r="KBX2" s="212"/>
      <c r="KBZ2" s="213"/>
      <c r="KCA2" s="210"/>
      <c r="KCK2" s="212"/>
      <c r="KCM2" s="213"/>
      <c r="KCN2" s="210"/>
      <c r="KCX2" s="212"/>
      <c r="KCZ2" s="213"/>
      <c r="KDA2" s="210"/>
      <c r="KDK2" s="212"/>
      <c r="KDM2" s="213"/>
      <c r="KDN2" s="210"/>
      <c r="KDX2" s="212"/>
      <c r="KDZ2" s="213"/>
      <c r="KEA2" s="210"/>
      <c r="KEK2" s="212"/>
      <c r="KEM2" s="213"/>
      <c r="KEN2" s="210"/>
      <c r="KEX2" s="212"/>
      <c r="KEZ2" s="213"/>
      <c r="KFA2" s="210"/>
      <c r="KFK2" s="212"/>
      <c r="KFM2" s="213"/>
      <c r="KFN2" s="210"/>
      <c r="KFX2" s="212"/>
      <c r="KFZ2" s="213"/>
      <c r="KGA2" s="210"/>
      <c r="KGK2" s="212"/>
      <c r="KGM2" s="213"/>
      <c r="KGN2" s="210"/>
      <c r="KGX2" s="212"/>
      <c r="KGZ2" s="213"/>
      <c r="KHA2" s="210"/>
      <c r="KHK2" s="212"/>
      <c r="KHM2" s="213"/>
      <c r="KHN2" s="210"/>
      <c r="KHX2" s="212"/>
      <c r="KHZ2" s="213"/>
      <c r="KIA2" s="210"/>
      <c r="KIK2" s="212"/>
      <c r="KIM2" s="213"/>
      <c r="KIN2" s="210"/>
      <c r="KIX2" s="212"/>
      <c r="KIZ2" s="213"/>
      <c r="KJA2" s="210"/>
      <c r="KJK2" s="212"/>
      <c r="KJM2" s="213"/>
      <c r="KJN2" s="210"/>
      <c r="KJX2" s="212"/>
      <c r="KJZ2" s="213"/>
      <c r="KKA2" s="210"/>
      <c r="KKK2" s="212"/>
      <c r="KKM2" s="213"/>
      <c r="KKN2" s="210"/>
      <c r="KKX2" s="212"/>
      <c r="KKZ2" s="213"/>
      <c r="KLA2" s="210"/>
      <c r="KLK2" s="212"/>
      <c r="KLM2" s="213"/>
      <c r="KLN2" s="210"/>
      <c r="KLX2" s="212"/>
      <c r="KLZ2" s="213"/>
      <c r="KMA2" s="210"/>
      <c r="KMK2" s="212"/>
      <c r="KMM2" s="213"/>
      <c r="KMN2" s="210"/>
      <c r="KMX2" s="212"/>
      <c r="KMZ2" s="213"/>
      <c r="KNA2" s="210"/>
      <c r="KNK2" s="212"/>
      <c r="KNM2" s="213"/>
      <c r="KNN2" s="210"/>
      <c r="KNX2" s="212"/>
      <c r="KNZ2" s="213"/>
      <c r="KOA2" s="210"/>
      <c r="KOK2" s="212"/>
      <c r="KOM2" s="213"/>
      <c r="KON2" s="210"/>
      <c r="KOX2" s="212"/>
      <c r="KOZ2" s="213"/>
      <c r="KPA2" s="210"/>
      <c r="KPK2" s="212"/>
      <c r="KPM2" s="213"/>
      <c r="KPN2" s="210"/>
      <c r="KPX2" s="212"/>
      <c r="KPZ2" s="213"/>
      <c r="KQA2" s="210"/>
      <c r="KQK2" s="212"/>
      <c r="KQM2" s="213"/>
      <c r="KQN2" s="210"/>
      <c r="KQX2" s="212"/>
      <c r="KQZ2" s="213"/>
      <c r="KRA2" s="210"/>
      <c r="KRK2" s="212"/>
      <c r="KRM2" s="213"/>
      <c r="KRN2" s="210"/>
      <c r="KRX2" s="212"/>
      <c r="KRZ2" s="213"/>
      <c r="KSA2" s="210"/>
      <c r="KSK2" s="212"/>
      <c r="KSM2" s="213"/>
      <c r="KSN2" s="210"/>
      <c r="KSX2" s="212"/>
      <c r="KSZ2" s="213"/>
      <c r="KTA2" s="210"/>
      <c r="KTK2" s="212"/>
      <c r="KTM2" s="213"/>
      <c r="KTN2" s="210"/>
      <c r="KTX2" s="212"/>
      <c r="KTZ2" s="213"/>
      <c r="KUA2" s="210"/>
      <c r="KUK2" s="212"/>
      <c r="KUM2" s="213"/>
      <c r="KUN2" s="210"/>
      <c r="KUX2" s="212"/>
      <c r="KUZ2" s="213"/>
      <c r="KVA2" s="210"/>
      <c r="KVK2" s="212"/>
      <c r="KVM2" s="213"/>
      <c r="KVN2" s="210"/>
      <c r="KVX2" s="212"/>
      <c r="KVZ2" s="213"/>
      <c r="KWA2" s="210"/>
      <c r="KWK2" s="212"/>
      <c r="KWM2" s="213"/>
      <c r="KWN2" s="210"/>
      <c r="KWX2" s="212"/>
      <c r="KWZ2" s="213"/>
      <c r="KXA2" s="210"/>
      <c r="KXK2" s="212"/>
      <c r="KXM2" s="213"/>
      <c r="KXN2" s="210"/>
      <c r="KXX2" s="212"/>
      <c r="KXZ2" s="213"/>
      <c r="KYA2" s="210"/>
      <c r="KYK2" s="212"/>
      <c r="KYM2" s="213"/>
      <c r="KYN2" s="210"/>
      <c r="KYX2" s="212"/>
      <c r="KYZ2" s="213"/>
      <c r="KZA2" s="210"/>
      <c r="KZK2" s="212"/>
      <c r="KZM2" s="213"/>
      <c r="KZN2" s="210"/>
      <c r="KZX2" s="212"/>
      <c r="KZZ2" s="213"/>
      <c r="LAA2" s="210"/>
      <c r="LAK2" s="212"/>
      <c r="LAM2" s="213"/>
      <c r="LAN2" s="210"/>
      <c r="LAX2" s="212"/>
      <c r="LAZ2" s="213"/>
      <c r="LBA2" s="210"/>
      <c r="LBK2" s="212"/>
      <c r="LBM2" s="213"/>
      <c r="LBN2" s="210"/>
      <c r="LBX2" s="212"/>
      <c r="LBZ2" s="213"/>
      <c r="LCA2" s="210"/>
      <c r="LCK2" s="212"/>
      <c r="LCM2" s="213"/>
      <c r="LCN2" s="210"/>
      <c r="LCX2" s="212"/>
      <c r="LCZ2" s="213"/>
      <c r="LDA2" s="210"/>
      <c r="LDK2" s="212"/>
      <c r="LDM2" s="213"/>
      <c r="LDN2" s="210"/>
      <c r="LDX2" s="212"/>
      <c r="LDZ2" s="213"/>
      <c r="LEA2" s="210"/>
      <c r="LEK2" s="212"/>
      <c r="LEM2" s="213"/>
      <c r="LEN2" s="210"/>
      <c r="LEX2" s="212"/>
      <c r="LEZ2" s="213"/>
      <c r="LFA2" s="210"/>
      <c r="LFK2" s="212"/>
      <c r="LFM2" s="213"/>
      <c r="LFN2" s="210"/>
      <c r="LFX2" s="212"/>
      <c r="LFZ2" s="213"/>
      <c r="LGA2" s="210"/>
      <c r="LGK2" s="212"/>
      <c r="LGM2" s="213"/>
      <c r="LGN2" s="210"/>
      <c r="LGX2" s="212"/>
      <c r="LGZ2" s="213"/>
      <c r="LHA2" s="210"/>
      <c r="LHK2" s="212"/>
      <c r="LHM2" s="213"/>
      <c r="LHN2" s="210"/>
      <c r="LHX2" s="212"/>
      <c r="LHZ2" s="213"/>
      <c r="LIA2" s="210"/>
      <c r="LIK2" s="212"/>
      <c r="LIM2" s="213"/>
      <c r="LIN2" s="210"/>
      <c r="LIX2" s="212"/>
      <c r="LIZ2" s="213"/>
      <c r="LJA2" s="210"/>
      <c r="LJK2" s="212"/>
      <c r="LJM2" s="213"/>
      <c r="LJN2" s="210"/>
      <c r="LJX2" s="212"/>
      <c r="LJZ2" s="213"/>
      <c r="LKA2" s="210"/>
      <c r="LKK2" s="212"/>
      <c r="LKM2" s="213"/>
      <c r="LKN2" s="210"/>
      <c r="LKX2" s="212"/>
      <c r="LKZ2" s="213"/>
      <c r="LLA2" s="210"/>
      <c r="LLK2" s="212"/>
      <c r="LLM2" s="213"/>
      <c r="LLN2" s="210"/>
      <c r="LLX2" s="212"/>
      <c r="LLZ2" s="213"/>
      <c r="LMA2" s="210"/>
      <c r="LMK2" s="212"/>
      <c r="LMM2" s="213"/>
      <c r="LMN2" s="210"/>
      <c r="LMX2" s="212"/>
      <c r="LMZ2" s="213"/>
      <c r="LNA2" s="210"/>
      <c r="LNK2" s="212"/>
      <c r="LNM2" s="213"/>
      <c r="LNN2" s="210"/>
      <c r="LNX2" s="212"/>
      <c r="LNZ2" s="213"/>
      <c r="LOA2" s="210"/>
      <c r="LOK2" s="212"/>
      <c r="LOM2" s="213"/>
      <c r="LON2" s="210"/>
      <c r="LOX2" s="212"/>
      <c r="LOZ2" s="213"/>
      <c r="LPA2" s="210"/>
      <c r="LPK2" s="212"/>
      <c r="LPM2" s="213"/>
      <c r="LPN2" s="210"/>
      <c r="LPX2" s="212"/>
      <c r="LPZ2" s="213"/>
      <c r="LQA2" s="210"/>
      <c r="LQK2" s="212"/>
      <c r="LQM2" s="213"/>
      <c r="LQN2" s="210"/>
      <c r="LQX2" s="212"/>
      <c r="LQZ2" s="213"/>
      <c r="LRA2" s="210"/>
      <c r="LRK2" s="212"/>
      <c r="LRM2" s="213"/>
      <c r="LRN2" s="210"/>
      <c r="LRX2" s="212"/>
      <c r="LRZ2" s="213"/>
      <c r="LSA2" s="210"/>
      <c r="LSK2" s="212"/>
      <c r="LSM2" s="213"/>
      <c r="LSN2" s="210"/>
      <c r="LSX2" s="212"/>
      <c r="LSZ2" s="213"/>
      <c r="LTA2" s="210"/>
      <c r="LTK2" s="212"/>
      <c r="LTM2" s="213"/>
      <c r="LTN2" s="210"/>
      <c r="LTX2" s="212"/>
      <c r="LTZ2" s="213"/>
      <c r="LUA2" s="210"/>
      <c r="LUK2" s="212"/>
      <c r="LUM2" s="213"/>
      <c r="LUN2" s="210"/>
      <c r="LUX2" s="212"/>
      <c r="LUZ2" s="213"/>
      <c r="LVA2" s="210"/>
      <c r="LVK2" s="212"/>
      <c r="LVM2" s="213"/>
      <c r="LVN2" s="210"/>
      <c r="LVX2" s="212"/>
      <c r="LVZ2" s="213"/>
      <c r="LWA2" s="210"/>
      <c r="LWK2" s="212"/>
      <c r="LWM2" s="213"/>
      <c r="LWN2" s="210"/>
      <c r="LWX2" s="212"/>
      <c r="LWZ2" s="213"/>
      <c r="LXA2" s="210"/>
      <c r="LXK2" s="212"/>
      <c r="LXM2" s="213"/>
      <c r="LXN2" s="210"/>
      <c r="LXX2" s="212"/>
      <c r="LXZ2" s="213"/>
      <c r="LYA2" s="210"/>
      <c r="LYK2" s="212"/>
      <c r="LYM2" s="213"/>
      <c r="LYN2" s="210"/>
      <c r="LYX2" s="212"/>
      <c r="LYZ2" s="213"/>
      <c r="LZA2" s="210"/>
      <c r="LZK2" s="212"/>
      <c r="LZM2" s="213"/>
      <c r="LZN2" s="210"/>
      <c r="LZX2" s="212"/>
      <c r="LZZ2" s="213"/>
      <c r="MAA2" s="210"/>
      <c r="MAK2" s="212"/>
      <c r="MAM2" s="213"/>
      <c r="MAN2" s="210"/>
      <c r="MAX2" s="212"/>
      <c r="MAZ2" s="213"/>
      <c r="MBA2" s="210"/>
      <c r="MBK2" s="212"/>
      <c r="MBM2" s="213"/>
      <c r="MBN2" s="210"/>
      <c r="MBX2" s="212"/>
      <c r="MBZ2" s="213"/>
      <c r="MCA2" s="210"/>
      <c r="MCK2" s="212"/>
      <c r="MCM2" s="213"/>
      <c r="MCN2" s="210"/>
      <c r="MCX2" s="212"/>
      <c r="MCZ2" s="213"/>
      <c r="MDA2" s="210"/>
      <c r="MDK2" s="212"/>
      <c r="MDM2" s="213"/>
      <c r="MDN2" s="210"/>
      <c r="MDX2" s="212"/>
      <c r="MDZ2" s="213"/>
      <c r="MEA2" s="210"/>
      <c r="MEK2" s="212"/>
      <c r="MEM2" s="213"/>
      <c r="MEN2" s="210"/>
      <c r="MEX2" s="212"/>
      <c r="MEZ2" s="213"/>
      <c r="MFA2" s="210"/>
      <c r="MFK2" s="212"/>
      <c r="MFM2" s="213"/>
      <c r="MFN2" s="210"/>
      <c r="MFX2" s="212"/>
      <c r="MFZ2" s="213"/>
      <c r="MGA2" s="210"/>
      <c r="MGK2" s="212"/>
      <c r="MGM2" s="213"/>
      <c r="MGN2" s="210"/>
      <c r="MGX2" s="212"/>
      <c r="MGZ2" s="213"/>
      <c r="MHA2" s="210"/>
      <c r="MHK2" s="212"/>
      <c r="MHM2" s="213"/>
      <c r="MHN2" s="210"/>
      <c r="MHX2" s="212"/>
      <c r="MHZ2" s="213"/>
      <c r="MIA2" s="210"/>
      <c r="MIK2" s="212"/>
      <c r="MIM2" s="213"/>
      <c r="MIN2" s="210"/>
      <c r="MIX2" s="212"/>
      <c r="MIZ2" s="213"/>
      <c r="MJA2" s="210"/>
      <c r="MJK2" s="212"/>
      <c r="MJM2" s="213"/>
      <c r="MJN2" s="210"/>
      <c r="MJX2" s="212"/>
      <c r="MJZ2" s="213"/>
      <c r="MKA2" s="210"/>
      <c r="MKK2" s="212"/>
      <c r="MKM2" s="213"/>
      <c r="MKN2" s="210"/>
      <c r="MKX2" s="212"/>
      <c r="MKZ2" s="213"/>
      <c r="MLA2" s="210"/>
      <c r="MLK2" s="212"/>
      <c r="MLM2" s="213"/>
      <c r="MLN2" s="210"/>
      <c r="MLX2" s="212"/>
      <c r="MLZ2" s="213"/>
      <c r="MMA2" s="210"/>
      <c r="MMK2" s="212"/>
      <c r="MMM2" s="213"/>
      <c r="MMN2" s="210"/>
      <c r="MMX2" s="212"/>
      <c r="MMZ2" s="213"/>
      <c r="MNA2" s="210"/>
      <c r="MNK2" s="212"/>
      <c r="MNM2" s="213"/>
      <c r="MNN2" s="210"/>
      <c r="MNX2" s="212"/>
      <c r="MNZ2" s="213"/>
      <c r="MOA2" s="210"/>
      <c r="MOK2" s="212"/>
      <c r="MOM2" s="213"/>
      <c r="MON2" s="210"/>
      <c r="MOX2" s="212"/>
      <c r="MOZ2" s="213"/>
      <c r="MPA2" s="210"/>
      <c r="MPK2" s="212"/>
      <c r="MPM2" s="213"/>
      <c r="MPN2" s="210"/>
      <c r="MPX2" s="212"/>
      <c r="MPZ2" s="213"/>
      <c r="MQA2" s="210"/>
      <c r="MQK2" s="212"/>
      <c r="MQM2" s="213"/>
      <c r="MQN2" s="210"/>
      <c r="MQX2" s="212"/>
      <c r="MQZ2" s="213"/>
      <c r="MRA2" s="210"/>
      <c r="MRK2" s="212"/>
      <c r="MRM2" s="213"/>
      <c r="MRN2" s="210"/>
      <c r="MRX2" s="212"/>
      <c r="MRZ2" s="213"/>
      <c r="MSA2" s="210"/>
      <c r="MSK2" s="212"/>
      <c r="MSM2" s="213"/>
      <c r="MSN2" s="210"/>
      <c r="MSX2" s="212"/>
      <c r="MSZ2" s="213"/>
      <c r="MTA2" s="210"/>
      <c r="MTK2" s="212"/>
      <c r="MTM2" s="213"/>
      <c r="MTN2" s="210"/>
      <c r="MTX2" s="212"/>
      <c r="MTZ2" s="213"/>
      <c r="MUA2" s="210"/>
      <c r="MUK2" s="212"/>
      <c r="MUM2" s="213"/>
      <c r="MUN2" s="210"/>
      <c r="MUX2" s="212"/>
      <c r="MUZ2" s="213"/>
      <c r="MVA2" s="210"/>
      <c r="MVK2" s="212"/>
      <c r="MVM2" s="213"/>
      <c r="MVN2" s="210"/>
      <c r="MVX2" s="212"/>
      <c r="MVZ2" s="213"/>
      <c r="MWA2" s="210"/>
      <c r="MWK2" s="212"/>
      <c r="MWM2" s="213"/>
      <c r="MWN2" s="210"/>
      <c r="MWX2" s="212"/>
      <c r="MWZ2" s="213"/>
      <c r="MXA2" s="210"/>
      <c r="MXK2" s="212"/>
      <c r="MXM2" s="213"/>
      <c r="MXN2" s="210"/>
      <c r="MXX2" s="212"/>
      <c r="MXZ2" s="213"/>
      <c r="MYA2" s="210"/>
      <c r="MYK2" s="212"/>
      <c r="MYM2" s="213"/>
      <c r="MYN2" s="210"/>
      <c r="MYX2" s="212"/>
      <c r="MYZ2" s="213"/>
      <c r="MZA2" s="210"/>
      <c r="MZK2" s="212"/>
      <c r="MZM2" s="213"/>
      <c r="MZN2" s="210"/>
      <c r="MZX2" s="212"/>
      <c r="MZZ2" s="213"/>
      <c r="NAA2" s="210"/>
      <c r="NAK2" s="212"/>
      <c r="NAM2" s="213"/>
      <c r="NAN2" s="210"/>
      <c r="NAX2" s="212"/>
      <c r="NAZ2" s="213"/>
      <c r="NBA2" s="210"/>
      <c r="NBK2" s="212"/>
      <c r="NBM2" s="213"/>
      <c r="NBN2" s="210"/>
      <c r="NBX2" s="212"/>
      <c r="NBZ2" s="213"/>
      <c r="NCA2" s="210"/>
      <c r="NCK2" s="212"/>
      <c r="NCM2" s="213"/>
      <c r="NCN2" s="210"/>
      <c r="NCX2" s="212"/>
      <c r="NCZ2" s="213"/>
      <c r="NDA2" s="210"/>
      <c r="NDK2" s="212"/>
      <c r="NDM2" s="213"/>
      <c r="NDN2" s="210"/>
      <c r="NDX2" s="212"/>
      <c r="NDZ2" s="213"/>
      <c r="NEA2" s="210"/>
      <c r="NEK2" s="212"/>
      <c r="NEM2" s="213"/>
      <c r="NEN2" s="210"/>
      <c r="NEX2" s="212"/>
      <c r="NEZ2" s="213"/>
      <c r="NFA2" s="210"/>
      <c r="NFK2" s="212"/>
      <c r="NFM2" s="213"/>
      <c r="NFN2" s="210"/>
      <c r="NFX2" s="212"/>
      <c r="NFZ2" s="213"/>
      <c r="NGA2" s="210"/>
      <c r="NGK2" s="212"/>
      <c r="NGM2" s="213"/>
      <c r="NGN2" s="210"/>
      <c r="NGX2" s="212"/>
      <c r="NGZ2" s="213"/>
      <c r="NHA2" s="210"/>
      <c r="NHK2" s="212"/>
      <c r="NHM2" s="213"/>
      <c r="NHN2" s="210"/>
      <c r="NHX2" s="212"/>
      <c r="NHZ2" s="213"/>
      <c r="NIA2" s="210"/>
      <c r="NIK2" s="212"/>
      <c r="NIM2" s="213"/>
      <c r="NIN2" s="210"/>
      <c r="NIX2" s="212"/>
      <c r="NIZ2" s="213"/>
      <c r="NJA2" s="210"/>
      <c r="NJK2" s="212"/>
      <c r="NJM2" s="213"/>
      <c r="NJN2" s="210"/>
      <c r="NJX2" s="212"/>
      <c r="NJZ2" s="213"/>
      <c r="NKA2" s="210"/>
      <c r="NKK2" s="212"/>
      <c r="NKM2" s="213"/>
      <c r="NKN2" s="210"/>
      <c r="NKX2" s="212"/>
      <c r="NKZ2" s="213"/>
      <c r="NLA2" s="210"/>
      <c r="NLK2" s="212"/>
      <c r="NLM2" s="213"/>
      <c r="NLN2" s="210"/>
      <c r="NLX2" s="212"/>
      <c r="NLZ2" s="213"/>
      <c r="NMA2" s="210"/>
      <c r="NMK2" s="212"/>
      <c r="NMM2" s="213"/>
      <c r="NMN2" s="210"/>
      <c r="NMX2" s="212"/>
      <c r="NMZ2" s="213"/>
      <c r="NNA2" s="210"/>
      <c r="NNK2" s="212"/>
      <c r="NNM2" s="213"/>
      <c r="NNN2" s="210"/>
      <c r="NNX2" s="212"/>
      <c r="NNZ2" s="213"/>
      <c r="NOA2" s="210"/>
      <c r="NOK2" s="212"/>
      <c r="NOM2" s="213"/>
      <c r="NON2" s="210"/>
      <c r="NOX2" s="212"/>
      <c r="NOZ2" s="213"/>
      <c r="NPA2" s="210"/>
      <c r="NPK2" s="212"/>
      <c r="NPM2" s="213"/>
      <c r="NPN2" s="210"/>
      <c r="NPX2" s="212"/>
      <c r="NPZ2" s="213"/>
      <c r="NQA2" s="210"/>
      <c r="NQK2" s="212"/>
      <c r="NQM2" s="213"/>
      <c r="NQN2" s="210"/>
      <c r="NQX2" s="212"/>
      <c r="NQZ2" s="213"/>
      <c r="NRA2" s="210"/>
      <c r="NRK2" s="212"/>
      <c r="NRM2" s="213"/>
      <c r="NRN2" s="210"/>
      <c r="NRX2" s="212"/>
      <c r="NRZ2" s="213"/>
      <c r="NSA2" s="210"/>
      <c r="NSK2" s="212"/>
      <c r="NSM2" s="213"/>
      <c r="NSN2" s="210"/>
      <c r="NSX2" s="212"/>
      <c r="NSZ2" s="213"/>
      <c r="NTA2" s="210"/>
      <c r="NTK2" s="212"/>
      <c r="NTM2" s="213"/>
      <c r="NTN2" s="210"/>
      <c r="NTX2" s="212"/>
      <c r="NTZ2" s="213"/>
      <c r="NUA2" s="210"/>
      <c r="NUK2" s="212"/>
      <c r="NUM2" s="213"/>
      <c r="NUN2" s="210"/>
      <c r="NUX2" s="212"/>
      <c r="NUZ2" s="213"/>
      <c r="NVA2" s="210"/>
      <c r="NVK2" s="212"/>
      <c r="NVM2" s="213"/>
      <c r="NVN2" s="210"/>
      <c r="NVX2" s="212"/>
      <c r="NVZ2" s="213"/>
      <c r="NWA2" s="210"/>
      <c r="NWK2" s="212"/>
      <c r="NWM2" s="213"/>
      <c r="NWN2" s="210"/>
      <c r="NWX2" s="212"/>
      <c r="NWZ2" s="213"/>
      <c r="NXA2" s="210"/>
      <c r="NXK2" s="212"/>
      <c r="NXM2" s="213"/>
      <c r="NXN2" s="210"/>
      <c r="NXX2" s="212"/>
      <c r="NXZ2" s="213"/>
      <c r="NYA2" s="210"/>
      <c r="NYK2" s="212"/>
      <c r="NYM2" s="213"/>
      <c r="NYN2" s="210"/>
      <c r="NYX2" s="212"/>
      <c r="NYZ2" s="213"/>
      <c r="NZA2" s="210"/>
      <c r="NZK2" s="212"/>
      <c r="NZM2" s="213"/>
      <c r="NZN2" s="210"/>
      <c r="NZX2" s="212"/>
      <c r="NZZ2" s="213"/>
      <c r="OAA2" s="210"/>
      <c r="OAK2" s="212"/>
      <c r="OAM2" s="213"/>
      <c r="OAN2" s="210"/>
      <c r="OAX2" s="212"/>
      <c r="OAZ2" s="213"/>
      <c r="OBA2" s="210"/>
      <c r="OBK2" s="212"/>
      <c r="OBM2" s="213"/>
      <c r="OBN2" s="210"/>
      <c r="OBX2" s="212"/>
      <c r="OBZ2" s="213"/>
      <c r="OCA2" s="210"/>
      <c r="OCK2" s="212"/>
      <c r="OCM2" s="213"/>
      <c r="OCN2" s="210"/>
      <c r="OCX2" s="212"/>
      <c r="OCZ2" s="213"/>
      <c r="ODA2" s="210"/>
      <c r="ODK2" s="212"/>
      <c r="ODM2" s="213"/>
      <c r="ODN2" s="210"/>
      <c r="ODX2" s="212"/>
      <c r="ODZ2" s="213"/>
      <c r="OEA2" s="210"/>
      <c r="OEK2" s="212"/>
      <c r="OEM2" s="213"/>
      <c r="OEN2" s="210"/>
      <c r="OEX2" s="212"/>
      <c r="OEZ2" s="213"/>
      <c r="OFA2" s="210"/>
      <c r="OFK2" s="212"/>
      <c r="OFM2" s="213"/>
      <c r="OFN2" s="210"/>
      <c r="OFX2" s="212"/>
      <c r="OFZ2" s="213"/>
      <c r="OGA2" s="210"/>
      <c r="OGK2" s="212"/>
      <c r="OGM2" s="213"/>
      <c r="OGN2" s="210"/>
      <c r="OGX2" s="212"/>
      <c r="OGZ2" s="213"/>
      <c r="OHA2" s="210"/>
      <c r="OHK2" s="212"/>
      <c r="OHM2" s="213"/>
      <c r="OHN2" s="210"/>
      <c r="OHX2" s="212"/>
      <c r="OHZ2" s="213"/>
      <c r="OIA2" s="210"/>
      <c r="OIK2" s="212"/>
      <c r="OIM2" s="213"/>
      <c r="OIN2" s="210"/>
      <c r="OIX2" s="212"/>
      <c r="OIZ2" s="213"/>
      <c r="OJA2" s="210"/>
      <c r="OJK2" s="212"/>
      <c r="OJM2" s="213"/>
      <c r="OJN2" s="210"/>
      <c r="OJX2" s="212"/>
      <c r="OJZ2" s="213"/>
      <c r="OKA2" s="210"/>
      <c r="OKK2" s="212"/>
      <c r="OKM2" s="213"/>
      <c r="OKN2" s="210"/>
      <c r="OKX2" s="212"/>
      <c r="OKZ2" s="213"/>
      <c r="OLA2" s="210"/>
      <c r="OLK2" s="212"/>
      <c r="OLM2" s="213"/>
      <c r="OLN2" s="210"/>
      <c r="OLX2" s="212"/>
      <c r="OLZ2" s="213"/>
      <c r="OMA2" s="210"/>
      <c r="OMK2" s="212"/>
      <c r="OMM2" s="213"/>
      <c r="OMN2" s="210"/>
      <c r="OMX2" s="212"/>
      <c r="OMZ2" s="213"/>
      <c r="ONA2" s="210"/>
      <c r="ONK2" s="212"/>
      <c r="ONM2" s="213"/>
      <c r="ONN2" s="210"/>
      <c r="ONX2" s="212"/>
      <c r="ONZ2" s="213"/>
      <c r="OOA2" s="210"/>
      <c r="OOK2" s="212"/>
      <c r="OOM2" s="213"/>
      <c r="OON2" s="210"/>
      <c r="OOX2" s="212"/>
      <c r="OOZ2" s="213"/>
      <c r="OPA2" s="210"/>
      <c r="OPK2" s="212"/>
      <c r="OPM2" s="213"/>
      <c r="OPN2" s="210"/>
      <c r="OPX2" s="212"/>
      <c r="OPZ2" s="213"/>
      <c r="OQA2" s="210"/>
      <c r="OQK2" s="212"/>
      <c r="OQM2" s="213"/>
      <c r="OQN2" s="210"/>
      <c r="OQX2" s="212"/>
      <c r="OQZ2" s="213"/>
      <c r="ORA2" s="210"/>
      <c r="ORK2" s="212"/>
      <c r="ORM2" s="213"/>
      <c r="ORN2" s="210"/>
      <c r="ORX2" s="212"/>
      <c r="ORZ2" s="213"/>
      <c r="OSA2" s="210"/>
      <c r="OSK2" s="212"/>
      <c r="OSM2" s="213"/>
      <c r="OSN2" s="210"/>
      <c r="OSX2" s="212"/>
      <c r="OSZ2" s="213"/>
      <c r="OTA2" s="210"/>
      <c r="OTK2" s="212"/>
      <c r="OTM2" s="213"/>
      <c r="OTN2" s="210"/>
      <c r="OTX2" s="212"/>
      <c r="OTZ2" s="213"/>
      <c r="OUA2" s="210"/>
      <c r="OUK2" s="212"/>
      <c r="OUM2" s="213"/>
      <c r="OUN2" s="210"/>
      <c r="OUX2" s="212"/>
      <c r="OUZ2" s="213"/>
      <c r="OVA2" s="210"/>
      <c r="OVK2" s="212"/>
      <c r="OVM2" s="213"/>
      <c r="OVN2" s="210"/>
      <c r="OVX2" s="212"/>
      <c r="OVZ2" s="213"/>
      <c r="OWA2" s="210"/>
      <c r="OWK2" s="212"/>
      <c r="OWM2" s="213"/>
      <c r="OWN2" s="210"/>
      <c r="OWX2" s="212"/>
      <c r="OWZ2" s="213"/>
      <c r="OXA2" s="210"/>
      <c r="OXK2" s="212"/>
      <c r="OXM2" s="213"/>
      <c r="OXN2" s="210"/>
      <c r="OXX2" s="212"/>
      <c r="OXZ2" s="213"/>
      <c r="OYA2" s="210"/>
      <c r="OYK2" s="212"/>
      <c r="OYM2" s="213"/>
      <c r="OYN2" s="210"/>
      <c r="OYX2" s="212"/>
      <c r="OYZ2" s="213"/>
      <c r="OZA2" s="210"/>
      <c r="OZK2" s="212"/>
      <c r="OZM2" s="213"/>
      <c r="OZN2" s="210"/>
      <c r="OZX2" s="212"/>
      <c r="OZZ2" s="213"/>
      <c r="PAA2" s="210"/>
      <c r="PAK2" s="212"/>
      <c r="PAM2" s="213"/>
      <c r="PAN2" s="210"/>
      <c r="PAX2" s="212"/>
      <c r="PAZ2" s="213"/>
      <c r="PBA2" s="210"/>
      <c r="PBK2" s="212"/>
      <c r="PBM2" s="213"/>
      <c r="PBN2" s="210"/>
      <c r="PBX2" s="212"/>
      <c r="PBZ2" s="213"/>
      <c r="PCA2" s="210"/>
      <c r="PCK2" s="212"/>
      <c r="PCM2" s="213"/>
      <c r="PCN2" s="210"/>
      <c r="PCX2" s="212"/>
      <c r="PCZ2" s="213"/>
      <c r="PDA2" s="210"/>
      <c r="PDK2" s="212"/>
      <c r="PDM2" s="213"/>
      <c r="PDN2" s="210"/>
      <c r="PDX2" s="212"/>
      <c r="PDZ2" s="213"/>
      <c r="PEA2" s="210"/>
      <c r="PEK2" s="212"/>
      <c r="PEM2" s="213"/>
      <c r="PEN2" s="210"/>
      <c r="PEX2" s="212"/>
      <c r="PEZ2" s="213"/>
      <c r="PFA2" s="210"/>
      <c r="PFK2" s="212"/>
      <c r="PFM2" s="213"/>
      <c r="PFN2" s="210"/>
      <c r="PFX2" s="212"/>
      <c r="PFZ2" s="213"/>
      <c r="PGA2" s="210"/>
      <c r="PGK2" s="212"/>
      <c r="PGM2" s="213"/>
      <c r="PGN2" s="210"/>
      <c r="PGX2" s="212"/>
      <c r="PGZ2" s="213"/>
      <c r="PHA2" s="210"/>
      <c r="PHK2" s="212"/>
      <c r="PHM2" s="213"/>
      <c r="PHN2" s="210"/>
      <c r="PHX2" s="212"/>
      <c r="PHZ2" s="213"/>
      <c r="PIA2" s="210"/>
      <c r="PIK2" s="212"/>
      <c r="PIM2" s="213"/>
      <c r="PIN2" s="210"/>
      <c r="PIX2" s="212"/>
      <c r="PIZ2" s="213"/>
      <c r="PJA2" s="210"/>
      <c r="PJK2" s="212"/>
      <c r="PJM2" s="213"/>
      <c r="PJN2" s="210"/>
      <c r="PJX2" s="212"/>
      <c r="PJZ2" s="213"/>
      <c r="PKA2" s="210"/>
      <c r="PKK2" s="212"/>
      <c r="PKM2" s="213"/>
      <c r="PKN2" s="210"/>
      <c r="PKX2" s="212"/>
      <c r="PKZ2" s="213"/>
      <c r="PLA2" s="210"/>
      <c r="PLK2" s="212"/>
      <c r="PLM2" s="213"/>
      <c r="PLN2" s="210"/>
      <c r="PLX2" s="212"/>
      <c r="PLZ2" s="213"/>
      <c r="PMA2" s="210"/>
      <c r="PMK2" s="212"/>
      <c r="PMM2" s="213"/>
      <c r="PMN2" s="210"/>
      <c r="PMX2" s="212"/>
      <c r="PMZ2" s="213"/>
      <c r="PNA2" s="210"/>
      <c r="PNK2" s="212"/>
      <c r="PNM2" s="213"/>
      <c r="PNN2" s="210"/>
      <c r="PNX2" s="212"/>
      <c r="PNZ2" s="213"/>
      <c r="POA2" s="210"/>
      <c r="POK2" s="212"/>
      <c r="POM2" s="213"/>
      <c r="PON2" s="210"/>
      <c r="POX2" s="212"/>
      <c r="POZ2" s="213"/>
      <c r="PPA2" s="210"/>
      <c r="PPK2" s="212"/>
      <c r="PPM2" s="213"/>
      <c r="PPN2" s="210"/>
      <c r="PPX2" s="212"/>
      <c r="PPZ2" s="213"/>
      <c r="PQA2" s="210"/>
      <c r="PQK2" s="212"/>
      <c r="PQM2" s="213"/>
      <c r="PQN2" s="210"/>
      <c r="PQX2" s="212"/>
      <c r="PQZ2" s="213"/>
      <c r="PRA2" s="210"/>
      <c r="PRK2" s="212"/>
      <c r="PRM2" s="213"/>
      <c r="PRN2" s="210"/>
      <c r="PRX2" s="212"/>
      <c r="PRZ2" s="213"/>
      <c r="PSA2" s="210"/>
      <c r="PSK2" s="212"/>
      <c r="PSM2" s="213"/>
      <c r="PSN2" s="210"/>
      <c r="PSX2" s="212"/>
      <c r="PSZ2" s="213"/>
      <c r="PTA2" s="210"/>
      <c r="PTK2" s="212"/>
      <c r="PTM2" s="213"/>
      <c r="PTN2" s="210"/>
      <c r="PTX2" s="212"/>
      <c r="PTZ2" s="213"/>
      <c r="PUA2" s="210"/>
      <c r="PUK2" s="212"/>
      <c r="PUM2" s="213"/>
      <c r="PUN2" s="210"/>
      <c r="PUX2" s="212"/>
      <c r="PUZ2" s="213"/>
      <c r="PVA2" s="210"/>
      <c r="PVK2" s="212"/>
      <c r="PVM2" s="213"/>
      <c r="PVN2" s="210"/>
      <c r="PVX2" s="212"/>
      <c r="PVZ2" s="213"/>
      <c r="PWA2" s="210"/>
      <c r="PWK2" s="212"/>
      <c r="PWM2" s="213"/>
      <c r="PWN2" s="210"/>
      <c r="PWX2" s="212"/>
      <c r="PWZ2" s="213"/>
      <c r="PXA2" s="210"/>
      <c r="PXK2" s="212"/>
      <c r="PXM2" s="213"/>
      <c r="PXN2" s="210"/>
      <c r="PXX2" s="212"/>
      <c r="PXZ2" s="213"/>
      <c r="PYA2" s="210"/>
      <c r="PYK2" s="212"/>
      <c r="PYM2" s="213"/>
      <c r="PYN2" s="210"/>
      <c r="PYX2" s="212"/>
      <c r="PYZ2" s="213"/>
      <c r="PZA2" s="210"/>
      <c r="PZK2" s="212"/>
      <c r="PZM2" s="213"/>
      <c r="PZN2" s="210"/>
      <c r="PZX2" s="212"/>
      <c r="PZZ2" s="213"/>
      <c r="QAA2" s="210"/>
      <c r="QAK2" s="212"/>
      <c r="QAM2" s="213"/>
      <c r="QAN2" s="210"/>
      <c r="QAX2" s="212"/>
      <c r="QAZ2" s="213"/>
      <c r="QBA2" s="210"/>
      <c r="QBK2" s="212"/>
      <c r="QBM2" s="213"/>
      <c r="QBN2" s="210"/>
      <c r="QBX2" s="212"/>
      <c r="QBZ2" s="213"/>
      <c r="QCA2" s="210"/>
      <c r="QCK2" s="212"/>
      <c r="QCM2" s="213"/>
      <c r="QCN2" s="210"/>
      <c r="QCX2" s="212"/>
      <c r="QCZ2" s="213"/>
      <c r="QDA2" s="210"/>
      <c r="QDK2" s="212"/>
      <c r="QDM2" s="213"/>
      <c r="QDN2" s="210"/>
      <c r="QDX2" s="212"/>
      <c r="QDZ2" s="213"/>
      <c r="QEA2" s="210"/>
      <c r="QEK2" s="212"/>
      <c r="QEM2" s="213"/>
      <c r="QEN2" s="210"/>
      <c r="QEX2" s="212"/>
      <c r="QEZ2" s="213"/>
      <c r="QFA2" s="210"/>
      <c r="QFK2" s="212"/>
      <c r="QFM2" s="213"/>
      <c r="QFN2" s="210"/>
      <c r="QFX2" s="212"/>
      <c r="QFZ2" s="213"/>
      <c r="QGA2" s="210"/>
      <c r="QGK2" s="212"/>
      <c r="QGM2" s="213"/>
      <c r="QGN2" s="210"/>
      <c r="QGX2" s="212"/>
      <c r="QGZ2" s="213"/>
      <c r="QHA2" s="210"/>
      <c r="QHK2" s="212"/>
      <c r="QHM2" s="213"/>
      <c r="QHN2" s="210"/>
      <c r="QHX2" s="212"/>
      <c r="QHZ2" s="213"/>
      <c r="QIA2" s="210"/>
      <c r="QIK2" s="212"/>
      <c r="QIM2" s="213"/>
      <c r="QIN2" s="210"/>
      <c r="QIX2" s="212"/>
      <c r="QIZ2" s="213"/>
      <c r="QJA2" s="210"/>
      <c r="QJK2" s="212"/>
      <c r="QJM2" s="213"/>
      <c r="QJN2" s="210"/>
      <c r="QJX2" s="212"/>
      <c r="QJZ2" s="213"/>
      <c r="QKA2" s="210"/>
      <c r="QKK2" s="212"/>
      <c r="QKM2" s="213"/>
      <c r="QKN2" s="210"/>
      <c r="QKX2" s="212"/>
      <c r="QKZ2" s="213"/>
      <c r="QLA2" s="210"/>
      <c r="QLK2" s="212"/>
      <c r="QLM2" s="213"/>
      <c r="QLN2" s="210"/>
      <c r="QLX2" s="212"/>
      <c r="QLZ2" s="213"/>
      <c r="QMA2" s="210"/>
      <c r="QMK2" s="212"/>
      <c r="QMM2" s="213"/>
      <c r="QMN2" s="210"/>
      <c r="QMX2" s="212"/>
      <c r="QMZ2" s="213"/>
      <c r="QNA2" s="210"/>
      <c r="QNK2" s="212"/>
      <c r="QNM2" s="213"/>
      <c r="QNN2" s="210"/>
      <c r="QNX2" s="212"/>
      <c r="QNZ2" s="213"/>
      <c r="QOA2" s="210"/>
      <c r="QOK2" s="212"/>
      <c r="QOM2" s="213"/>
      <c r="QON2" s="210"/>
      <c r="QOX2" s="212"/>
      <c r="QOZ2" s="213"/>
      <c r="QPA2" s="210"/>
      <c r="QPK2" s="212"/>
      <c r="QPM2" s="213"/>
      <c r="QPN2" s="210"/>
      <c r="QPX2" s="212"/>
      <c r="QPZ2" s="213"/>
      <c r="QQA2" s="210"/>
      <c r="QQK2" s="212"/>
      <c r="QQM2" s="213"/>
      <c r="QQN2" s="210"/>
      <c r="QQX2" s="212"/>
      <c r="QQZ2" s="213"/>
      <c r="QRA2" s="210"/>
      <c r="QRK2" s="212"/>
      <c r="QRM2" s="213"/>
      <c r="QRN2" s="210"/>
      <c r="QRX2" s="212"/>
      <c r="QRZ2" s="213"/>
      <c r="QSA2" s="210"/>
      <c r="QSK2" s="212"/>
      <c r="QSM2" s="213"/>
      <c r="QSN2" s="210"/>
      <c r="QSX2" s="212"/>
      <c r="QSZ2" s="213"/>
      <c r="QTA2" s="210"/>
      <c r="QTK2" s="212"/>
      <c r="QTM2" s="213"/>
      <c r="QTN2" s="210"/>
      <c r="QTX2" s="212"/>
      <c r="QTZ2" s="213"/>
      <c r="QUA2" s="210"/>
      <c r="QUK2" s="212"/>
      <c r="QUM2" s="213"/>
      <c r="QUN2" s="210"/>
      <c r="QUX2" s="212"/>
      <c r="QUZ2" s="213"/>
      <c r="QVA2" s="210"/>
      <c r="QVK2" s="212"/>
      <c r="QVM2" s="213"/>
      <c r="QVN2" s="210"/>
      <c r="QVX2" s="212"/>
      <c r="QVZ2" s="213"/>
      <c r="QWA2" s="210"/>
      <c r="QWK2" s="212"/>
      <c r="QWM2" s="213"/>
      <c r="QWN2" s="210"/>
      <c r="QWX2" s="212"/>
      <c r="QWZ2" s="213"/>
      <c r="QXA2" s="210"/>
      <c r="QXK2" s="212"/>
      <c r="QXM2" s="213"/>
      <c r="QXN2" s="210"/>
      <c r="QXX2" s="212"/>
      <c r="QXZ2" s="213"/>
      <c r="QYA2" s="210"/>
      <c r="QYK2" s="212"/>
      <c r="QYM2" s="213"/>
      <c r="QYN2" s="210"/>
      <c r="QYX2" s="212"/>
      <c r="QYZ2" s="213"/>
      <c r="QZA2" s="210"/>
      <c r="QZK2" s="212"/>
      <c r="QZM2" s="213"/>
      <c r="QZN2" s="210"/>
      <c r="QZX2" s="212"/>
      <c r="QZZ2" s="213"/>
      <c r="RAA2" s="210"/>
      <c r="RAK2" s="212"/>
      <c r="RAM2" s="213"/>
      <c r="RAN2" s="210"/>
      <c r="RAX2" s="212"/>
      <c r="RAZ2" s="213"/>
      <c r="RBA2" s="210"/>
      <c r="RBK2" s="212"/>
      <c r="RBM2" s="213"/>
      <c r="RBN2" s="210"/>
      <c r="RBX2" s="212"/>
      <c r="RBZ2" s="213"/>
      <c r="RCA2" s="210"/>
      <c r="RCK2" s="212"/>
      <c r="RCM2" s="213"/>
      <c r="RCN2" s="210"/>
      <c r="RCX2" s="212"/>
      <c r="RCZ2" s="213"/>
      <c r="RDA2" s="210"/>
      <c r="RDK2" s="212"/>
      <c r="RDM2" s="213"/>
      <c r="RDN2" s="210"/>
      <c r="RDX2" s="212"/>
      <c r="RDZ2" s="213"/>
      <c r="REA2" s="210"/>
      <c r="REK2" s="212"/>
      <c r="REM2" s="213"/>
      <c r="REN2" s="210"/>
      <c r="REX2" s="212"/>
      <c r="REZ2" s="213"/>
      <c r="RFA2" s="210"/>
      <c r="RFK2" s="212"/>
      <c r="RFM2" s="213"/>
      <c r="RFN2" s="210"/>
      <c r="RFX2" s="212"/>
      <c r="RFZ2" s="213"/>
      <c r="RGA2" s="210"/>
      <c r="RGK2" s="212"/>
      <c r="RGM2" s="213"/>
      <c r="RGN2" s="210"/>
      <c r="RGX2" s="212"/>
      <c r="RGZ2" s="213"/>
      <c r="RHA2" s="210"/>
      <c r="RHK2" s="212"/>
      <c r="RHM2" s="213"/>
      <c r="RHN2" s="210"/>
      <c r="RHX2" s="212"/>
      <c r="RHZ2" s="213"/>
      <c r="RIA2" s="210"/>
      <c r="RIK2" s="212"/>
      <c r="RIM2" s="213"/>
      <c r="RIN2" s="210"/>
      <c r="RIX2" s="212"/>
      <c r="RIZ2" s="213"/>
      <c r="RJA2" s="210"/>
      <c r="RJK2" s="212"/>
      <c r="RJM2" s="213"/>
      <c r="RJN2" s="210"/>
      <c r="RJX2" s="212"/>
      <c r="RJZ2" s="213"/>
      <c r="RKA2" s="210"/>
      <c r="RKK2" s="212"/>
      <c r="RKM2" s="213"/>
      <c r="RKN2" s="210"/>
      <c r="RKX2" s="212"/>
      <c r="RKZ2" s="213"/>
      <c r="RLA2" s="210"/>
      <c r="RLK2" s="212"/>
      <c r="RLM2" s="213"/>
      <c r="RLN2" s="210"/>
      <c r="RLX2" s="212"/>
      <c r="RLZ2" s="213"/>
      <c r="RMA2" s="210"/>
      <c r="RMK2" s="212"/>
      <c r="RMM2" s="213"/>
      <c r="RMN2" s="210"/>
      <c r="RMX2" s="212"/>
      <c r="RMZ2" s="213"/>
      <c r="RNA2" s="210"/>
      <c r="RNK2" s="212"/>
      <c r="RNM2" s="213"/>
      <c r="RNN2" s="210"/>
      <c r="RNX2" s="212"/>
      <c r="RNZ2" s="213"/>
      <c r="ROA2" s="210"/>
      <c r="ROK2" s="212"/>
      <c r="ROM2" s="213"/>
      <c r="RON2" s="210"/>
      <c r="ROX2" s="212"/>
      <c r="ROZ2" s="213"/>
      <c r="RPA2" s="210"/>
      <c r="RPK2" s="212"/>
      <c r="RPM2" s="213"/>
      <c r="RPN2" s="210"/>
      <c r="RPX2" s="212"/>
      <c r="RPZ2" s="213"/>
      <c r="RQA2" s="210"/>
      <c r="RQK2" s="212"/>
      <c r="RQM2" s="213"/>
      <c r="RQN2" s="210"/>
      <c r="RQX2" s="212"/>
      <c r="RQZ2" s="213"/>
      <c r="RRA2" s="210"/>
      <c r="RRK2" s="212"/>
      <c r="RRM2" s="213"/>
      <c r="RRN2" s="210"/>
      <c r="RRX2" s="212"/>
      <c r="RRZ2" s="213"/>
      <c r="RSA2" s="210"/>
      <c r="RSK2" s="212"/>
      <c r="RSM2" s="213"/>
      <c r="RSN2" s="210"/>
      <c r="RSX2" s="212"/>
      <c r="RSZ2" s="213"/>
      <c r="RTA2" s="210"/>
      <c r="RTK2" s="212"/>
      <c r="RTM2" s="213"/>
      <c r="RTN2" s="210"/>
      <c r="RTX2" s="212"/>
      <c r="RTZ2" s="213"/>
      <c r="RUA2" s="210"/>
      <c r="RUK2" s="212"/>
      <c r="RUM2" s="213"/>
      <c r="RUN2" s="210"/>
      <c r="RUX2" s="212"/>
      <c r="RUZ2" s="213"/>
      <c r="RVA2" s="210"/>
      <c r="RVK2" s="212"/>
      <c r="RVM2" s="213"/>
      <c r="RVN2" s="210"/>
      <c r="RVX2" s="212"/>
      <c r="RVZ2" s="213"/>
      <c r="RWA2" s="210"/>
      <c r="RWK2" s="212"/>
      <c r="RWM2" s="213"/>
      <c r="RWN2" s="210"/>
      <c r="RWX2" s="212"/>
      <c r="RWZ2" s="213"/>
      <c r="RXA2" s="210"/>
      <c r="RXK2" s="212"/>
      <c r="RXM2" s="213"/>
      <c r="RXN2" s="210"/>
      <c r="RXX2" s="212"/>
      <c r="RXZ2" s="213"/>
      <c r="RYA2" s="210"/>
      <c r="RYK2" s="212"/>
      <c r="RYM2" s="213"/>
      <c r="RYN2" s="210"/>
      <c r="RYX2" s="212"/>
      <c r="RYZ2" s="213"/>
      <c r="RZA2" s="210"/>
      <c r="RZK2" s="212"/>
      <c r="RZM2" s="213"/>
      <c r="RZN2" s="210"/>
      <c r="RZX2" s="212"/>
      <c r="RZZ2" s="213"/>
      <c r="SAA2" s="210"/>
      <c r="SAK2" s="212"/>
      <c r="SAM2" s="213"/>
      <c r="SAN2" s="210"/>
      <c r="SAX2" s="212"/>
      <c r="SAZ2" s="213"/>
      <c r="SBA2" s="210"/>
      <c r="SBK2" s="212"/>
      <c r="SBM2" s="213"/>
      <c r="SBN2" s="210"/>
      <c r="SBX2" s="212"/>
      <c r="SBZ2" s="213"/>
      <c r="SCA2" s="210"/>
      <c r="SCK2" s="212"/>
      <c r="SCM2" s="213"/>
      <c r="SCN2" s="210"/>
      <c r="SCX2" s="212"/>
      <c r="SCZ2" s="213"/>
      <c r="SDA2" s="210"/>
      <c r="SDK2" s="212"/>
      <c r="SDM2" s="213"/>
      <c r="SDN2" s="210"/>
      <c r="SDX2" s="212"/>
      <c r="SDZ2" s="213"/>
      <c r="SEA2" s="210"/>
      <c r="SEK2" s="212"/>
      <c r="SEM2" s="213"/>
      <c r="SEN2" s="210"/>
      <c r="SEX2" s="212"/>
      <c r="SEZ2" s="213"/>
      <c r="SFA2" s="210"/>
      <c r="SFK2" s="212"/>
      <c r="SFM2" s="213"/>
      <c r="SFN2" s="210"/>
      <c r="SFX2" s="212"/>
      <c r="SFZ2" s="213"/>
      <c r="SGA2" s="210"/>
      <c r="SGK2" s="212"/>
      <c r="SGM2" s="213"/>
      <c r="SGN2" s="210"/>
      <c r="SGX2" s="212"/>
      <c r="SGZ2" s="213"/>
      <c r="SHA2" s="210"/>
      <c r="SHK2" s="212"/>
      <c r="SHM2" s="213"/>
      <c r="SHN2" s="210"/>
      <c r="SHX2" s="212"/>
      <c r="SHZ2" s="213"/>
      <c r="SIA2" s="210"/>
      <c r="SIK2" s="212"/>
      <c r="SIM2" s="213"/>
      <c r="SIN2" s="210"/>
      <c r="SIX2" s="212"/>
      <c r="SIZ2" s="213"/>
      <c r="SJA2" s="210"/>
      <c r="SJK2" s="212"/>
      <c r="SJM2" s="213"/>
      <c r="SJN2" s="210"/>
      <c r="SJX2" s="212"/>
      <c r="SJZ2" s="213"/>
      <c r="SKA2" s="210"/>
      <c r="SKK2" s="212"/>
      <c r="SKM2" s="213"/>
      <c r="SKN2" s="210"/>
      <c r="SKX2" s="212"/>
      <c r="SKZ2" s="213"/>
      <c r="SLA2" s="210"/>
      <c r="SLK2" s="212"/>
      <c r="SLM2" s="213"/>
      <c r="SLN2" s="210"/>
      <c r="SLX2" s="212"/>
      <c r="SLZ2" s="213"/>
      <c r="SMA2" s="210"/>
      <c r="SMK2" s="212"/>
      <c r="SMM2" s="213"/>
      <c r="SMN2" s="210"/>
      <c r="SMX2" s="212"/>
      <c r="SMZ2" s="213"/>
      <c r="SNA2" s="210"/>
      <c r="SNK2" s="212"/>
      <c r="SNM2" s="213"/>
      <c r="SNN2" s="210"/>
      <c r="SNX2" s="212"/>
      <c r="SNZ2" s="213"/>
      <c r="SOA2" s="210"/>
      <c r="SOK2" s="212"/>
      <c r="SOM2" s="213"/>
      <c r="SON2" s="210"/>
      <c r="SOX2" s="212"/>
      <c r="SOZ2" s="213"/>
      <c r="SPA2" s="210"/>
      <c r="SPK2" s="212"/>
      <c r="SPM2" s="213"/>
      <c r="SPN2" s="210"/>
      <c r="SPX2" s="212"/>
      <c r="SPZ2" s="213"/>
      <c r="SQA2" s="210"/>
      <c r="SQK2" s="212"/>
      <c r="SQM2" s="213"/>
      <c r="SQN2" s="210"/>
      <c r="SQX2" s="212"/>
      <c r="SQZ2" s="213"/>
      <c r="SRA2" s="210"/>
      <c r="SRK2" s="212"/>
      <c r="SRM2" s="213"/>
      <c r="SRN2" s="210"/>
      <c r="SRX2" s="212"/>
      <c r="SRZ2" s="213"/>
      <c r="SSA2" s="210"/>
      <c r="SSK2" s="212"/>
      <c r="SSM2" s="213"/>
      <c r="SSN2" s="210"/>
      <c r="SSX2" s="212"/>
      <c r="SSZ2" s="213"/>
      <c r="STA2" s="210"/>
      <c r="STK2" s="212"/>
      <c r="STM2" s="213"/>
      <c r="STN2" s="210"/>
      <c r="STX2" s="212"/>
      <c r="STZ2" s="213"/>
      <c r="SUA2" s="210"/>
      <c r="SUK2" s="212"/>
      <c r="SUM2" s="213"/>
      <c r="SUN2" s="210"/>
      <c r="SUX2" s="212"/>
      <c r="SUZ2" s="213"/>
      <c r="SVA2" s="210"/>
      <c r="SVK2" s="212"/>
      <c r="SVM2" s="213"/>
      <c r="SVN2" s="210"/>
      <c r="SVX2" s="212"/>
      <c r="SVZ2" s="213"/>
      <c r="SWA2" s="210"/>
      <c r="SWK2" s="212"/>
      <c r="SWM2" s="213"/>
      <c r="SWN2" s="210"/>
      <c r="SWX2" s="212"/>
      <c r="SWZ2" s="213"/>
      <c r="SXA2" s="210"/>
      <c r="SXK2" s="212"/>
      <c r="SXM2" s="213"/>
      <c r="SXN2" s="210"/>
      <c r="SXX2" s="212"/>
      <c r="SXZ2" s="213"/>
      <c r="SYA2" s="210"/>
      <c r="SYK2" s="212"/>
      <c r="SYM2" s="213"/>
      <c r="SYN2" s="210"/>
      <c r="SYX2" s="212"/>
      <c r="SYZ2" s="213"/>
      <c r="SZA2" s="210"/>
      <c r="SZK2" s="212"/>
      <c r="SZM2" s="213"/>
      <c r="SZN2" s="210"/>
      <c r="SZX2" s="212"/>
      <c r="SZZ2" s="213"/>
      <c r="TAA2" s="210"/>
      <c r="TAK2" s="212"/>
      <c r="TAM2" s="213"/>
      <c r="TAN2" s="210"/>
      <c r="TAX2" s="212"/>
      <c r="TAZ2" s="213"/>
      <c r="TBA2" s="210"/>
      <c r="TBK2" s="212"/>
      <c r="TBM2" s="213"/>
      <c r="TBN2" s="210"/>
      <c r="TBX2" s="212"/>
      <c r="TBZ2" s="213"/>
      <c r="TCA2" s="210"/>
      <c r="TCK2" s="212"/>
      <c r="TCM2" s="213"/>
      <c r="TCN2" s="210"/>
      <c r="TCX2" s="212"/>
      <c r="TCZ2" s="213"/>
      <c r="TDA2" s="210"/>
      <c r="TDK2" s="212"/>
      <c r="TDM2" s="213"/>
      <c r="TDN2" s="210"/>
      <c r="TDX2" s="212"/>
      <c r="TDZ2" s="213"/>
      <c r="TEA2" s="210"/>
      <c r="TEK2" s="212"/>
      <c r="TEM2" s="213"/>
      <c r="TEN2" s="210"/>
      <c r="TEX2" s="212"/>
      <c r="TEZ2" s="213"/>
      <c r="TFA2" s="210"/>
      <c r="TFK2" s="212"/>
      <c r="TFM2" s="213"/>
      <c r="TFN2" s="210"/>
      <c r="TFX2" s="212"/>
      <c r="TFZ2" s="213"/>
      <c r="TGA2" s="210"/>
      <c r="TGK2" s="212"/>
      <c r="TGM2" s="213"/>
      <c r="TGN2" s="210"/>
      <c r="TGX2" s="212"/>
      <c r="TGZ2" s="213"/>
      <c r="THA2" s="210"/>
      <c r="THK2" s="212"/>
      <c r="THM2" s="213"/>
      <c r="THN2" s="210"/>
      <c r="THX2" s="212"/>
      <c r="THZ2" s="213"/>
      <c r="TIA2" s="210"/>
      <c r="TIK2" s="212"/>
      <c r="TIM2" s="213"/>
      <c r="TIN2" s="210"/>
      <c r="TIX2" s="212"/>
      <c r="TIZ2" s="213"/>
      <c r="TJA2" s="210"/>
      <c r="TJK2" s="212"/>
      <c r="TJM2" s="213"/>
      <c r="TJN2" s="210"/>
      <c r="TJX2" s="212"/>
      <c r="TJZ2" s="213"/>
      <c r="TKA2" s="210"/>
      <c r="TKK2" s="212"/>
      <c r="TKM2" s="213"/>
      <c r="TKN2" s="210"/>
      <c r="TKX2" s="212"/>
      <c r="TKZ2" s="213"/>
      <c r="TLA2" s="210"/>
      <c r="TLK2" s="212"/>
      <c r="TLM2" s="213"/>
      <c r="TLN2" s="210"/>
      <c r="TLX2" s="212"/>
      <c r="TLZ2" s="213"/>
      <c r="TMA2" s="210"/>
      <c r="TMK2" s="212"/>
      <c r="TMM2" s="213"/>
      <c r="TMN2" s="210"/>
      <c r="TMX2" s="212"/>
      <c r="TMZ2" s="213"/>
      <c r="TNA2" s="210"/>
      <c r="TNK2" s="212"/>
      <c r="TNM2" s="213"/>
      <c r="TNN2" s="210"/>
      <c r="TNX2" s="212"/>
      <c r="TNZ2" s="213"/>
      <c r="TOA2" s="210"/>
      <c r="TOK2" s="212"/>
      <c r="TOM2" s="213"/>
      <c r="TON2" s="210"/>
      <c r="TOX2" s="212"/>
      <c r="TOZ2" s="213"/>
      <c r="TPA2" s="210"/>
      <c r="TPK2" s="212"/>
      <c r="TPM2" s="213"/>
      <c r="TPN2" s="210"/>
      <c r="TPX2" s="212"/>
      <c r="TPZ2" s="213"/>
      <c r="TQA2" s="210"/>
      <c r="TQK2" s="212"/>
      <c r="TQM2" s="213"/>
      <c r="TQN2" s="210"/>
      <c r="TQX2" s="212"/>
      <c r="TQZ2" s="213"/>
      <c r="TRA2" s="210"/>
      <c r="TRK2" s="212"/>
      <c r="TRM2" s="213"/>
      <c r="TRN2" s="210"/>
      <c r="TRX2" s="212"/>
      <c r="TRZ2" s="213"/>
      <c r="TSA2" s="210"/>
      <c r="TSK2" s="212"/>
      <c r="TSM2" s="213"/>
      <c r="TSN2" s="210"/>
      <c r="TSX2" s="212"/>
      <c r="TSZ2" s="213"/>
      <c r="TTA2" s="210"/>
      <c r="TTK2" s="212"/>
      <c r="TTM2" s="213"/>
      <c r="TTN2" s="210"/>
      <c r="TTX2" s="212"/>
      <c r="TTZ2" s="213"/>
      <c r="TUA2" s="210"/>
      <c r="TUK2" s="212"/>
      <c r="TUM2" s="213"/>
      <c r="TUN2" s="210"/>
      <c r="TUX2" s="212"/>
      <c r="TUZ2" s="213"/>
      <c r="TVA2" s="210"/>
      <c r="TVK2" s="212"/>
      <c r="TVM2" s="213"/>
      <c r="TVN2" s="210"/>
      <c r="TVX2" s="212"/>
      <c r="TVZ2" s="213"/>
      <c r="TWA2" s="210"/>
      <c r="TWK2" s="212"/>
      <c r="TWM2" s="213"/>
      <c r="TWN2" s="210"/>
      <c r="TWX2" s="212"/>
      <c r="TWZ2" s="213"/>
      <c r="TXA2" s="210"/>
      <c r="TXK2" s="212"/>
      <c r="TXM2" s="213"/>
      <c r="TXN2" s="210"/>
      <c r="TXX2" s="212"/>
      <c r="TXZ2" s="213"/>
      <c r="TYA2" s="210"/>
      <c r="TYK2" s="212"/>
      <c r="TYM2" s="213"/>
      <c r="TYN2" s="210"/>
      <c r="TYX2" s="212"/>
      <c r="TYZ2" s="213"/>
      <c r="TZA2" s="210"/>
      <c r="TZK2" s="212"/>
      <c r="TZM2" s="213"/>
      <c r="TZN2" s="210"/>
      <c r="TZX2" s="212"/>
      <c r="TZZ2" s="213"/>
      <c r="UAA2" s="210"/>
      <c r="UAK2" s="212"/>
      <c r="UAM2" s="213"/>
      <c r="UAN2" s="210"/>
      <c r="UAX2" s="212"/>
      <c r="UAZ2" s="213"/>
      <c r="UBA2" s="210"/>
      <c r="UBK2" s="212"/>
      <c r="UBM2" s="213"/>
      <c r="UBN2" s="210"/>
      <c r="UBX2" s="212"/>
      <c r="UBZ2" s="213"/>
      <c r="UCA2" s="210"/>
      <c r="UCK2" s="212"/>
      <c r="UCM2" s="213"/>
      <c r="UCN2" s="210"/>
      <c r="UCX2" s="212"/>
      <c r="UCZ2" s="213"/>
      <c r="UDA2" s="210"/>
      <c r="UDK2" s="212"/>
      <c r="UDM2" s="213"/>
      <c r="UDN2" s="210"/>
      <c r="UDX2" s="212"/>
      <c r="UDZ2" s="213"/>
      <c r="UEA2" s="210"/>
      <c r="UEK2" s="212"/>
      <c r="UEM2" s="213"/>
      <c r="UEN2" s="210"/>
      <c r="UEX2" s="212"/>
      <c r="UEZ2" s="213"/>
      <c r="UFA2" s="210"/>
      <c r="UFK2" s="212"/>
      <c r="UFM2" s="213"/>
      <c r="UFN2" s="210"/>
      <c r="UFX2" s="212"/>
      <c r="UFZ2" s="213"/>
      <c r="UGA2" s="210"/>
      <c r="UGK2" s="212"/>
      <c r="UGM2" s="213"/>
      <c r="UGN2" s="210"/>
      <c r="UGX2" s="212"/>
      <c r="UGZ2" s="213"/>
      <c r="UHA2" s="210"/>
      <c r="UHK2" s="212"/>
      <c r="UHM2" s="213"/>
      <c r="UHN2" s="210"/>
      <c r="UHX2" s="212"/>
      <c r="UHZ2" s="213"/>
      <c r="UIA2" s="210"/>
      <c r="UIK2" s="212"/>
      <c r="UIM2" s="213"/>
      <c r="UIN2" s="210"/>
      <c r="UIX2" s="212"/>
      <c r="UIZ2" s="213"/>
      <c r="UJA2" s="210"/>
      <c r="UJK2" s="212"/>
      <c r="UJM2" s="213"/>
      <c r="UJN2" s="210"/>
      <c r="UJX2" s="212"/>
      <c r="UJZ2" s="213"/>
      <c r="UKA2" s="210"/>
      <c r="UKK2" s="212"/>
      <c r="UKM2" s="213"/>
      <c r="UKN2" s="210"/>
      <c r="UKX2" s="212"/>
      <c r="UKZ2" s="213"/>
      <c r="ULA2" s="210"/>
      <c r="ULK2" s="212"/>
      <c r="ULM2" s="213"/>
      <c r="ULN2" s="210"/>
      <c r="ULX2" s="212"/>
      <c r="ULZ2" s="213"/>
      <c r="UMA2" s="210"/>
      <c r="UMK2" s="212"/>
      <c r="UMM2" s="213"/>
      <c r="UMN2" s="210"/>
      <c r="UMX2" s="212"/>
      <c r="UMZ2" s="213"/>
      <c r="UNA2" s="210"/>
      <c r="UNK2" s="212"/>
      <c r="UNM2" s="213"/>
      <c r="UNN2" s="210"/>
      <c r="UNX2" s="212"/>
      <c r="UNZ2" s="213"/>
      <c r="UOA2" s="210"/>
      <c r="UOK2" s="212"/>
      <c r="UOM2" s="213"/>
      <c r="UON2" s="210"/>
      <c r="UOX2" s="212"/>
      <c r="UOZ2" s="213"/>
      <c r="UPA2" s="210"/>
      <c r="UPK2" s="212"/>
      <c r="UPM2" s="213"/>
      <c r="UPN2" s="210"/>
      <c r="UPX2" s="212"/>
      <c r="UPZ2" s="213"/>
      <c r="UQA2" s="210"/>
      <c r="UQK2" s="212"/>
      <c r="UQM2" s="213"/>
      <c r="UQN2" s="210"/>
      <c r="UQX2" s="212"/>
      <c r="UQZ2" s="213"/>
      <c r="URA2" s="210"/>
      <c r="URK2" s="212"/>
      <c r="URM2" s="213"/>
      <c r="URN2" s="210"/>
      <c r="URX2" s="212"/>
      <c r="URZ2" s="213"/>
      <c r="USA2" s="210"/>
      <c r="USK2" s="212"/>
      <c r="USM2" s="213"/>
      <c r="USN2" s="210"/>
      <c r="USX2" s="212"/>
      <c r="USZ2" s="213"/>
      <c r="UTA2" s="210"/>
      <c r="UTK2" s="212"/>
      <c r="UTM2" s="213"/>
      <c r="UTN2" s="210"/>
      <c r="UTX2" s="212"/>
      <c r="UTZ2" s="213"/>
      <c r="UUA2" s="210"/>
      <c r="UUK2" s="212"/>
      <c r="UUM2" s="213"/>
      <c r="UUN2" s="210"/>
      <c r="UUX2" s="212"/>
      <c r="UUZ2" s="213"/>
      <c r="UVA2" s="210"/>
      <c r="UVK2" s="212"/>
      <c r="UVM2" s="213"/>
      <c r="UVN2" s="210"/>
      <c r="UVX2" s="212"/>
      <c r="UVZ2" s="213"/>
      <c r="UWA2" s="210"/>
      <c r="UWK2" s="212"/>
      <c r="UWM2" s="213"/>
      <c r="UWN2" s="210"/>
      <c r="UWX2" s="212"/>
      <c r="UWZ2" s="213"/>
      <c r="UXA2" s="210"/>
      <c r="UXK2" s="212"/>
      <c r="UXM2" s="213"/>
      <c r="UXN2" s="210"/>
      <c r="UXX2" s="212"/>
      <c r="UXZ2" s="213"/>
      <c r="UYA2" s="210"/>
      <c r="UYK2" s="212"/>
      <c r="UYM2" s="213"/>
      <c r="UYN2" s="210"/>
      <c r="UYX2" s="212"/>
      <c r="UYZ2" s="213"/>
      <c r="UZA2" s="210"/>
      <c r="UZK2" s="212"/>
      <c r="UZM2" s="213"/>
      <c r="UZN2" s="210"/>
      <c r="UZX2" s="212"/>
      <c r="UZZ2" s="213"/>
      <c r="VAA2" s="210"/>
      <c r="VAK2" s="212"/>
      <c r="VAM2" s="213"/>
      <c r="VAN2" s="210"/>
      <c r="VAX2" s="212"/>
      <c r="VAZ2" s="213"/>
      <c r="VBA2" s="210"/>
      <c r="VBK2" s="212"/>
      <c r="VBM2" s="213"/>
      <c r="VBN2" s="210"/>
      <c r="VBX2" s="212"/>
      <c r="VBZ2" s="213"/>
      <c r="VCA2" s="210"/>
      <c r="VCK2" s="212"/>
      <c r="VCM2" s="213"/>
      <c r="VCN2" s="210"/>
      <c r="VCX2" s="212"/>
      <c r="VCZ2" s="213"/>
      <c r="VDA2" s="210"/>
      <c r="VDK2" s="212"/>
      <c r="VDM2" s="213"/>
      <c r="VDN2" s="210"/>
      <c r="VDX2" s="212"/>
      <c r="VDZ2" s="213"/>
      <c r="VEA2" s="210"/>
      <c r="VEK2" s="212"/>
      <c r="VEM2" s="213"/>
      <c r="VEN2" s="210"/>
      <c r="VEX2" s="212"/>
      <c r="VEZ2" s="213"/>
      <c r="VFA2" s="210"/>
      <c r="VFK2" s="212"/>
      <c r="VFM2" s="213"/>
      <c r="VFN2" s="210"/>
      <c r="VFX2" s="212"/>
      <c r="VFZ2" s="213"/>
      <c r="VGA2" s="210"/>
      <c r="VGK2" s="212"/>
      <c r="VGM2" s="213"/>
      <c r="VGN2" s="210"/>
      <c r="VGX2" s="212"/>
      <c r="VGZ2" s="213"/>
      <c r="VHA2" s="210"/>
      <c r="VHK2" s="212"/>
      <c r="VHM2" s="213"/>
      <c r="VHN2" s="210"/>
      <c r="VHX2" s="212"/>
      <c r="VHZ2" s="213"/>
      <c r="VIA2" s="210"/>
      <c r="VIK2" s="212"/>
      <c r="VIM2" s="213"/>
      <c r="VIN2" s="210"/>
      <c r="VIX2" s="212"/>
      <c r="VIZ2" s="213"/>
      <c r="VJA2" s="210"/>
      <c r="VJK2" s="212"/>
      <c r="VJM2" s="213"/>
      <c r="VJN2" s="210"/>
      <c r="VJX2" s="212"/>
      <c r="VJZ2" s="213"/>
      <c r="VKA2" s="210"/>
      <c r="VKK2" s="212"/>
      <c r="VKM2" s="213"/>
      <c r="VKN2" s="210"/>
      <c r="VKX2" s="212"/>
      <c r="VKZ2" s="213"/>
      <c r="VLA2" s="210"/>
      <c r="VLK2" s="212"/>
      <c r="VLM2" s="213"/>
      <c r="VLN2" s="210"/>
      <c r="VLX2" s="212"/>
      <c r="VLZ2" s="213"/>
      <c r="VMA2" s="210"/>
      <c r="VMK2" s="212"/>
      <c r="VMM2" s="213"/>
      <c r="VMN2" s="210"/>
      <c r="VMX2" s="212"/>
      <c r="VMZ2" s="213"/>
      <c r="VNA2" s="210"/>
      <c r="VNK2" s="212"/>
      <c r="VNM2" s="213"/>
      <c r="VNN2" s="210"/>
      <c r="VNX2" s="212"/>
      <c r="VNZ2" s="213"/>
      <c r="VOA2" s="210"/>
      <c r="VOK2" s="212"/>
      <c r="VOM2" s="213"/>
      <c r="VON2" s="210"/>
      <c r="VOX2" s="212"/>
      <c r="VOZ2" s="213"/>
      <c r="VPA2" s="210"/>
      <c r="VPK2" s="212"/>
      <c r="VPM2" s="213"/>
      <c r="VPN2" s="210"/>
      <c r="VPX2" s="212"/>
      <c r="VPZ2" s="213"/>
      <c r="VQA2" s="210"/>
      <c r="VQK2" s="212"/>
      <c r="VQM2" s="213"/>
      <c r="VQN2" s="210"/>
      <c r="VQX2" s="212"/>
      <c r="VQZ2" s="213"/>
      <c r="VRA2" s="210"/>
      <c r="VRK2" s="212"/>
      <c r="VRM2" s="213"/>
      <c r="VRN2" s="210"/>
      <c r="VRX2" s="212"/>
      <c r="VRZ2" s="213"/>
      <c r="VSA2" s="210"/>
      <c r="VSK2" s="212"/>
      <c r="VSM2" s="213"/>
      <c r="VSN2" s="210"/>
      <c r="VSX2" s="212"/>
      <c r="VSZ2" s="213"/>
      <c r="VTA2" s="210"/>
      <c r="VTK2" s="212"/>
      <c r="VTM2" s="213"/>
      <c r="VTN2" s="210"/>
      <c r="VTX2" s="212"/>
      <c r="VTZ2" s="213"/>
      <c r="VUA2" s="210"/>
      <c r="VUK2" s="212"/>
      <c r="VUM2" s="213"/>
      <c r="VUN2" s="210"/>
      <c r="VUX2" s="212"/>
      <c r="VUZ2" s="213"/>
      <c r="VVA2" s="210"/>
      <c r="VVK2" s="212"/>
      <c r="VVM2" s="213"/>
      <c r="VVN2" s="210"/>
      <c r="VVX2" s="212"/>
      <c r="VVZ2" s="213"/>
      <c r="VWA2" s="210"/>
      <c r="VWK2" s="212"/>
      <c r="VWM2" s="213"/>
      <c r="VWN2" s="210"/>
      <c r="VWX2" s="212"/>
      <c r="VWZ2" s="213"/>
      <c r="VXA2" s="210"/>
      <c r="VXK2" s="212"/>
      <c r="VXM2" s="213"/>
      <c r="VXN2" s="210"/>
      <c r="VXX2" s="212"/>
      <c r="VXZ2" s="213"/>
      <c r="VYA2" s="210"/>
      <c r="VYK2" s="212"/>
      <c r="VYM2" s="213"/>
      <c r="VYN2" s="210"/>
      <c r="VYX2" s="212"/>
      <c r="VYZ2" s="213"/>
      <c r="VZA2" s="210"/>
      <c r="VZK2" s="212"/>
      <c r="VZM2" s="213"/>
      <c r="VZN2" s="210"/>
      <c r="VZX2" s="212"/>
      <c r="VZZ2" s="213"/>
      <c r="WAA2" s="210"/>
      <c r="WAK2" s="212"/>
      <c r="WAM2" s="213"/>
      <c r="WAN2" s="210"/>
      <c r="WAX2" s="212"/>
      <c r="WAZ2" s="213"/>
      <c r="WBA2" s="210"/>
      <c r="WBK2" s="212"/>
      <c r="WBM2" s="213"/>
      <c r="WBN2" s="210"/>
      <c r="WBX2" s="212"/>
      <c r="WBZ2" s="213"/>
      <c r="WCA2" s="210"/>
      <c r="WCK2" s="212"/>
      <c r="WCM2" s="213"/>
      <c r="WCN2" s="210"/>
      <c r="WCX2" s="212"/>
      <c r="WCZ2" s="213"/>
      <c r="WDA2" s="210"/>
      <c r="WDK2" s="212"/>
      <c r="WDM2" s="213"/>
      <c r="WDN2" s="210"/>
      <c r="WDX2" s="212"/>
      <c r="WDZ2" s="213"/>
      <c r="WEA2" s="210"/>
      <c r="WEK2" s="212"/>
      <c r="WEM2" s="213"/>
      <c r="WEN2" s="210"/>
      <c r="WEX2" s="212"/>
      <c r="WEZ2" s="213"/>
      <c r="WFA2" s="210"/>
      <c r="WFK2" s="212"/>
      <c r="WFM2" s="213"/>
      <c r="WFN2" s="210"/>
      <c r="WFX2" s="212"/>
      <c r="WFZ2" s="213"/>
      <c r="WGA2" s="210"/>
      <c r="WGK2" s="212"/>
      <c r="WGM2" s="213"/>
      <c r="WGN2" s="210"/>
      <c r="WGX2" s="212"/>
      <c r="WGZ2" s="213"/>
      <c r="WHA2" s="210"/>
      <c r="WHK2" s="212"/>
      <c r="WHM2" s="213"/>
      <c r="WHN2" s="210"/>
      <c r="WHX2" s="212"/>
      <c r="WHZ2" s="213"/>
      <c r="WIA2" s="210"/>
      <c r="WIK2" s="212"/>
      <c r="WIM2" s="213"/>
      <c r="WIN2" s="210"/>
      <c r="WIX2" s="212"/>
      <c r="WIZ2" s="213"/>
      <c r="WJA2" s="210"/>
      <c r="WJK2" s="212"/>
      <c r="WJM2" s="213"/>
      <c r="WJN2" s="210"/>
      <c r="WJX2" s="212"/>
      <c r="WJZ2" s="213"/>
      <c r="WKA2" s="210"/>
      <c r="WKK2" s="212"/>
      <c r="WKM2" s="213"/>
      <c r="WKN2" s="210"/>
      <c r="WKX2" s="212"/>
      <c r="WKZ2" s="213"/>
      <c r="WLA2" s="210"/>
      <c r="WLK2" s="212"/>
      <c r="WLM2" s="213"/>
      <c r="WLN2" s="210"/>
      <c r="WLX2" s="212"/>
      <c r="WLZ2" s="213"/>
      <c r="WMA2" s="210"/>
      <c r="WMK2" s="212"/>
      <c r="WMM2" s="213"/>
      <c r="WMN2" s="210"/>
      <c r="WMX2" s="212"/>
      <c r="WMZ2" s="213"/>
      <c r="WNA2" s="210"/>
      <c r="WNK2" s="212"/>
      <c r="WNM2" s="213"/>
      <c r="WNN2" s="210"/>
      <c r="WNX2" s="212"/>
      <c r="WNZ2" s="213"/>
      <c r="WOA2" s="210"/>
      <c r="WOK2" s="212"/>
      <c r="WOM2" s="213"/>
      <c r="WON2" s="210"/>
      <c r="WOX2" s="212"/>
      <c r="WOZ2" s="213"/>
      <c r="WPA2" s="210"/>
      <c r="WPK2" s="212"/>
      <c r="WPM2" s="213"/>
      <c r="WPN2" s="210"/>
      <c r="WPX2" s="212"/>
      <c r="WPZ2" s="213"/>
      <c r="WQA2" s="210"/>
      <c r="WQK2" s="212"/>
      <c r="WQM2" s="213"/>
      <c r="WQN2" s="210"/>
      <c r="WQX2" s="212"/>
      <c r="WQZ2" s="213"/>
      <c r="WRA2" s="210"/>
      <c r="WRK2" s="212"/>
      <c r="WRM2" s="213"/>
      <c r="WRN2" s="210"/>
      <c r="WRX2" s="212"/>
      <c r="WRZ2" s="213"/>
      <c r="WSA2" s="210"/>
      <c r="WSK2" s="212"/>
      <c r="WSM2" s="213"/>
      <c r="WSN2" s="210"/>
      <c r="WSX2" s="212"/>
      <c r="WSZ2" s="213"/>
      <c r="WTA2" s="210"/>
      <c r="WTK2" s="212"/>
      <c r="WTM2" s="213"/>
      <c r="WTN2" s="210"/>
      <c r="WTX2" s="212"/>
      <c r="WTZ2" s="213"/>
      <c r="WUA2" s="210"/>
      <c r="WUK2" s="212"/>
      <c r="WUM2" s="213"/>
      <c r="WUN2" s="210"/>
      <c r="WUX2" s="212"/>
      <c r="WUZ2" s="213"/>
      <c r="WVA2" s="210"/>
      <c r="WVK2" s="212"/>
      <c r="WVM2" s="213"/>
      <c r="WVN2" s="210"/>
      <c r="WVX2" s="212"/>
      <c r="WVZ2" s="213"/>
      <c r="WWA2" s="210"/>
      <c r="WWK2" s="212"/>
      <c r="WWM2" s="213"/>
      <c r="WWN2" s="210"/>
      <c r="WWX2" s="212"/>
      <c r="WWZ2" s="213"/>
      <c r="WXA2" s="210"/>
      <c r="WXK2" s="212"/>
      <c r="WXM2" s="213"/>
      <c r="WXN2" s="210"/>
      <c r="WXX2" s="212"/>
      <c r="WXZ2" s="213"/>
      <c r="WYA2" s="210"/>
      <c r="WYK2" s="212"/>
      <c r="WYM2" s="213"/>
      <c r="WYN2" s="210"/>
      <c r="WYX2" s="212"/>
      <c r="WYZ2" s="213"/>
      <c r="WZA2" s="210"/>
      <c r="WZK2" s="212"/>
      <c r="WZM2" s="213"/>
      <c r="WZN2" s="210"/>
      <c r="WZX2" s="212"/>
      <c r="WZZ2" s="213"/>
      <c r="XAA2" s="210"/>
      <c r="XAK2" s="212"/>
      <c r="XAM2" s="213"/>
      <c r="XAN2" s="210"/>
      <c r="XAX2" s="212"/>
      <c r="XAZ2" s="213"/>
      <c r="XBA2" s="210"/>
      <c r="XBK2" s="212"/>
      <c r="XBM2" s="213"/>
      <c r="XBN2" s="210"/>
      <c r="XBX2" s="212"/>
      <c r="XBZ2" s="213"/>
      <c r="XCA2" s="210"/>
      <c r="XCK2" s="212"/>
      <c r="XCM2" s="213"/>
      <c r="XCN2" s="210"/>
      <c r="XCX2" s="212"/>
      <c r="XCZ2" s="213"/>
      <c r="XDA2" s="210"/>
      <c r="XDK2" s="212"/>
      <c r="XDM2" s="213"/>
      <c r="XDN2" s="210"/>
      <c r="XDX2" s="212"/>
      <c r="XDZ2" s="213"/>
      <c r="XEA2" s="210"/>
      <c r="XEK2" s="212"/>
      <c r="XEM2" s="213"/>
      <c r="XEN2" s="210"/>
      <c r="XEX2" s="212"/>
      <c r="XEZ2" s="213"/>
      <c r="XFA2" s="210"/>
    </row>
    <row r="3" spans="1:1015 1025:2042 2052:3069 3079:4096 4106:5120 5122:6137 6147:7164 7174:8191 8201:9215 9217:10232 10242:11259 11269:12286 12296:14327 14337:15354 15364:16381" ht="30">
      <c r="A3" s="215">
        <v>2</v>
      </c>
      <c r="B3" s="215" t="s">
        <v>6932</v>
      </c>
      <c r="C3" s="215" t="s">
        <v>6933</v>
      </c>
      <c r="D3" s="215">
        <v>8</v>
      </c>
      <c r="E3" s="215">
        <v>1</v>
      </c>
      <c r="F3" s="215" t="s">
        <v>6934</v>
      </c>
      <c r="H3" s="215"/>
      <c r="I3" s="215" t="s">
        <v>6935</v>
      </c>
      <c r="J3" s="215" t="s">
        <v>4544</v>
      </c>
      <c r="L3" s="215"/>
      <c r="S3" s="209"/>
    </row>
    <row r="4" spans="1:1015 1025:2042 2052:3069 3079:4096 4106:5120 5122:6137 6147:7164 7174:8191 8201:9215 9217:10232 10242:11259 11269:12286 12296:14327 14337:15354 15364:16381" ht="30">
      <c r="A4" s="215">
        <v>3</v>
      </c>
      <c r="B4" s="215">
        <v>1</v>
      </c>
      <c r="C4" s="215" t="s">
        <v>6936</v>
      </c>
      <c r="D4" s="215">
        <v>8</v>
      </c>
      <c r="E4" s="215">
        <v>5</v>
      </c>
      <c r="F4" s="215" t="s">
        <v>6937</v>
      </c>
      <c r="H4" s="215"/>
      <c r="I4" s="215" t="s">
        <v>6938</v>
      </c>
      <c r="J4" s="215" t="s">
        <v>4544</v>
      </c>
      <c r="L4" s="215"/>
      <c r="S4" s="209"/>
    </row>
    <row r="5" spans="1:1015 1025:2042 2052:3069 3079:4096 4106:5120 5122:6137 6147:7164 7174:8191 8201:9215 9217:10232 10242:11259 11269:12286 12296:14327 14337:15354 15364:16381" ht="30">
      <c r="A5" s="215">
        <v>4</v>
      </c>
      <c r="B5" s="215" t="s">
        <v>6939</v>
      </c>
      <c r="C5" s="215" t="s">
        <v>6937</v>
      </c>
      <c r="D5" s="215">
        <v>8</v>
      </c>
      <c r="E5" s="215">
        <v>5</v>
      </c>
      <c r="F5" s="215" t="s">
        <v>6937</v>
      </c>
      <c r="H5" s="215"/>
      <c r="I5" s="215" t="s">
        <v>6940</v>
      </c>
      <c r="J5" s="215" t="s">
        <v>4544</v>
      </c>
      <c r="L5" s="215"/>
      <c r="S5" s="209"/>
    </row>
    <row r="6" spans="1:1015 1025:2042 2052:3069 3079:4096 4106:5120 5122:6137 6147:7164 7174:8191 8201:9215 9217:10232 10242:11259 11269:12286 12296:14327 14337:15354 15364:16381" ht="30">
      <c r="A6" s="215">
        <v>5</v>
      </c>
      <c r="B6" s="215">
        <v>1</v>
      </c>
      <c r="C6" s="215" t="s">
        <v>6941</v>
      </c>
      <c r="D6" s="215">
        <v>8</v>
      </c>
      <c r="E6" s="215">
        <v>5</v>
      </c>
      <c r="F6" s="215" t="s">
        <v>6937</v>
      </c>
      <c r="H6" s="215"/>
      <c r="I6" s="215" t="s">
        <v>6942</v>
      </c>
      <c r="J6" s="215" t="s">
        <v>4544</v>
      </c>
      <c r="L6" s="215"/>
      <c r="S6" s="209"/>
    </row>
    <row r="7" spans="1:1015 1025:2042 2052:3069 3079:4096 4106:5120 5122:6137 6147:7164 7174:8191 8201:9215 9217:10232 10242:11259 11269:12286 12296:14327 14337:15354 15364:16381" ht="15">
      <c r="A7" s="215">
        <v>6</v>
      </c>
      <c r="B7" s="215" t="s">
        <v>6943</v>
      </c>
      <c r="C7" s="215" t="s">
        <v>6944</v>
      </c>
      <c r="D7" s="215" t="s">
        <v>6229</v>
      </c>
      <c r="E7" s="215" t="s">
        <v>6222</v>
      </c>
      <c r="F7" s="215" t="s">
        <v>6945</v>
      </c>
      <c r="H7" s="215" t="s">
        <v>6946</v>
      </c>
      <c r="I7" s="215" t="s">
        <v>6947</v>
      </c>
      <c r="J7" s="215" t="s">
        <v>5096</v>
      </c>
      <c r="L7" s="215"/>
      <c r="S7" s="209"/>
    </row>
    <row r="8" spans="1:1015 1025:2042 2052:3069 3079:4096 4106:5120 5122:6137 6147:7164 7174:8191 8201:9215 9217:10232 10242:11259 11269:12286 12296:14327 14337:15354 15364:16381" ht="30">
      <c r="A8" s="215">
        <v>7</v>
      </c>
      <c r="B8" s="215" t="s">
        <v>6948</v>
      </c>
      <c r="C8" s="215" t="s">
        <v>6949</v>
      </c>
      <c r="D8" s="215">
        <v>10</v>
      </c>
      <c r="E8" s="215" t="s">
        <v>6189</v>
      </c>
      <c r="F8" s="215" t="s">
        <v>6950</v>
      </c>
      <c r="H8" s="215" t="s">
        <v>6951</v>
      </c>
      <c r="I8" s="215" t="s">
        <v>6952</v>
      </c>
      <c r="J8" s="215" t="s">
        <v>5096</v>
      </c>
      <c r="L8" s="215"/>
      <c r="S8" s="209"/>
    </row>
    <row r="9" spans="1:1015 1025:2042 2052:3069 3079:4096 4106:5120 5122:6137 6147:7164 7174:8191 8201:9215 9217:10232 10242:11259 11269:12286 12296:14327 14337:15354 15364:16381" ht="30">
      <c r="A9" s="215">
        <v>8</v>
      </c>
      <c r="B9" s="215" t="s">
        <v>6953</v>
      </c>
      <c r="C9" s="215" t="s">
        <v>6954</v>
      </c>
      <c r="D9" s="215" t="s">
        <v>6157</v>
      </c>
      <c r="E9" s="215">
        <v>11</v>
      </c>
      <c r="F9" s="215" t="s">
        <v>6955</v>
      </c>
      <c r="H9" s="215" t="s">
        <v>6956</v>
      </c>
      <c r="I9" s="215" t="s">
        <v>6957</v>
      </c>
      <c r="J9" s="215" t="s">
        <v>6161</v>
      </c>
      <c r="L9" s="215" t="s">
        <v>6958</v>
      </c>
      <c r="S9" s="209"/>
    </row>
    <row r="10" spans="1:1015 1025:2042 2052:3069 3079:4096 4106:5120 5122:6137 6147:7164 7174:8191 8201:9215 9217:10232 10242:11259 11269:12286 12296:14327 14337:15354 15364:16381" ht="30">
      <c r="A10" s="215">
        <v>9</v>
      </c>
      <c r="B10" s="215" t="s">
        <v>6953</v>
      </c>
      <c r="C10" s="215" t="s">
        <v>6959</v>
      </c>
      <c r="D10" s="215" t="s">
        <v>6157</v>
      </c>
      <c r="E10" s="215">
        <v>17</v>
      </c>
      <c r="F10" s="215" t="s">
        <v>6960</v>
      </c>
      <c r="H10" s="215" t="s">
        <v>6956</v>
      </c>
      <c r="I10" s="215" t="s">
        <v>6961</v>
      </c>
      <c r="J10" s="215" t="s">
        <v>6161</v>
      </c>
      <c r="L10" s="215" t="s">
        <v>6962</v>
      </c>
      <c r="S10" s="209"/>
    </row>
    <row r="11" spans="1:1015 1025:2042 2052:3069 3079:4096 4106:5120 5122:6137 6147:7164 7174:8191 8201:9215 9217:10232 10242:11259 11269:12286 12296:14327 14337:15354 15364:16381" ht="15">
      <c r="A11" s="215">
        <v>10</v>
      </c>
      <c r="B11" s="215" t="s">
        <v>6963</v>
      </c>
      <c r="C11" s="215" t="s">
        <v>6964</v>
      </c>
      <c r="D11" s="215" t="s">
        <v>6964</v>
      </c>
      <c r="E11" s="215">
        <v>15</v>
      </c>
      <c r="F11" s="215" t="s">
        <v>6965</v>
      </c>
      <c r="H11" s="215"/>
      <c r="I11" s="215" t="s">
        <v>6966</v>
      </c>
      <c r="J11" s="215" t="s">
        <v>6161</v>
      </c>
      <c r="L11" s="215"/>
      <c r="S11" s="209"/>
    </row>
    <row r="12" spans="1:1015 1025:2042 2052:3069 3079:4096 4106:5120 5122:6137 6147:7164 7174:8191 8201:9215 9217:10232 10242:11259 11269:12286 12296:14327 14337:15354 15364:16381" ht="30">
      <c r="A12" s="215">
        <v>11</v>
      </c>
      <c r="B12" s="215" t="s">
        <v>6967</v>
      </c>
      <c r="C12" s="215" t="s">
        <v>6964</v>
      </c>
      <c r="D12" s="215" t="s">
        <v>6157</v>
      </c>
      <c r="E12" s="215">
        <v>15</v>
      </c>
      <c r="F12" s="215" t="s">
        <v>6968</v>
      </c>
      <c r="H12" s="215"/>
      <c r="I12" s="215" t="s">
        <v>6969</v>
      </c>
      <c r="J12" s="215" t="s">
        <v>6161</v>
      </c>
      <c r="L12" s="215"/>
      <c r="S12" s="209"/>
    </row>
    <row r="13" spans="1:1015 1025:2042 2052:3069 3079:4096 4106:5120 5122:6137 6147:7164 7174:8191 8201:9215 9217:10232 10242:11259 11269:12286 12296:14327 14337:15354 15364:16381" ht="30">
      <c r="A13" s="215">
        <v>12</v>
      </c>
      <c r="B13" s="215" t="s">
        <v>6963</v>
      </c>
      <c r="C13" s="215" t="s">
        <v>6964</v>
      </c>
      <c r="D13" s="215" t="s">
        <v>6157</v>
      </c>
      <c r="E13" s="215">
        <v>15</v>
      </c>
      <c r="F13" s="215" t="s">
        <v>6970</v>
      </c>
      <c r="H13" s="215"/>
      <c r="I13" s="215" t="s">
        <v>6971</v>
      </c>
      <c r="J13" s="215" t="s">
        <v>6161</v>
      </c>
      <c r="L13" s="215"/>
      <c r="S13" s="209"/>
    </row>
    <row r="14" spans="1:1015 1025:2042 2052:3069 3079:4096 4106:5120 5122:6137 6147:7164 7174:8191 8201:9215 9217:10232 10242:11259 11269:12286 12296:14327 14337:15354 15364:16381" ht="30">
      <c r="A14" s="215">
        <v>13</v>
      </c>
      <c r="B14" s="215" t="s">
        <v>6972</v>
      </c>
      <c r="C14" s="215" t="s">
        <v>271</v>
      </c>
      <c r="D14" s="215" t="s">
        <v>4412</v>
      </c>
      <c r="E14" s="215">
        <v>27</v>
      </c>
      <c r="F14" s="215" t="s">
        <v>6973</v>
      </c>
      <c r="H14" s="215" t="s">
        <v>6974</v>
      </c>
      <c r="I14" s="215">
        <v>4</v>
      </c>
      <c r="J14" s="215" t="s">
        <v>5613</v>
      </c>
      <c r="L14" s="215"/>
      <c r="S14" s="209"/>
    </row>
    <row r="15" spans="1:1015 1025:2042 2052:3069 3079:4096 4106:5120 5122:6137 6147:7164 7174:8191 8201:9215 9217:10232 10242:11259 11269:12286 12296:14327 14337:15354 15364:16381" ht="30">
      <c r="A15" s="215">
        <v>14</v>
      </c>
      <c r="B15" s="215" t="s">
        <v>6975</v>
      </c>
      <c r="C15" s="215" t="s">
        <v>6976</v>
      </c>
      <c r="D15" s="215" t="s">
        <v>522</v>
      </c>
      <c r="E15" s="215">
        <v>26</v>
      </c>
      <c r="F15" s="215" t="s">
        <v>6977</v>
      </c>
      <c r="H15" s="215" t="s">
        <v>6978</v>
      </c>
      <c r="I15" s="215">
        <v>23</v>
      </c>
      <c r="J15" s="215" t="s">
        <v>5613</v>
      </c>
      <c r="L15" s="215"/>
      <c r="S15" s="209"/>
    </row>
    <row r="16" spans="1:1015 1025:2042 2052:3069 3079:4096 4106:5120 5122:6137 6147:7164 7174:8191 8201:9215 9217:10232 10242:11259 11269:12286 12296:14327 14337:15354 15364:16381" ht="30">
      <c r="A16" s="215">
        <v>15</v>
      </c>
      <c r="B16" s="215" t="s">
        <v>6979</v>
      </c>
      <c r="C16" s="215" t="s">
        <v>6976</v>
      </c>
      <c r="D16" s="215" t="s">
        <v>522</v>
      </c>
      <c r="E16" s="215" t="s">
        <v>522</v>
      </c>
      <c r="F16" s="215" t="s">
        <v>6980</v>
      </c>
      <c r="H16" s="215"/>
      <c r="I16" s="215" t="s">
        <v>6981</v>
      </c>
      <c r="J16" s="215" t="s">
        <v>5613</v>
      </c>
      <c r="L16" s="215"/>
      <c r="S16" s="209"/>
    </row>
    <row r="17" spans="1:19" ht="15">
      <c r="A17" s="215">
        <v>16</v>
      </c>
      <c r="B17" s="215" t="s">
        <v>6982</v>
      </c>
      <c r="C17" s="215" t="s">
        <v>6983</v>
      </c>
      <c r="D17" s="215">
        <v>1</v>
      </c>
      <c r="E17" s="215" t="s">
        <v>6647</v>
      </c>
      <c r="F17" s="215" t="s">
        <v>6984</v>
      </c>
      <c r="H17" s="215"/>
      <c r="I17" s="215" t="s">
        <v>6985</v>
      </c>
      <c r="J17" s="215" t="s">
        <v>6407</v>
      </c>
      <c r="L17" s="215"/>
      <c r="S17" s="209"/>
    </row>
    <row r="18" spans="1:19" ht="30">
      <c r="A18" s="215">
        <v>17</v>
      </c>
      <c r="B18" s="215" t="s">
        <v>6986</v>
      </c>
      <c r="C18" s="215" t="s">
        <v>6987</v>
      </c>
      <c r="D18" s="215">
        <v>1</v>
      </c>
      <c r="E18" s="215" t="s">
        <v>5974</v>
      </c>
      <c r="F18" s="215" t="s">
        <v>6988</v>
      </c>
      <c r="H18" s="215"/>
      <c r="I18" s="215" t="s">
        <v>6989</v>
      </c>
      <c r="J18" s="215" t="s">
        <v>6407</v>
      </c>
      <c r="L18" s="215"/>
      <c r="S18" s="209"/>
    </row>
    <row r="19" spans="1:19" ht="30">
      <c r="A19" s="215">
        <v>18</v>
      </c>
      <c r="B19" s="215" t="s">
        <v>6990</v>
      </c>
      <c r="C19" s="215" t="s">
        <v>4346</v>
      </c>
      <c r="D19" s="215">
        <v>1</v>
      </c>
      <c r="E19" s="215" t="s">
        <v>6647</v>
      </c>
      <c r="F19" s="215" t="s">
        <v>6991</v>
      </c>
      <c r="H19" s="215"/>
      <c r="I19" s="215" t="s">
        <v>6992</v>
      </c>
      <c r="J19" s="215" t="s">
        <v>6407</v>
      </c>
      <c r="L19" s="215"/>
      <c r="S19" s="209"/>
    </row>
    <row r="20" spans="1:19" ht="30">
      <c r="A20" s="215">
        <v>19</v>
      </c>
      <c r="B20" s="215" t="s">
        <v>6993</v>
      </c>
      <c r="C20" s="215" t="s">
        <v>6043</v>
      </c>
      <c r="D20" s="215" t="s">
        <v>6903</v>
      </c>
      <c r="E20" s="215" t="s">
        <v>6552</v>
      </c>
      <c r="F20" s="215" t="s">
        <v>1054</v>
      </c>
      <c r="H20" s="215" t="s">
        <v>6994</v>
      </c>
      <c r="I20" s="215" t="s">
        <v>6995</v>
      </c>
      <c r="J20" s="215" t="s">
        <v>5164</v>
      </c>
      <c r="L20" s="215"/>
      <c r="S20" s="209"/>
    </row>
    <row r="21" spans="1:19" ht="30">
      <c r="A21" s="215">
        <v>20</v>
      </c>
      <c r="B21" s="215" t="s">
        <v>6996</v>
      </c>
      <c r="C21" s="215" t="s">
        <v>6043</v>
      </c>
      <c r="D21" s="215" t="s">
        <v>6903</v>
      </c>
      <c r="E21" s="215" t="s">
        <v>6552</v>
      </c>
      <c r="F21" s="215" t="s">
        <v>1085</v>
      </c>
      <c r="H21" s="215" t="s">
        <v>6994</v>
      </c>
      <c r="I21" s="215" t="s">
        <v>6997</v>
      </c>
      <c r="J21" s="215" t="s">
        <v>5164</v>
      </c>
      <c r="L21" s="215"/>
      <c r="S21" s="209"/>
    </row>
    <row r="22" spans="1:19" ht="30">
      <c r="A22" s="215">
        <v>21</v>
      </c>
      <c r="B22" s="215" t="s">
        <v>6751</v>
      </c>
      <c r="C22" s="215" t="s">
        <v>6043</v>
      </c>
      <c r="D22" s="215" t="s">
        <v>6903</v>
      </c>
      <c r="E22" s="215" t="s">
        <v>6552</v>
      </c>
      <c r="F22" s="215" t="s">
        <v>6554</v>
      </c>
      <c r="H22" s="215" t="s">
        <v>6994</v>
      </c>
      <c r="I22" s="215" t="s">
        <v>6995</v>
      </c>
      <c r="J22" s="215" t="s">
        <v>5164</v>
      </c>
      <c r="L22" s="215"/>
      <c r="S22" s="209"/>
    </row>
    <row r="23" spans="1:19" ht="30">
      <c r="A23" s="215">
        <v>22</v>
      </c>
      <c r="B23" s="215" t="s">
        <v>6998</v>
      </c>
      <c r="C23" s="215" t="s">
        <v>6554</v>
      </c>
      <c r="D23" s="215" t="s">
        <v>6903</v>
      </c>
      <c r="E23" s="215" t="s">
        <v>6552</v>
      </c>
      <c r="F23" s="215" t="s">
        <v>6554</v>
      </c>
      <c r="H23" s="215" t="s">
        <v>6994</v>
      </c>
      <c r="I23" s="215" t="s">
        <v>6999</v>
      </c>
      <c r="J23" s="215" t="s">
        <v>5164</v>
      </c>
      <c r="L23" s="215"/>
      <c r="S23" s="209"/>
    </row>
    <row r="24" spans="1:19" ht="30">
      <c r="A24" s="215">
        <v>23</v>
      </c>
      <c r="B24" s="215" t="s">
        <v>7000</v>
      </c>
      <c r="C24" s="215" t="s">
        <v>6043</v>
      </c>
      <c r="D24" s="215" t="s">
        <v>6903</v>
      </c>
      <c r="E24" s="215" t="s">
        <v>6552</v>
      </c>
      <c r="F24" s="215" t="s">
        <v>1089</v>
      </c>
      <c r="H24" s="215" t="s">
        <v>6994</v>
      </c>
      <c r="I24" s="215" t="s">
        <v>7001</v>
      </c>
      <c r="J24" s="215" t="s">
        <v>5164</v>
      </c>
      <c r="L24" s="215"/>
      <c r="S24" s="209"/>
    </row>
    <row r="25" spans="1:19" ht="30">
      <c r="A25" s="215">
        <v>24</v>
      </c>
      <c r="B25" s="215" t="s">
        <v>7002</v>
      </c>
      <c r="C25" s="215" t="s">
        <v>6228</v>
      </c>
      <c r="D25" s="215">
        <v>1</v>
      </c>
      <c r="E25" s="215" t="s">
        <v>6647</v>
      </c>
      <c r="F25" s="215" t="s">
        <v>6633</v>
      </c>
      <c r="H25" s="215"/>
      <c r="I25" s="215" t="s">
        <v>7003</v>
      </c>
      <c r="J25" s="215" t="s">
        <v>6632</v>
      </c>
      <c r="L25" s="215"/>
      <c r="S25" s="209"/>
    </row>
    <row r="26" spans="1:19" ht="15">
      <c r="A26" s="215">
        <v>25</v>
      </c>
      <c r="B26" s="215" t="s">
        <v>7004</v>
      </c>
      <c r="C26" s="215" t="s">
        <v>6228</v>
      </c>
      <c r="D26" s="215">
        <v>1</v>
      </c>
      <c r="E26" s="215" t="s">
        <v>6647</v>
      </c>
      <c r="F26" s="215" t="s">
        <v>6633</v>
      </c>
      <c r="H26" s="215"/>
      <c r="I26" s="215" t="s">
        <v>7005</v>
      </c>
      <c r="J26" s="215" t="s">
        <v>6632</v>
      </c>
      <c r="L26" s="215"/>
      <c r="S26" s="209"/>
    </row>
    <row r="27" spans="1:19" ht="15">
      <c r="A27" s="215">
        <v>26</v>
      </c>
      <c r="B27" s="215" t="s">
        <v>7006</v>
      </c>
      <c r="C27" s="215" t="s">
        <v>6228</v>
      </c>
      <c r="D27" s="215">
        <v>1</v>
      </c>
      <c r="E27" s="215" t="s">
        <v>6647</v>
      </c>
      <c r="F27" s="215" t="s">
        <v>7007</v>
      </c>
      <c r="H27" s="215"/>
      <c r="I27" s="215" t="s">
        <v>7008</v>
      </c>
      <c r="J27" s="215" t="s">
        <v>6632</v>
      </c>
      <c r="L27" s="215"/>
      <c r="S27" s="209"/>
    </row>
    <row r="28" spans="1:19" ht="15">
      <c r="A28" s="215">
        <v>27</v>
      </c>
      <c r="B28" s="215" t="s">
        <v>6751</v>
      </c>
      <c r="C28" s="215" t="s">
        <v>6228</v>
      </c>
      <c r="D28" s="215">
        <v>1</v>
      </c>
      <c r="E28" s="215" t="s">
        <v>6647</v>
      </c>
      <c r="F28" s="215" t="s">
        <v>7009</v>
      </c>
      <c r="H28" s="215"/>
      <c r="I28" s="215" t="s">
        <v>7010</v>
      </c>
      <c r="J28" s="215" t="s">
        <v>6632</v>
      </c>
      <c r="L28" s="215"/>
      <c r="S28" s="209"/>
    </row>
    <row r="29" spans="1:19" ht="15">
      <c r="A29" s="215">
        <v>28</v>
      </c>
      <c r="B29" s="215" t="s">
        <v>6644</v>
      </c>
      <c r="C29" s="215" t="s">
        <v>6228</v>
      </c>
      <c r="D29" s="215">
        <v>1</v>
      </c>
      <c r="E29" s="215" t="s">
        <v>6647</v>
      </c>
      <c r="F29" s="215" t="s">
        <v>7011</v>
      </c>
      <c r="H29" s="215"/>
      <c r="I29" s="215" t="s">
        <v>7012</v>
      </c>
      <c r="J29" s="215" t="s">
        <v>6632</v>
      </c>
      <c r="L29" s="215"/>
      <c r="S29" s="209"/>
    </row>
    <row r="30" spans="1:19" ht="30">
      <c r="A30" s="215">
        <v>29</v>
      </c>
      <c r="B30" s="215" t="s">
        <v>7013</v>
      </c>
      <c r="C30" s="215" t="s">
        <v>6809</v>
      </c>
      <c r="D30" s="215">
        <v>1</v>
      </c>
      <c r="E30" s="215" t="s">
        <v>6647</v>
      </c>
      <c r="F30" s="215" t="s">
        <v>7014</v>
      </c>
      <c r="H30" s="215"/>
      <c r="I30" s="215" t="s">
        <v>7015</v>
      </c>
      <c r="J30" s="215" t="s">
        <v>6632</v>
      </c>
      <c r="L30" s="215"/>
      <c r="S30" s="209"/>
    </row>
    <row r="31" spans="1:19" ht="30">
      <c r="A31" s="215">
        <v>30</v>
      </c>
      <c r="B31" s="215" t="s">
        <v>7016</v>
      </c>
      <c r="C31" s="215" t="s">
        <v>7017</v>
      </c>
      <c r="D31" s="215" t="s">
        <v>7018</v>
      </c>
      <c r="E31" s="215" t="s">
        <v>7018</v>
      </c>
      <c r="F31" s="215" t="s">
        <v>7019</v>
      </c>
      <c r="H31" s="215"/>
      <c r="I31" s="215" t="s">
        <v>7020</v>
      </c>
      <c r="J31" s="215" t="s">
        <v>7021</v>
      </c>
      <c r="L31" s="215"/>
      <c r="S31" s="209"/>
    </row>
    <row r="32" spans="1:19" ht="30">
      <c r="A32" s="215">
        <v>31</v>
      </c>
      <c r="B32" s="215" t="s">
        <v>7022</v>
      </c>
      <c r="C32" s="215" t="s">
        <v>7023</v>
      </c>
      <c r="D32" s="215" t="s">
        <v>4412</v>
      </c>
      <c r="E32" s="215">
        <v>17</v>
      </c>
      <c r="F32" s="215" t="s">
        <v>7024</v>
      </c>
      <c r="H32" s="215"/>
      <c r="I32" s="215"/>
      <c r="J32" s="215" t="s">
        <v>7025</v>
      </c>
      <c r="L32" s="215"/>
      <c r="S32" s="209"/>
    </row>
    <row r="33" spans="1:19" ht="30">
      <c r="A33" s="215">
        <v>32</v>
      </c>
      <c r="B33" s="215" t="s">
        <v>7026</v>
      </c>
      <c r="C33" s="215" t="s">
        <v>7027</v>
      </c>
      <c r="D33" s="215" t="s">
        <v>522</v>
      </c>
      <c r="E33" s="215">
        <v>17</v>
      </c>
      <c r="F33" s="215" t="s">
        <v>7028</v>
      </c>
      <c r="H33" s="215" t="s">
        <v>7029</v>
      </c>
      <c r="I33" s="215"/>
      <c r="J33" s="215" t="s">
        <v>7025</v>
      </c>
      <c r="L33" s="215"/>
      <c r="S33" s="209"/>
    </row>
    <row r="34" spans="1:19" ht="30">
      <c r="A34" s="215">
        <v>33</v>
      </c>
      <c r="B34" s="215" t="s">
        <v>7030</v>
      </c>
      <c r="C34" s="215" t="s">
        <v>7031</v>
      </c>
      <c r="D34" s="215" t="s">
        <v>522</v>
      </c>
      <c r="E34" s="215">
        <v>17</v>
      </c>
      <c r="F34" s="215" t="s">
        <v>7028</v>
      </c>
      <c r="H34" s="215" t="s">
        <v>7032</v>
      </c>
      <c r="I34" s="215"/>
      <c r="J34" s="215" t="s">
        <v>7025</v>
      </c>
      <c r="L34" s="215"/>
      <c r="S34" s="209"/>
    </row>
    <row r="35" spans="1:19" ht="30">
      <c r="A35" s="215">
        <v>34</v>
      </c>
      <c r="B35" s="215" t="s">
        <v>7022</v>
      </c>
      <c r="C35" s="215" t="s">
        <v>7033</v>
      </c>
      <c r="D35" s="215" t="s">
        <v>522</v>
      </c>
      <c r="E35" s="215">
        <v>17</v>
      </c>
      <c r="F35" s="215" t="s">
        <v>7027</v>
      </c>
      <c r="H35" s="215" t="s">
        <v>7034</v>
      </c>
      <c r="I35" s="215"/>
      <c r="J35" s="215" t="s">
        <v>7025</v>
      </c>
      <c r="L35" s="215"/>
      <c r="S35" s="209"/>
    </row>
    <row r="36" spans="1:19" ht="30">
      <c r="A36" s="215">
        <v>35</v>
      </c>
      <c r="B36" s="215" t="s">
        <v>7022</v>
      </c>
      <c r="C36" s="215" t="s">
        <v>7035</v>
      </c>
      <c r="D36" s="215" t="s">
        <v>522</v>
      </c>
      <c r="E36" s="215">
        <v>17</v>
      </c>
      <c r="F36" s="215" t="s">
        <v>7028</v>
      </c>
      <c r="H36" s="215" t="s">
        <v>7032</v>
      </c>
      <c r="I36" s="215"/>
      <c r="J36" s="215" t="s">
        <v>7025</v>
      </c>
      <c r="L36" s="215"/>
      <c r="S36" s="209"/>
    </row>
    <row r="37" spans="1:19" ht="30">
      <c r="A37" s="215">
        <v>36</v>
      </c>
      <c r="B37" s="215" t="s">
        <v>7036</v>
      </c>
      <c r="C37" s="215" t="s">
        <v>7037</v>
      </c>
      <c r="D37" s="215" t="s">
        <v>522</v>
      </c>
      <c r="E37" s="215">
        <v>17</v>
      </c>
      <c r="F37" s="215" t="s">
        <v>7038</v>
      </c>
      <c r="H37" s="215" t="s">
        <v>7032</v>
      </c>
      <c r="I37" s="215"/>
      <c r="J37" s="215" t="s">
        <v>7025</v>
      </c>
      <c r="L37" s="215"/>
      <c r="S37" s="209"/>
    </row>
    <row r="38" spans="1:19" ht="30">
      <c r="A38" s="215">
        <v>37</v>
      </c>
      <c r="B38" s="215" t="s">
        <v>7039</v>
      </c>
      <c r="C38" s="215" t="s">
        <v>7040</v>
      </c>
      <c r="D38" s="215" t="s">
        <v>522</v>
      </c>
      <c r="E38" s="215">
        <v>24</v>
      </c>
      <c r="F38" s="215" t="s">
        <v>7041</v>
      </c>
      <c r="H38" s="215" t="s">
        <v>7032</v>
      </c>
      <c r="I38" s="215"/>
      <c r="J38" s="215" t="s">
        <v>7025</v>
      </c>
      <c r="L38" s="215"/>
      <c r="S38" s="209"/>
    </row>
    <row r="39" spans="1:19" ht="30">
      <c r="A39" s="215">
        <v>38</v>
      </c>
      <c r="B39" s="215" t="s">
        <v>7042</v>
      </c>
      <c r="C39" s="215" t="s">
        <v>7043</v>
      </c>
      <c r="D39" s="215" t="s">
        <v>4412</v>
      </c>
      <c r="E39" s="215">
        <v>25</v>
      </c>
      <c r="F39" s="215" t="s">
        <v>7044</v>
      </c>
      <c r="H39" s="215" t="s">
        <v>7045</v>
      </c>
      <c r="I39" s="215"/>
      <c r="J39" s="215" t="s">
        <v>7025</v>
      </c>
      <c r="L39" s="215"/>
      <c r="S39" s="209"/>
    </row>
    <row r="40" spans="1:19" ht="30">
      <c r="A40" s="215">
        <v>39</v>
      </c>
      <c r="B40" s="215" t="s">
        <v>7046</v>
      </c>
      <c r="C40" s="215" t="s">
        <v>7047</v>
      </c>
      <c r="D40" s="215" t="s">
        <v>522</v>
      </c>
      <c r="E40" s="215">
        <v>25</v>
      </c>
      <c r="F40" s="215" t="s">
        <v>7048</v>
      </c>
      <c r="H40" s="215" t="s">
        <v>7049</v>
      </c>
      <c r="I40" s="215"/>
      <c r="J40" s="215" t="s">
        <v>7025</v>
      </c>
      <c r="L40" s="215"/>
      <c r="S40" s="209"/>
    </row>
    <row r="41" spans="1:19" ht="30">
      <c r="A41" s="215">
        <v>40</v>
      </c>
      <c r="B41" s="215" t="s">
        <v>7022</v>
      </c>
      <c r="C41" s="215" t="s">
        <v>7050</v>
      </c>
      <c r="D41" s="215" t="s">
        <v>4412</v>
      </c>
      <c r="E41" s="215">
        <v>25</v>
      </c>
      <c r="F41" s="215" t="s">
        <v>7051</v>
      </c>
      <c r="H41" s="215" t="s">
        <v>7052</v>
      </c>
      <c r="I41" s="215"/>
      <c r="J41" s="215" t="s">
        <v>6785</v>
      </c>
      <c r="L41" s="215"/>
      <c r="S41" s="209"/>
    </row>
    <row r="42" spans="1:19" ht="30">
      <c r="A42" s="215">
        <v>41</v>
      </c>
      <c r="B42" s="215" t="s">
        <v>7053</v>
      </c>
      <c r="C42" s="215" t="s">
        <v>7054</v>
      </c>
      <c r="D42" s="215" t="s">
        <v>4412</v>
      </c>
      <c r="E42" s="215">
        <v>25</v>
      </c>
      <c r="F42" s="215" t="s">
        <v>7055</v>
      </c>
      <c r="H42" s="215" t="s">
        <v>7056</v>
      </c>
      <c r="I42" s="215"/>
      <c r="J42" s="215" t="s">
        <v>6785</v>
      </c>
      <c r="L42" s="215"/>
      <c r="S42" s="209"/>
    </row>
    <row r="43" spans="1:19" ht="30">
      <c r="A43" s="215">
        <v>42</v>
      </c>
      <c r="B43" s="215" t="s">
        <v>7039</v>
      </c>
      <c r="C43" s="215" t="s">
        <v>7057</v>
      </c>
      <c r="D43" s="215" t="s">
        <v>4412</v>
      </c>
      <c r="E43" s="215">
        <v>25</v>
      </c>
      <c r="F43" s="215" t="s">
        <v>7058</v>
      </c>
      <c r="H43" s="215" t="s">
        <v>7059</v>
      </c>
      <c r="I43" s="215"/>
      <c r="J43" s="215" t="s">
        <v>6785</v>
      </c>
      <c r="L43" s="215"/>
      <c r="S43" s="209"/>
    </row>
    <row r="44" spans="1:19" ht="30">
      <c r="A44" s="215">
        <v>43</v>
      </c>
      <c r="B44" s="215" t="s">
        <v>7039</v>
      </c>
      <c r="C44" s="215" t="s">
        <v>7060</v>
      </c>
      <c r="D44" s="215" t="s">
        <v>4412</v>
      </c>
      <c r="E44" s="215">
        <v>25</v>
      </c>
      <c r="F44" s="215" t="s">
        <v>7060</v>
      </c>
      <c r="H44" s="215" t="s">
        <v>7056</v>
      </c>
      <c r="I44" s="215"/>
      <c r="J44" s="215" t="s">
        <v>6785</v>
      </c>
      <c r="L44" s="215"/>
      <c r="S44" s="209"/>
    </row>
    <row r="45" spans="1:19" ht="30">
      <c r="A45" s="215">
        <v>44</v>
      </c>
      <c r="B45" s="215" t="s">
        <v>7061</v>
      </c>
      <c r="C45" s="215" t="s">
        <v>7062</v>
      </c>
      <c r="D45" s="215" t="s">
        <v>4412</v>
      </c>
      <c r="E45" s="215">
        <v>25</v>
      </c>
      <c r="F45" s="215" t="s">
        <v>7063</v>
      </c>
      <c r="H45" s="215" t="s">
        <v>7056</v>
      </c>
      <c r="I45" s="215"/>
      <c r="J45" s="215" t="s">
        <v>6785</v>
      </c>
      <c r="L45" s="215"/>
      <c r="S45" s="209"/>
    </row>
    <row r="46" spans="1:19" ht="28.5">
      <c r="A46" s="215">
        <v>48</v>
      </c>
      <c r="B46" s="215" t="s">
        <v>7064</v>
      </c>
      <c r="C46" s="215" t="s">
        <v>5017</v>
      </c>
      <c r="D46" s="215">
        <v>5</v>
      </c>
      <c r="E46" s="215" t="s">
        <v>7065</v>
      </c>
      <c r="F46" s="215" t="s">
        <v>6112</v>
      </c>
      <c r="H46" s="215"/>
      <c r="I46" s="215" t="s">
        <v>7066</v>
      </c>
      <c r="J46" s="215" t="s">
        <v>7067</v>
      </c>
      <c r="K46" s="70" t="s">
        <v>7068</v>
      </c>
      <c r="L46" s="215"/>
    </row>
    <row r="47" spans="1:19" ht="28.5">
      <c r="A47" s="215">
        <v>49</v>
      </c>
      <c r="B47" s="215" t="s">
        <v>7069</v>
      </c>
      <c r="C47" s="215" t="s">
        <v>5017</v>
      </c>
      <c r="D47" s="215">
        <v>5</v>
      </c>
      <c r="E47" s="215" t="s">
        <v>7065</v>
      </c>
      <c r="F47" s="215" t="s">
        <v>6038</v>
      </c>
      <c r="H47" s="215"/>
      <c r="I47" s="215" t="s">
        <v>7070</v>
      </c>
      <c r="J47" s="215" t="s">
        <v>7067</v>
      </c>
      <c r="K47" s="70" t="s">
        <v>7071</v>
      </c>
      <c r="L47" s="215"/>
    </row>
    <row r="48" spans="1:19" ht="28.5">
      <c r="A48" s="215">
        <v>50</v>
      </c>
      <c r="B48" s="215" t="s">
        <v>7072</v>
      </c>
      <c r="C48" s="215" t="s">
        <v>5017</v>
      </c>
      <c r="D48" s="215">
        <v>5</v>
      </c>
      <c r="E48" s="215" t="s">
        <v>7065</v>
      </c>
      <c r="F48" s="215" t="s">
        <v>1500</v>
      </c>
      <c r="H48" s="215"/>
      <c r="I48" s="215" t="s">
        <v>7073</v>
      </c>
      <c r="J48" s="215" t="s">
        <v>7067</v>
      </c>
      <c r="K48" s="70" t="s">
        <v>7074</v>
      </c>
      <c r="L48" s="215"/>
    </row>
    <row r="49" spans="1:12" ht="30.75">
      <c r="A49" s="215">
        <v>51</v>
      </c>
      <c r="B49" s="218">
        <v>46036</v>
      </c>
      <c r="C49" s="215" t="s">
        <v>6909</v>
      </c>
      <c r="D49" s="215">
        <v>8</v>
      </c>
      <c r="E49" s="215" t="s">
        <v>6822</v>
      </c>
      <c r="F49" s="215" t="s">
        <v>6909</v>
      </c>
      <c r="H49" s="215"/>
      <c r="I49" s="215">
        <v>14</v>
      </c>
      <c r="J49" s="215" t="s">
        <v>4837</v>
      </c>
      <c r="K49" s="70" t="s">
        <v>7075</v>
      </c>
      <c r="L49" s="215" t="s">
        <v>7076</v>
      </c>
    </row>
    <row r="50" spans="1:12" ht="30.75">
      <c r="A50" s="215">
        <v>52</v>
      </c>
      <c r="B50" s="218" t="s">
        <v>7077</v>
      </c>
      <c r="C50" s="215" t="s">
        <v>6937</v>
      </c>
      <c r="D50" s="215">
        <v>8</v>
      </c>
      <c r="E50" s="215" t="s">
        <v>6822</v>
      </c>
      <c r="F50" s="215" t="s">
        <v>6937</v>
      </c>
      <c r="H50" s="215"/>
      <c r="I50" s="215">
        <v>4</v>
      </c>
      <c r="J50" s="215" t="s">
        <v>4837</v>
      </c>
      <c r="K50" s="70" t="s">
        <v>7078</v>
      </c>
      <c r="L50" s="215" t="s">
        <v>7079</v>
      </c>
    </row>
    <row r="51" spans="1:12" ht="30.75">
      <c r="A51" s="215">
        <v>53</v>
      </c>
      <c r="B51" s="218">
        <v>1</v>
      </c>
      <c r="C51" s="215" t="s">
        <v>7080</v>
      </c>
      <c r="D51" s="215">
        <v>8</v>
      </c>
      <c r="E51" s="215" t="s">
        <v>6822</v>
      </c>
      <c r="F51" s="215" t="s">
        <v>6937</v>
      </c>
      <c r="H51" s="215"/>
      <c r="I51" s="215">
        <v>1</v>
      </c>
      <c r="J51" s="215" t="s">
        <v>4837</v>
      </c>
      <c r="K51" s="70" t="s">
        <v>7081</v>
      </c>
      <c r="L51" s="215" t="s">
        <v>7079</v>
      </c>
    </row>
    <row r="52" spans="1:12" ht="30.75">
      <c r="A52" s="215">
        <v>54</v>
      </c>
      <c r="B52" s="218">
        <v>1</v>
      </c>
      <c r="C52" s="215" t="s">
        <v>7082</v>
      </c>
      <c r="D52" s="215">
        <v>8</v>
      </c>
      <c r="E52" s="215" t="s">
        <v>6822</v>
      </c>
      <c r="F52" s="215" t="s">
        <v>6937</v>
      </c>
      <c r="H52" s="215"/>
      <c r="I52" s="215">
        <v>1</v>
      </c>
      <c r="J52" s="215" t="s">
        <v>4837</v>
      </c>
      <c r="K52" s="70" t="s">
        <v>7083</v>
      </c>
      <c r="L52" s="215" t="s">
        <v>7079</v>
      </c>
    </row>
    <row r="53" spans="1:12" ht="28.5">
      <c r="A53" s="215">
        <v>55</v>
      </c>
      <c r="B53" s="218" t="s">
        <v>7084</v>
      </c>
      <c r="C53" s="215" t="s">
        <v>6914</v>
      </c>
      <c r="D53" s="215">
        <v>11</v>
      </c>
      <c r="E53" s="215" t="s">
        <v>4890</v>
      </c>
      <c r="F53" s="215" t="s">
        <v>6914</v>
      </c>
      <c r="H53" s="215"/>
      <c r="I53" s="215" t="s">
        <v>7085</v>
      </c>
      <c r="J53" s="215" t="s">
        <v>4861</v>
      </c>
      <c r="K53" s="70" t="s">
        <v>7086</v>
      </c>
      <c r="L53" s="215"/>
    </row>
    <row r="54" spans="1:12" ht="30.75">
      <c r="A54" s="215">
        <v>56</v>
      </c>
      <c r="B54" s="218" t="s">
        <v>7087</v>
      </c>
      <c r="C54" s="215" t="s">
        <v>7088</v>
      </c>
      <c r="D54" s="215">
        <v>11</v>
      </c>
      <c r="E54" s="215" t="s">
        <v>4748</v>
      </c>
      <c r="F54" s="215" t="s">
        <v>7089</v>
      </c>
      <c r="H54" s="215"/>
      <c r="I54" s="215" t="s">
        <v>7090</v>
      </c>
      <c r="J54" s="215" t="s">
        <v>4861</v>
      </c>
      <c r="K54" s="70" t="s">
        <v>7091</v>
      </c>
      <c r="L54" s="215"/>
    </row>
    <row r="55" spans="1:12" ht="30.75">
      <c r="A55" s="215">
        <v>57</v>
      </c>
      <c r="B55" s="218" t="s">
        <v>7092</v>
      </c>
      <c r="C55" s="215" t="s">
        <v>7088</v>
      </c>
      <c r="D55" s="215">
        <v>11</v>
      </c>
      <c r="E55" s="215" t="s">
        <v>4748</v>
      </c>
      <c r="F55" s="215" t="s">
        <v>7093</v>
      </c>
      <c r="H55" s="215"/>
      <c r="I55" s="215" t="s">
        <v>7094</v>
      </c>
      <c r="J55" s="215" t="s">
        <v>4861</v>
      </c>
      <c r="K55" s="70" t="s">
        <v>7095</v>
      </c>
      <c r="L55" s="215"/>
    </row>
    <row r="56" spans="1:12" ht="28.5">
      <c r="A56" s="215">
        <v>58</v>
      </c>
      <c r="B56" s="218" t="s">
        <v>7092</v>
      </c>
      <c r="C56" s="215" t="s">
        <v>4724</v>
      </c>
      <c r="D56" s="215">
        <v>11</v>
      </c>
      <c r="E56" s="215" t="s">
        <v>4748</v>
      </c>
      <c r="F56" s="215" t="s">
        <v>3765</v>
      </c>
      <c r="H56" s="215"/>
      <c r="I56" s="215" t="s">
        <v>7096</v>
      </c>
      <c r="J56" s="215" t="s">
        <v>4861</v>
      </c>
      <c r="K56" s="70" t="s">
        <v>7097</v>
      </c>
      <c r="L56" s="215"/>
    </row>
    <row r="57" spans="1:12" ht="28.5">
      <c r="A57" s="215">
        <v>59</v>
      </c>
      <c r="B57" s="218" t="s">
        <v>7098</v>
      </c>
      <c r="C57" s="215" t="s">
        <v>4724</v>
      </c>
      <c r="D57" s="215">
        <v>11</v>
      </c>
      <c r="E57" s="215" t="s">
        <v>4748</v>
      </c>
      <c r="F57" s="215" t="s">
        <v>3761</v>
      </c>
      <c r="H57" s="215"/>
      <c r="I57" s="215" t="s">
        <v>7099</v>
      </c>
      <c r="J57" s="215" t="s">
        <v>4861</v>
      </c>
      <c r="K57" s="70" t="s">
        <v>7100</v>
      </c>
      <c r="L57" s="215"/>
    </row>
    <row r="58" spans="1:12" ht="28.5">
      <c r="A58" s="215">
        <v>60</v>
      </c>
      <c r="B58" s="218" t="s">
        <v>7101</v>
      </c>
      <c r="C58" s="215" t="s">
        <v>4724</v>
      </c>
      <c r="D58" s="215">
        <v>11</v>
      </c>
      <c r="E58" s="215" t="s">
        <v>4748</v>
      </c>
      <c r="F58" s="215" t="s">
        <v>3513</v>
      </c>
      <c r="H58" s="215"/>
      <c r="I58" s="215" t="s">
        <v>7102</v>
      </c>
      <c r="J58" s="215" t="s">
        <v>4861</v>
      </c>
      <c r="K58" s="70" t="s">
        <v>7103</v>
      </c>
      <c r="L58" s="215"/>
    </row>
    <row r="59" spans="1:12" ht="28.5">
      <c r="A59" s="215">
        <v>61</v>
      </c>
      <c r="B59" s="218" t="s">
        <v>7104</v>
      </c>
      <c r="C59" s="215" t="s">
        <v>7105</v>
      </c>
      <c r="D59" s="215">
        <v>11</v>
      </c>
      <c r="E59" s="215" t="s">
        <v>4748</v>
      </c>
      <c r="F59" s="215" t="s">
        <v>7106</v>
      </c>
      <c r="H59" s="215"/>
      <c r="I59" s="215" t="s">
        <v>7107</v>
      </c>
      <c r="J59" s="215" t="s">
        <v>4861</v>
      </c>
      <c r="K59" s="70" t="s">
        <v>7108</v>
      </c>
      <c r="L59" s="215"/>
    </row>
    <row r="60" spans="1:12" ht="152.25">
      <c r="A60" s="215">
        <v>62</v>
      </c>
      <c r="B60" s="218" t="s">
        <v>7109</v>
      </c>
      <c r="C60" s="215" t="s">
        <v>6188</v>
      </c>
      <c r="D60" s="215" t="s">
        <v>7110</v>
      </c>
      <c r="E60" s="215" t="s">
        <v>214</v>
      </c>
      <c r="F60" s="215" t="s">
        <v>3433</v>
      </c>
      <c r="H60" s="215"/>
      <c r="I60" s="215" t="s">
        <v>7111</v>
      </c>
      <c r="J60" s="215" t="s">
        <v>3282</v>
      </c>
      <c r="K60" s="70" t="s">
        <v>7112</v>
      </c>
      <c r="L60" s="215" t="s">
        <v>7113</v>
      </c>
    </row>
    <row r="61" spans="1:12" ht="45.75">
      <c r="A61" s="215">
        <v>63</v>
      </c>
      <c r="B61" s="218" t="s">
        <v>7114</v>
      </c>
      <c r="C61" s="215" t="s">
        <v>4187</v>
      </c>
      <c r="D61" s="215">
        <v>11</v>
      </c>
      <c r="E61" s="215" t="s">
        <v>4760</v>
      </c>
      <c r="F61" s="215" t="s">
        <v>4187</v>
      </c>
      <c r="H61" s="215"/>
      <c r="I61" s="215" t="s">
        <v>7115</v>
      </c>
      <c r="J61" s="215" t="s">
        <v>7116</v>
      </c>
      <c r="K61" s="70" t="s">
        <v>7117</v>
      </c>
      <c r="L61" s="215" t="s">
        <v>7118</v>
      </c>
    </row>
    <row r="62" spans="1:12" ht="45.75">
      <c r="A62" s="215">
        <v>64</v>
      </c>
      <c r="B62" s="218" t="s">
        <v>7119</v>
      </c>
      <c r="C62" s="215" t="s">
        <v>7120</v>
      </c>
      <c r="D62" s="215">
        <v>11</v>
      </c>
      <c r="E62" s="215" t="s">
        <v>4760</v>
      </c>
      <c r="F62" s="215" t="s">
        <v>7121</v>
      </c>
      <c r="H62" s="215"/>
      <c r="I62" s="215" t="s">
        <v>7122</v>
      </c>
      <c r="J62" s="215" t="s">
        <v>7116</v>
      </c>
      <c r="K62" s="70" t="s">
        <v>7123</v>
      </c>
      <c r="L62" s="215" t="s">
        <v>7124</v>
      </c>
    </row>
    <row r="63" spans="1:12" ht="45.75">
      <c r="A63" s="215">
        <v>65</v>
      </c>
      <c r="B63" s="218" t="s">
        <v>7125</v>
      </c>
      <c r="C63" s="215" t="s">
        <v>7126</v>
      </c>
      <c r="D63" s="215">
        <v>11</v>
      </c>
      <c r="E63" s="215" t="s">
        <v>4760</v>
      </c>
      <c r="F63" s="215" t="s">
        <v>7127</v>
      </c>
      <c r="H63" s="215"/>
      <c r="I63" s="215" t="s">
        <v>7128</v>
      </c>
      <c r="J63" s="215" t="s">
        <v>7116</v>
      </c>
      <c r="K63" s="70" t="s">
        <v>7129</v>
      </c>
      <c r="L63" s="215" t="s">
        <v>7130</v>
      </c>
    </row>
    <row r="64" spans="1:12" ht="45.75">
      <c r="A64" s="215">
        <v>66</v>
      </c>
      <c r="B64" s="218" t="s">
        <v>7131</v>
      </c>
      <c r="C64" s="215" t="s">
        <v>4237</v>
      </c>
      <c r="D64" s="215">
        <v>11</v>
      </c>
      <c r="E64" s="215" t="s">
        <v>4760</v>
      </c>
      <c r="F64" s="215" t="s">
        <v>7132</v>
      </c>
      <c r="H64" s="215"/>
      <c r="I64" s="215" t="s">
        <v>7133</v>
      </c>
      <c r="J64" s="215" t="s">
        <v>7116</v>
      </c>
      <c r="K64" s="70" t="s">
        <v>7134</v>
      </c>
      <c r="L64" s="215" t="s">
        <v>7130</v>
      </c>
    </row>
    <row r="65" spans="1:12" ht="45.75">
      <c r="A65" s="215">
        <v>67</v>
      </c>
      <c r="B65" s="218" t="s">
        <v>7135</v>
      </c>
      <c r="C65" s="215" t="s">
        <v>7136</v>
      </c>
      <c r="D65" s="215">
        <v>11</v>
      </c>
      <c r="E65" s="215" t="s">
        <v>4760</v>
      </c>
      <c r="F65" s="215" t="s">
        <v>7132</v>
      </c>
      <c r="H65" s="215"/>
      <c r="I65" s="215" t="s">
        <v>7128</v>
      </c>
      <c r="J65" s="215" t="s">
        <v>7116</v>
      </c>
      <c r="K65" s="70" t="s">
        <v>7137</v>
      </c>
      <c r="L65" s="215" t="s">
        <v>7138</v>
      </c>
    </row>
    <row r="66" spans="1:12" ht="45.75">
      <c r="A66" s="215">
        <v>68</v>
      </c>
      <c r="B66" s="218" t="s">
        <v>7139</v>
      </c>
      <c r="C66" s="215" t="s">
        <v>7140</v>
      </c>
      <c r="D66" s="215">
        <v>11</v>
      </c>
      <c r="E66" s="215" t="s">
        <v>4760</v>
      </c>
      <c r="F66" s="215" t="s">
        <v>7141</v>
      </c>
      <c r="H66" s="215"/>
      <c r="I66" s="215" t="s">
        <v>7142</v>
      </c>
      <c r="J66" s="215" t="s">
        <v>7116</v>
      </c>
      <c r="K66" s="70" t="s">
        <v>7143</v>
      </c>
      <c r="L66" s="215" t="s">
        <v>7144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DE576-DEF7-4C91-95B9-E47C9DDE7B24}">
  <sheetPr codeName="Sheet8">
    <tabColor rgb="FF002060"/>
  </sheetPr>
  <dimension ref="A1:M16"/>
  <sheetViews>
    <sheetView workbookViewId="0">
      <selection activeCell="D32" sqref="D32"/>
    </sheetView>
  </sheetViews>
  <sheetFormatPr defaultRowHeight="14.25"/>
  <cols>
    <col min="1" max="1" width="6.625" bestFit="1" customWidth="1"/>
    <col min="2" max="2" width="23.625" bestFit="1" customWidth="1"/>
    <col min="3" max="3" width="7.625" bestFit="1" customWidth="1"/>
    <col min="4" max="4" width="10.25" bestFit="1" customWidth="1"/>
    <col min="5" max="5" width="15.875" bestFit="1" customWidth="1"/>
    <col min="6" max="6" width="13.125" bestFit="1" customWidth="1"/>
    <col min="7" max="7" width="11.25" bestFit="1" customWidth="1"/>
    <col min="8" max="8" width="26.625" bestFit="1" customWidth="1"/>
    <col min="9" max="9" width="53.625" bestFit="1" customWidth="1"/>
    <col min="10" max="10" width="16.625" bestFit="1" customWidth="1"/>
    <col min="11" max="11" width="15.25" bestFit="1" customWidth="1"/>
    <col min="12" max="12" width="25.875" bestFit="1" customWidth="1"/>
    <col min="13" max="13" width="6" bestFit="1" customWidth="1"/>
  </cols>
  <sheetData>
    <row r="1" spans="1:13" s="2" customFormat="1" ht="15">
      <c r="A1" s="61" t="s">
        <v>0</v>
      </c>
      <c r="B1" s="61" t="s">
        <v>2</v>
      </c>
      <c r="C1" s="61" t="s">
        <v>3</v>
      </c>
      <c r="D1" s="61" t="s">
        <v>4</v>
      </c>
      <c r="E1" s="61" t="s">
        <v>5</v>
      </c>
      <c r="F1" s="62" t="s">
        <v>6570</v>
      </c>
      <c r="G1" s="62" t="s">
        <v>6788</v>
      </c>
      <c r="H1" s="62" t="s">
        <v>6929</v>
      </c>
      <c r="I1" s="62" t="s">
        <v>7145</v>
      </c>
      <c r="J1" s="62" t="s">
        <v>13</v>
      </c>
      <c r="K1" s="60" t="s">
        <v>6790</v>
      </c>
      <c r="L1" s="60" t="s">
        <v>189</v>
      </c>
      <c r="M1" s="60" t="s">
        <v>6571</v>
      </c>
    </row>
    <row r="2" spans="1:13">
      <c r="A2" s="184">
        <v>5</v>
      </c>
      <c r="B2" s="184" t="s">
        <v>7146</v>
      </c>
      <c r="C2" s="184">
        <v>11</v>
      </c>
      <c r="D2" s="184">
        <v>5</v>
      </c>
      <c r="E2" s="184" t="s">
        <v>7147</v>
      </c>
      <c r="F2" s="184"/>
      <c r="G2" s="184" t="s">
        <v>7148</v>
      </c>
      <c r="H2" s="184" t="s">
        <v>7149</v>
      </c>
      <c r="I2" s="184" t="s">
        <v>7150</v>
      </c>
      <c r="J2" s="184" t="s">
        <v>6154</v>
      </c>
      <c r="K2" s="183">
        <v>45707.289097222223</v>
      </c>
      <c r="L2" s="184"/>
      <c r="M2" s="184"/>
    </row>
    <row r="3" spans="1:13">
      <c r="A3" s="184">
        <v>6</v>
      </c>
      <c r="B3" s="184" t="s">
        <v>4681</v>
      </c>
      <c r="C3" s="184">
        <v>8</v>
      </c>
      <c r="D3" s="184">
        <v>5</v>
      </c>
      <c r="E3" s="184" t="s">
        <v>2535</v>
      </c>
      <c r="F3" s="184"/>
      <c r="G3" s="184" t="s">
        <v>7151</v>
      </c>
      <c r="H3" s="184" t="s">
        <v>7152</v>
      </c>
      <c r="I3" s="184" t="s">
        <v>7153</v>
      </c>
      <c r="J3" s="184" t="s">
        <v>6154</v>
      </c>
      <c r="K3" s="183">
        <v>45714.391203703701</v>
      </c>
      <c r="L3" s="184"/>
      <c r="M3" s="184"/>
    </row>
    <row r="4" spans="1:13">
      <c r="A4" s="184">
        <v>8</v>
      </c>
      <c r="B4" s="184" t="s">
        <v>7154</v>
      </c>
      <c r="C4" s="184" t="s">
        <v>7155</v>
      </c>
      <c r="D4" s="184" t="s">
        <v>7156</v>
      </c>
      <c r="E4" s="184" t="s">
        <v>7157</v>
      </c>
      <c r="F4" s="184" t="s">
        <v>7158</v>
      </c>
      <c r="G4" s="184" t="s">
        <v>7159</v>
      </c>
      <c r="H4" s="184" t="s">
        <v>7160</v>
      </c>
      <c r="I4" s="184" t="s">
        <v>7161</v>
      </c>
      <c r="J4" s="184" t="s">
        <v>7162</v>
      </c>
      <c r="K4" s="183">
        <v>46133.342986111114</v>
      </c>
      <c r="L4" s="184"/>
      <c r="M4" s="184"/>
    </row>
    <row r="5" spans="1:13">
      <c r="A5" s="184">
        <v>9</v>
      </c>
      <c r="B5" s="184" t="s">
        <v>6228</v>
      </c>
      <c r="C5" s="184">
        <v>1</v>
      </c>
      <c r="D5" s="184" t="s">
        <v>6428</v>
      </c>
      <c r="E5" s="184" t="s">
        <v>7163</v>
      </c>
      <c r="F5" s="184"/>
      <c r="G5" s="184" t="s">
        <v>7164</v>
      </c>
      <c r="H5" s="184" t="s">
        <v>7165</v>
      </c>
      <c r="I5" s="184" t="s">
        <v>7166</v>
      </c>
      <c r="J5" s="184" t="s">
        <v>6632</v>
      </c>
      <c r="K5" s="183">
        <v>46134.332557870373</v>
      </c>
      <c r="L5" s="184"/>
      <c r="M5" s="184"/>
    </row>
    <row r="6" spans="1:13">
      <c r="A6" s="184">
        <v>10</v>
      </c>
      <c r="B6" s="184" t="s">
        <v>6228</v>
      </c>
      <c r="C6" s="184">
        <v>1</v>
      </c>
      <c r="D6" s="184" t="s">
        <v>6428</v>
      </c>
      <c r="E6" s="184" t="s">
        <v>6633</v>
      </c>
      <c r="F6" s="184"/>
      <c r="G6" s="184" t="s">
        <v>7167</v>
      </c>
      <c r="H6" s="184" t="s">
        <v>7165</v>
      </c>
      <c r="I6" s="184" t="s">
        <v>7168</v>
      </c>
      <c r="J6" s="184" t="s">
        <v>6632</v>
      </c>
      <c r="K6" s="183">
        <v>46134.335868055554</v>
      </c>
      <c r="L6" s="184"/>
      <c r="M6" s="184"/>
    </row>
    <row r="7" spans="1:13">
      <c r="A7" s="184">
        <v>11</v>
      </c>
      <c r="B7" s="184" t="s">
        <v>7169</v>
      </c>
      <c r="C7" s="184">
        <v>1</v>
      </c>
      <c r="D7" s="184" t="s">
        <v>6428</v>
      </c>
      <c r="E7" s="184" t="s">
        <v>7170</v>
      </c>
      <c r="F7" s="184"/>
      <c r="G7" s="184" t="s">
        <v>7171</v>
      </c>
      <c r="H7" s="184" t="s">
        <v>7165</v>
      </c>
      <c r="I7" s="184" t="s">
        <v>7172</v>
      </c>
      <c r="J7" s="184" t="s">
        <v>6632</v>
      </c>
      <c r="K7" s="183">
        <v>46134.343194444446</v>
      </c>
      <c r="L7" s="184"/>
      <c r="M7" s="184"/>
    </row>
    <row r="8" spans="1:13">
      <c r="A8" s="184">
        <v>12</v>
      </c>
      <c r="B8" s="184" t="s">
        <v>6709</v>
      </c>
      <c r="C8" s="184" t="s">
        <v>6646</v>
      </c>
      <c r="D8" s="184" t="s">
        <v>6647</v>
      </c>
      <c r="E8" s="184" t="s">
        <v>6710</v>
      </c>
      <c r="F8" s="184"/>
      <c r="G8" s="184" t="s">
        <v>7173</v>
      </c>
      <c r="H8" s="184" t="s">
        <v>7174</v>
      </c>
      <c r="I8" s="184" t="s">
        <v>7175</v>
      </c>
      <c r="J8" s="184" t="s">
        <v>5934</v>
      </c>
      <c r="K8" s="183">
        <v>46134.389699074076</v>
      </c>
      <c r="L8" s="184" t="s">
        <v>7176</v>
      </c>
      <c r="M8" s="184"/>
    </row>
    <row r="9" spans="1:13">
      <c r="A9" s="184">
        <v>13</v>
      </c>
      <c r="B9" s="184" t="s">
        <v>6983</v>
      </c>
      <c r="C9" s="184">
        <v>1</v>
      </c>
      <c r="D9" s="184" t="s">
        <v>6647</v>
      </c>
      <c r="E9" s="184" t="s">
        <v>6984</v>
      </c>
      <c r="F9" s="184"/>
      <c r="G9" s="184" t="s">
        <v>7177</v>
      </c>
      <c r="H9" s="184" t="s">
        <v>7178</v>
      </c>
      <c r="I9" s="184" t="s">
        <v>7179</v>
      </c>
      <c r="J9" s="184" t="s">
        <v>6407</v>
      </c>
      <c r="K9" s="183">
        <v>46135.072638888887</v>
      </c>
      <c r="L9" s="184" t="s">
        <v>7180</v>
      </c>
      <c r="M9" s="184"/>
    </row>
    <row r="10" spans="1:13">
      <c r="A10" s="184">
        <v>14</v>
      </c>
      <c r="B10" s="184" t="s">
        <v>7181</v>
      </c>
      <c r="C10" s="184">
        <v>1</v>
      </c>
      <c r="D10" s="184" t="s">
        <v>6647</v>
      </c>
      <c r="E10" s="184" t="s">
        <v>7182</v>
      </c>
      <c r="F10" s="184"/>
      <c r="G10" s="184" t="s">
        <v>7183</v>
      </c>
      <c r="H10" s="184" t="s">
        <v>7178</v>
      </c>
      <c r="I10" s="184" t="s">
        <v>7184</v>
      </c>
      <c r="J10" s="184" t="s">
        <v>6407</v>
      </c>
      <c r="K10" s="183">
        <v>46135.075972222221</v>
      </c>
      <c r="L10" s="184"/>
      <c r="M10" s="184"/>
    </row>
    <row r="11" spans="1:13">
      <c r="A11" s="184">
        <v>15</v>
      </c>
      <c r="B11" s="184" t="s">
        <v>7185</v>
      </c>
      <c r="C11" s="184">
        <v>1</v>
      </c>
      <c r="D11" s="184" t="s">
        <v>5974</v>
      </c>
      <c r="E11" s="184" t="s">
        <v>7186</v>
      </c>
      <c r="F11" s="184"/>
      <c r="G11" s="184" t="s">
        <v>7183</v>
      </c>
      <c r="H11" s="184" t="s">
        <v>7178</v>
      </c>
      <c r="I11" s="184" t="s">
        <v>7187</v>
      </c>
      <c r="J11" s="184" t="s">
        <v>6407</v>
      </c>
      <c r="K11" s="183">
        <v>46135.080324074072</v>
      </c>
      <c r="L11" s="184"/>
      <c r="M11" s="184"/>
    </row>
    <row r="12" spans="1:13">
      <c r="A12" s="184">
        <v>16</v>
      </c>
      <c r="B12" s="184" t="s">
        <v>6305</v>
      </c>
      <c r="C12" s="184" t="s">
        <v>6242</v>
      </c>
      <c r="D12" s="184" t="s">
        <v>7188</v>
      </c>
      <c r="E12" s="184" t="s">
        <v>7189</v>
      </c>
      <c r="F12" s="184"/>
      <c r="G12" s="184" t="s">
        <v>7190</v>
      </c>
      <c r="H12" s="184" t="s">
        <v>7191</v>
      </c>
      <c r="I12" s="184" t="s">
        <v>7192</v>
      </c>
      <c r="J12" s="184" t="s">
        <v>5164</v>
      </c>
      <c r="K12" s="183">
        <v>46153.128807870373</v>
      </c>
      <c r="L12" s="184"/>
      <c r="M12" s="184"/>
    </row>
    <row r="13" spans="1:13">
      <c r="A13" s="184">
        <v>17</v>
      </c>
      <c r="B13" s="184" t="s">
        <v>7193</v>
      </c>
      <c r="C13" s="184" t="s">
        <v>6242</v>
      </c>
      <c r="D13" s="184" t="s">
        <v>6552</v>
      </c>
      <c r="E13" s="184" t="s">
        <v>7194</v>
      </c>
      <c r="F13" s="184"/>
      <c r="G13" s="184" t="s">
        <v>7195</v>
      </c>
      <c r="H13" s="184" t="s">
        <v>7191</v>
      </c>
      <c r="I13" s="184" t="s">
        <v>7196</v>
      </c>
      <c r="J13" s="184" t="s">
        <v>5164</v>
      </c>
      <c r="K13" s="183">
        <v>46153.140844907408</v>
      </c>
      <c r="L13" s="184"/>
      <c r="M13" s="184"/>
    </row>
    <row r="14" spans="1:13">
      <c r="A14" s="184">
        <v>18</v>
      </c>
      <c r="B14" s="184" t="s">
        <v>7193</v>
      </c>
      <c r="C14" s="184" t="s">
        <v>6242</v>
      </c>
      <c r="D14" s="184" t="s">
        <v>6552</v>
      </c>
      <c r="E14" s="184" t="s">
        <v>7197</v>
      </c>
      <c r="F14" s="184"/>
      <c r="G14" s="184" t="s">
        <v>7198</v>
      </c>
      <c r="H14" s="184" t="s">
        <v>7191</v>
      </c>
      <c r="I14" s="184" t="s">
        <v>7199</v>
      </c>
      <c r="J14" s="184" t="s">
        <v>5164</v>
      </c>
      <c r="K14" s="183">
        <v>46153.144120370373</v>
      </c>
      <c r="L14" s="184" t="s">
        <v>7200</v>
      </c>
      <c r="M14" s="184"/>
    </row>
    <row r="15" spans="1:13">
      <c r="A15" s="184">
        <v>19</v>
      </c>
      <c r="B15" s="184" t="s">
        <v>7193</v>
      </c>
      <c r="C15" s="184" t="s">
        <v>6242</v>
      </c>
      <c r="D15" s="184" t="s">
        <v>6552</v>
      </c>
      <c r="E15" s="184" t="s">
        <v>7197</v>
      </c>
      <c r="F15" s="184"/>
      <c r="G15" s="184" t="s">
        <v>7201</v>
      </c>
      <c r="H15" s="184" t="s">
        <v>7191</v>
      </c>
      <c r="I15" s="184" t="s">
        <v>7199</v>
      </c>
      <c r="J15" s="184" t="s">
        <v>5164</v>
      </c>
      <c r="K15" s="183">
        <v>46153.146319444444</v>
      </c>
      <c r="L15" s="184" t="s">
        <v>7200</v>
      </c>
      <c r="M15" s="184"/>
    </row>
    <row r="16" spans="1:13">
      <c r="A16" s="229">
        <v>20</v>
      </c>
      <c r="B16" s="229" t="s">
        <v>4906</v>
      </c>
      <c r="C16" s="229" t="s">
        <v>7202</v>
      </c>
      <c r="D16" s="229" t="s">
        <v>6222</v>
      </c>
      <c r="E16" s="229" t="s">
        <v>4906</v>
      </c>
      <c r="F16" s="229"/>
      <c r="G16" s="229" t="s">
        <v>7203</v>
      </c>
      <c r="H16" s="229" t="s">
        <v>7204</v>
      </c>
      <c r="I16" s="229" t="s">
        <v>7205</v>
      </c>
      <c r="J16" s="229" t="s">
        <v>7206</v>
      </c>
      <c r="K16" s="230">
        <v>46168.04111111111</v>
      </c>
      <c r="L16" s="229" t="s">
        <v>7207</v>
      </c>
      <c r="M16" s="229"/>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602AE-695E-40DD-ABD8-2DE98556F650}">
  <sheetPr codeName="Sheet9">
    <tabColor rgb="FF002060"/>
  </sheetPr>
  <dimension ref="A1:N21"/>
  <sheetViews>
    <sheetView workbookViewId="0">
      <selection activeCell="E20" sqref="E20"/>
    </sheetView>
  </sheetViews>
  <sheetFormatPr defaultRowHeight="14.25"/>
  <cols>
    <col min="1" max="1" width="8.625" bestFit="1" customWidth="1"/>
    <col min="2" max="2" width="12.625" bestFit="1" customWidth="1"/>
    <col min="3" max="3" width="27.375" bestFit="1" customWidth="1"/>
    <col min="4" max="4" width="10.125" bestFit="1" customWidth="1"/>
    <col min="5" max="5" width="13.375" bestFit="1" customWidth="1"/>
    <col min="6" max="6" width="26.75" bestFit="1" customWidth="1"/>
    <col min="7" max="7" width="15.125" bestFit="1" customWidth="1"/>
    <col min="8" max="8" width="13.25" bestFit="1" customWidth="1"/>
    <col min="9" max="9" width="21.375" bestFit="1" customWidth="1"/>
    <col min="10" max="10" width="19" bestFit="1" customWidth="1"/>
    <col min="11" max="11" width="18.625" bestFit="1" customWidth="1"/>
    <col min="12" max="12" width="15.25" bestFit="1" customWidth="1"/>
    <col min="13" max="13" width="22.875" bestFit="1" customWidth="1"/>
    <col min="14" max="14" width="8" bestFit="1" customWidth="1"/>
  </cols>
  <sheetData>
    <row r="1" spans="1:14" s="45" customFormat="1" ht="30">
      <c r="A1" s="67" t="s">
        <v>0</v>
      </c>
      <c r="B1" s="67" t="s">
        <v>4332</v>
      </c>
      <c r="C1" s="67" t="s">
        <v>2</v>
      </c>
      <c r="D1" s="67" t="s">
        <v>3</v>
      </c>
      <c r="E1" s="67" t="s">
        <v>4</v>
      </c>
      <c r="F1" s="67" t="s">
        <v>5</v>
      </c>
      <c r="G1" s="68" t="s">
        <v>6570</v>
      </c>
      <c r="H1" s="68" t="s">
        <v>6788</v>
      </c>
      <c r="I1" s="68" t="s">
        <v>7208</v>
      </c>
      <c r="J1" s="68" t="s">
        <v>7209</v>
      </c>
      <c r="K1" s="68" t="s">
        <v>13</v>
      </c>
      <c r="L1" s="60" t="s">
        <v>6790</v>
      </c>
      <c r="M1" s="69" t="s">
        <v>189</v>
      </c>
      <c r="N1" s="69" t="s">
        <v>6571</v>
      </c>
    </row>
    <row r="2" spans="1:14">
      <c r="A2" s="3"/>
      <c r="B2" s="3"/>
      <c r="C2" s="3"/>
      <c r="D2" s="3"/>
      <c r="E2" s="3"/>
      <c r="F2" s="3"/>
      <c r="G2" s="3"/>
      <c r="H2" s="3"/>
      <c r="I2" s="3"/>
      <c r="J2" s="3"/>
      <c r="K2" s="3"/>
      <c r="L2" s="3"/>
      <c r="M2" s="3"/>
      <c r="N2" s="216"/>
    </row>
    <row r="3" spans="1:14">
      <c r="A3" s="3">
        <v>11</v>
      </c>
      <c r="B3" s="3" t="s">
        <v>7210</v>
      </c>
      <c r="C3" s="3" t="s">
        <v>7211</v>
      </c>
      <c r="D3" s="3">
        <v>1</v>
      </c>
      <c r="E3" s="3" t="s">
        <v>674</v>
      </c>
      <c r="F3" s="3" t="s">
        <v>7212</v>
      </c>
      <c r="G3" s="3"/>
      <c r="H3" s="3">
        <v>8</v>
      </c>
      <c r="I3" s="3" t="s">
        <v>7213</v>
      </c>
      <c r="J3" s="3">
        <v>3.8</v>
      </c>
      <c r="K3" s="3" t="s">
        <v>5231</v>
      </c>
      <c r="L3" s="208">
        <v>46134.333425925928</v>
      </c>
      <c r="M3" s="3"/>
      <c r="N3" s="216"/>
    </row>
    <row r="4" spans="1:14">
      <c r="A4" s="3">
        <v>12</v>
      </c>
      <c r="B4" s="3" t="s">
        <v>7214</v>
      </c>
      <c r="C4" s="3" t="s">
        <v>7215</v>
      </c>
      <c r="D4" s="3" t="s">
        <v>522</v>
      </c>
      <c r="E4" s="3" t="s">
        <v>271</v>
      </c>
      <c r="F4" s="3" t="s">
        <v>7216</v>
      </c>
      <c r="G4" s="3"/>
      <c r="H4" s="3">
        <v>1</v>
      </c>
      <c r="I4" s="3" t="s">
        <v>7213</v>
      </c>
      <c r="J4" s="3" t="s">
        <v>7217</v>
      </c>
      <c r="K4" s="3" t="s">
        <v>5613</v>
      </c>
      <c r="L4" s="208">
        <v>46134.357418981483</v>
      </c>
      <c r="M4" s="3" t="s">
        <v>7218</v>
      </c>
      <c r="N4" s="216"/>
    </row>
    <row r="5" spans="1:14">
      <c r="A5" s="3">
        <v>13</v>
      </c>
      <c r="B5" s="3" t="s">
        <v>7219</v>
      </c>
      <c r="C5" s="3" t="s">
        <v>7220</v>
      </c>
      <c r="D5" s="3" t="s">
        <v>522</v>
      </c>
      <c r="E5" s="3" t="s">
        <v>271</v>
      </c>
      <c r="F5" s="3" t="s">
        <v>7221</v>
      </c>
      <c r="G5" s="3"/>
      <c r="H5" s="3">
        <v>1</v>
      </c>
      <c r="I5" s="3" t="s">
        <v>7222</v>
      </c>
      <c r="J5" s="3" t="s">
        <v>4840</v>
      </c>
      <c r="K5" s="3" t="s">
        <v>5613</v>
      </c>
      <c r="L5" s="208">
        <v>46134.36136574074</v>
      </c>
      <c r="M5" s="3" t="s">
        <v>7223</v>
      </c>
      <c r="N5" s="216"/>
    </row>
    <row r="6" spans="1:14">
      <c r="A6" s="3">
        <v>14</v>
      </c>
      <c r="B6" s="3" t="s">
        <v>7022</v>
      </c>
      <c r="C6" s="3" t="s">
        <v>7224</v>
      </c>
      <c r="D6" s="3" t="s">
        <v>522</v>
      </c>
      <c r="E6" s="3" t="s">
        <v>271</v>
      </c>
      <c r="F6" s="3" t="s">
        <v>7225</v>
      </c>
      <c r="G6" s="3"/>
      <c r="H6" s="3">
        <v>5</v>
      </c>
      <c r="I6" s="3" t="s">
        <v>7226</v>
      </c>
      <c r="J6" s="3" t="s">
        <v>4840</v>
      </c>
      <c r="K6" s="3" t="s">
        <v>5613</v>
      </c>
      <c r="L6" s="208">
        <v>46134.365798611114</v>
      </c>
      <c r="M6" s="3" t="s">
        <v>7223</v>
      </c>
      <c r="N6" s="216"/>
    </row>
    <row r="7" spans="1:14">
      <c r="A7" s="3">
        <v>15</v>
      </c>
      <c r="B7" s="3" t="s">
        <v>7227</v>
      </c>
      <c r="C7" s="3" t="s">
        <v>7228</v>
      </c>
      <c r="D7" s="3" t="s">
        <v>522</v>
      </c>
      <c r="E7" s="3" t="s">
        <v>271</v>
      </c>
      <c r="F7" s="3" t="s">
        <v>7225</v>
      </c>
      <c r="G7" s="3"/>
      <c r="H7" s="3">
        <v>3</v>
      </c>
      <c r="I7" s="3" t="s">
        <v>7226</v>
      </c>
      <c r="J7" s="3" t="s">
        <v>4840</v>
      </c>
      <c r="K7" s="3" t="s">
        <v>5613</v>
      </c>
      <c r="L7" s="208">
        <v>46134.366863425923</v>
      </c>
      <c r="M7" s="3" t="s">
        <v>7223</v>
      </c>
      <c r="N7" s="216"/>
    </row>
    <row r="8" spans="1:14">
      <c r="A8" s="3">
        <v>16</v>
      </c>
      <c r="B8" s="3" t="s">
        <v>7229</v>
      </c>
      <c r="C8" s="3" t="s">
        <v>7230</v>
      </c>
      <c r="D8" s="3">
        <v>1</v>
      </c>
      <c r="E8" s="3" t="s">
        <v>7231</v>
      </c>
      <c r="F8" s="3" t="s">
        <v>7230</v>
      </c>
      <c r="G8" s="3"/>
      <c r="H8" s="3">
        <v>2</v>
      </c>
      <c r="I8" s="3" t="s">
        <v>7232</v>
      </c>
      <c r="J8" s="3" t="s">
        <v>4840</v>
      </c>
      <c r="K8" s="3" t="s">
        <v>6407</v>
      </c>
      <c r="L8" s="208">
        <v>46134.42428240741</v>
      </c>
      <c r="M8" s="3"/>
      <c r="N8" s="216"/>
    </row>
    <row r="9" spans="1:14">
      <c r="A9" s="3">
        <v>17</v>
      </c>
      <c r="B9" s="3" t="s">
        <v>6634</v>
      </c>
      <c r="C9" s="3" t="s">
        <v>7233</v>
      </c>
      <c r="D9" s="3">
        <v>5</v>
      </c>
      <c r="E9" s="3" t="s">
        <v>7065</v>
      </c>
      <c r="F9" s="3" t="s">
        <v>7234</v>
      </c>
      <c r="G9" s="3"/>
      <c r="H9" s="3"/>
      <c r="I9" s="3" t="s">
        <v>7235</v>
      </c>
      <c r="J9" s="3" t="s">
        <v>7236</v>
      </c>
      <c r="K9" s="3" t="s">
        <v>7067</v>
      </c>
      <c r="L9" s="208">
        <v>46135.214965277781</v>
      </c>
      <c r="M9" s="3"/>
      <c r="N9" s="216"/>
    </row>
    <row r="10" spans="1:14" ht="28.5">
      <c r="A10" s="3">
        <v>18</v>
      </c>
      <c r="B10" s="3" t="s">
        <v>7237</v>
      </c>
      <c r="C10" s="3" t="s">
        <v>7238</v>
      </c>
      <c r="D10" s="3" t="s">
        <v>7239</v>
      </c>
      <c r="E10" s="3" t="s">
        <v>7018</v>
      </c>
      <c r="F10" s="3" t="s">
        <v>7240</v>
      </c>
      <c r="G10" s="3"/>
      <c r="H10" s="3" t="s">
        <v>7241</v>
      </c>
      <c r="I10" s="3" t="s">
        <v>7242</v>
      </c>
      <c r="J10" s="3" t="s">
        <v>4840</v>
      </c>
      <c r="K10" s="3" t="s">
        <v>7021</v>
      </c>
      <c r="L10" s="208">
        <v>46135.43041666667</v>
      </c>
      <c r="M10" s="3"/>
      <c r="N10" s="216"/>
    </row>
    <row r="11" spans="1:14" ht="57">
      <c r="A11" s="3">
        <v>19</v>
      </c>
      <c r="B11" s="3" t="s">
        <v>7243</v>
      </c>
      <c r="C11" s="3" t="s">
        <v>7244</v>
      </c>
      <c r="D11" s="3" t="s">
        <v>4398</v>
      </c>
      <c r="E11" s="3">
        <v>7</v>
      </c>
      <c r="F11" s="3" t="s">
        <v>7245</v>
      </c>
      <c r="G11" s="3"/>
      <c r="H11" s="3">
        <v>12</v>
      </c>
      <c r="I11" s="3" t="s">
        <v>7246</v>
      </c>
      <c r="J11" s="3" t="s">
        <v>5872</v>
      </c>
      <c r="K11" s="3" t="s">
        <v>7247</v>
      </c>
      <c r="L11" s="208">
        <v>46136.078356481485</v>
      </c>
      <c r="M11" s="3" t="s">
        <v>7248</v>
      </c>
      <c r="N11" s="216"/>
    </row>
    <row r="12" spans="1:14">
      <c r="A12" s="3">
        <v>20</v>
      </c>
      <c r="B12" s="3" t="s">
        <v>7249</v>
      </c>
      <c r="C12" s="3" t="s">
        <v>7250</v>
      </c>
      <c r="D12" s="3">
        <v>5</v>
      </c>
      <c r="E12" s="3" t="s">
        <v>6552</v>
      </c>
      <c r="F12" s="3" t="s">
        <v>7251</v>
      </c>
      <c r="G12" s="3"/>
      <c r="H12" s="3" t="s">
        <v>7252</v>
      </c>
      <c r="I12" s="3" t="s">
        <v>7253</v>
      </c>
      <c r="J12" s="3" t="s">
        <v>7236</v>
      </c>
      <c r="K12" s="3" t="s">
        <v>7067</v>
      </c>
      <c r="L12" s="208">
        <v>46136.294039351851</v>
      </c>
      <c r="M12" s="3"/>
      <c r="N12" s="216"/>
    </row>
    <row r="13" spans="1:14">
      <c r="A13" s="3">
        <v>21</v>
      </c>
      <c r="B13" s="3" t="s">
        <v>7254</v>
      </c>
      <c r="C13" s="3" t="s">
        <v>6339</v>
      </c>
      <c r="D13" s="3">
        <v>5</v>
      </c>
      <c r="E13" s="3" t="s">
        <v>6552</v>
      </c>
      <c r="F13" s="3" t="s">
        <v>7065</v>
      </c>
      <c r="G13" s="3"/>
      <c r="H13" s="3" t="s">
        <v>7255</v>
      </c>
      <c r="I13" s="3" t="s">
        <v>7256</v>
      </c>
      <c r="J13" s="3" t="s">
        <v>7257</v>
      </c>
      <c r="K13" s="3" t="s">
        <v>7067</v>
      </c>
      <c r="L13" s="208">
        <v>46136.296805555554</v>
      </c>
      <c r="M13" s="3"/>
      <c r="N13" s="216"/>
    </row>
    <row r="14" spans="1:14">
      <c r="A14" s="3">
        <v>22</v>
      </c>
      <c r="B14" s="3" t="s">
        <v>7258</v>
      </c>
      <c r="C14" s="3" t="s">
        <v>7259</v>
      </c>
      <c r="D14" s="3" t="s">
        <v>7260</v>
      </c>
      <c r="E14" s="3" t="s">
        <v>6243</v>
      </c>
      <c r="F14" s="3" t="s">
        <v>7261</v>
      </c>
      <c r="G14" s="3"/>
      <c r="H14" s="3" t="s">
        <v>7262</v>
      </c>
      <c r="I14" s="3" t="s">
        <v>7263</v>
      </c>
      <c r="J14" s="3" t="s">
        <v>7264</v>
      </c>
      <c r="K14" s="3" t="s">
        <v>5164</v>
      </c>
      <c r="L14" s="208">
        <v>46147.138356481482</v>
      </c>
      <c r="M14" s="3" t="s">
        <v>7265</v>
      </c>
      <c r="N14" s="216"/>
    </row>
    <row r="15" spans="1:14" ht="28.5">
      <c r="A15" s="3">
        <v>23</v>
      </c>
      <c r="B15" s="3" t="s">
        <v>7266</v>
      </c>
      <c r="C15" s="3" t="s">
        <v>7267</v>
      </c>
      <c r="D15" s="3" t="s">
        <v>5219</v>
      </c>
      <c r="E15" s="3" t="s">
        <v>5219</v>
      </c>
      <c r="F15" s="3" t="s">
        <v>7268</v>
      </c>
      <c r="G15" s="3"/>
      <c r="H15" s="3" t="s">
        <v>7269</v>
      </c>
      <c r="I15" s="3" t="s">
        <v>7270</v>
      </c>
      <c r="J15" s="3" t="s">
        <v>7236</v>
      </c>
      <c r="K15" s="3" t="s">
        <v>5224</v>
      </c>
      <c r="L15" s="208">
        <v>46147.358159722222</v>
      </c>
      <c r="M15" s="3"/>
      <c r="N15" s="216"/>
    </row>
    <row r="16" spans="1:14">
      <c r="A16" s="3">
        <v>24</v>
      </c>
      <c r="B16" s="3" t="s">
        <v>5219</v>
      </c>
      <c r="C16" s="3" t="s">
        <v>7271</v>
      </c>
      <c r="D16" s="3" t="s">
        <v>5219</v>
      </c>
      <c r="E16" s="3">
        <v>13</v>
      </c>
      <c r="F16" s="3" t="s">
        <v>7272</v>
      </c>
      <c r="G16" s="3"/>
      <c r="H16" s="3" t="s">
        <v>7273</v>
      </c>
      <c r="I16" s="3" t="s">
        <v>7274</v>
      </c>
      <c r="J16" s="3" t="s">
        <v>7236</v>
      </c>
      <c r="K16" s="3" t="s">
        <v>5224</v>
      </c>
      <c r="L16" s="208">
        <v>46147.361238425925</v>
      </c>
      <c r="M16" s="3" t="s">
        <v>7275</v>
      </c>
      <c r="N16" s="216"/>
    </row>
    <row r="17" spans="1:14">
      <c r="A17" s="3">
        <v>25</v>
      </c>
      <c r="B17" s="3" t="s">
        <v>7276</v>
      </c>
      <c r="C17" s="3" t="s">
        <v>2211</v>
      </c>
      <c r="D17" s="3">
        <v>8</v>
      </c>
      <c r="E17" s="3" t="s">
        <v>6822</v>
      </c>
      <c r="F17" s="3" t="s">
        <v>2211</v>
      </c>
      <c r="G17" s="3"/>
      <c r="H17" s="3">
        <v>1</v>
      </c>
      <c r="I17" s="3" t="s">
        <v>7277</v>
      </c>
      <c r="J17" s="3" t="s">
        <v>7278</v>
      </c>
      <c r="K17" s="3" t="s">
        <v>4837</v>
      </c>
      <c r="L17" s="208">
        <v>46149.24900462963</v>
      </c>
      <c r="M17" s="3" t="s">
        <v>7278</v>
      </c>
      <c r="N17" s="216"/>
    </row>
    <row r="18" spans="1:14" ht="28.5">
      <c r="A18" s="3">
        <v>26</v>
      </c>
      <c r="B18" s="3" t="s">
        <v>7109</v>
      </c>
      <c r="C18" s="3" t="s">
        <v>7279</v>
      </c>
      <c r="D18" s="3" t="s">
        <v>7110</v>
      </c>
      <c r="E18" s="3" t="s">
        <v>7280</v>
      </c>
      <c r="F18" s="3" t="s">
        <v>3378</v>
      </c>
      <c r="G18" s="3"/>
      <c r="H18" s="3">
        <v>3</v>
      </c>
      <c r="I18" s="3" t="s">
        <v>7281</v>
      </c>
      <c r="J18" s="3" t="s">
        <v>7282</v>
      </c>
      <c r="K18" s="3" t="s">
        <v>3282</v>
      </c>
      <c r="L18" s="208">
        <v>46149.445833333331</v>
      </c>
      <c r="M18" s="3" t="s">
        <v>7283</v>
      </c>
      <c r="N18" s="216"/>
    </row>
    <row r="19" spans="1:14">
      <c r="A19" s="3">
        <v>27</v>
      </c>
      <c r="B19" s="3" t="s">
        <v>7284</v>
      </c>
      <c r="C19" s="3" t="s">
        <v>7285</v>
      </c>
      <c r="D19" s="3" t="s">
        <v>7286</v>
      </c>
      <c r="E19" s="3" t="s">
        <v>234</v>
      </c>
      <c r="F19" s="3" t="s">
        <v>7287</v>
      </c>
      <c r="G19" s="3"/>
      <c r="H19" s="3">
        <v>1</v>
      </c>
      <c r="I19" s="3" t="s">
        <v>7288</v>
      </c>
      <c r="J19" s="3" t="s">
        <v>4840</v>
      </c>
      <c r="K19" s="3" t="s">
        <v>5096</v>
      </c>
      <c r="L19" s="208">
        <v>46150.45516203704</v>
      </c>
      <c r="M19" s="3" t="s">
        <v>7289</v>
      </c>
      <c r="N19" s="216"/>
    </row>
    <row r="20" spans="1:14">
      <c r="A20" s="3">
        <v>28</v>
      </c>
      <c r="B20" s="3" t="s">
        <v>7290</v>
      </c>
      <c r="C20" s="3" t="s">
        <v>7291</v>
      </c>
      <c r="D20" s="3" t="s">
        <v>7286</v>
      </c>
      <c r="E20" s="3" t="s">
        <v>7292</v>
      </c>
      <c r="F20" s="3" t="s">
        <v>7293</v>
      </c>
      <c r="G20" s="3"/>
      <c r="H20" s="3">
        <v>1</v>
      </c>
      <c r="I20" s="3" t="s">
        <v>7288</v>
      </c>
      <c r="J20" s="3" t="s">
        <v>4840</v>
      </c>
      <c r="K20" s="3" t="s">
        <v>5096</v>
      </c>
      <c r="L20" s="208">
        <v>46150.473449074074</v>
      </c>
      <c r="M20" s="3" t="s">
        <v>7289</v>
      </c>
      <c r="N20" s="216"/>
    </row>
    <row r="21" spans="1:14" ht="28.5">
      <c r="A21" s="3">
        <v>29</v>
      </c>
      <c r="B21" s="3" t="s">
        <v>7294</v>
      </c>
      <c r="C21" s="3" t="s">
        <v>7295</v>
      </c>
      <c r="D21" s="3" t="s">
        <v>7286</v>
      </c>
      <c r="E21" s="3" t="s">
        <v>7296</v>
      </c>
      <c r="F21" s="3" t="s">
        <v>7297</v>
      </c>
      <c r="G21" s="3"/>
      <c r="H21" s="3" t="s">
        <v>7298</v>
      </c>
      <c r="I21" s="3" t="s">
        <v>7299</v>
      </c>
      <c r="J21" s="3" t="s">
        <v>7300</v>
      </c>
      <c r="K21" s="3" t="s">
        <v>5096</v>
      </c>
      <c r="L21" s="208">
        <v>46150.477187500001</v>
      </c>
      <c r="M21" s="3" t="s">
        <v>7301</v>
      </c>
      <c r="N21" s="216"/>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ABD3-F275-425C-86F9-8E8F81295666}">
  <sheetPr>
    <tabColor rgb="FF002060"/>
  </sheetPr>
  <dimension ref="A1:O30"/>
  <sheetViews>
    <sheetView topLeftCell="A12" workbookViewId="0">
      <selection activeCell="G17" sqref="G17"/>
    </sheetView>
  </sheetViews>
  <sheetFormatPr defaultColWidth="8.75" defaultRowHeight="14.25"/>
  <cols>
    <col min="1" max="2" width="8.75" style="70"/>
    <col min="3" max="3" width="14.375" style="70" customWidth="1"/>
    <col min="4" max="4" width="8.75" style="70"/>
    <col min="5" max="5" width="9.75" style="70" customWidth="1"/>
    <col min="6" max="6" width="14.375" style="70" customWidth="1"/>
    <col min="9" max="9" width="14.375" customWidth="1"/>
    <col min="10" max="10" width="10.75" style="70" customWidth="1"/>
    <col min="11" max="11" width="12.875" style="70" customWidth="1"/>
    <col min="12" max="12" width="16.875" style="70" customWidth="1"/>
    <col min="13" max="14" width="15.875" style="70" customWidth="1"/>
    <col min="15" max="15" width="9.25" style="70" customWidth="1"/>
    <col min="16" max="16384" width="8.75" style="70"/>
  </cols>
  <sheetData>
    <row r="1" spans="1:15" s="3" customFormat="1" ht="90">
      <c r="A1" s="64" t="s">
        <v>0</v>
      </c>
      <c r="B1" s="64" t="s">
        <v>4332</v>
      </c>
      <c r="C1" s="64" t="s">
        <v>2</v>
      </c>
      <c r="D1" s="64" t="s">
        <v>3</v>
      </c>
      <c r="E1" s="64" t="s">
        <v>4</v>
      </c>
      <c r="F1" s="64" t="s">
        <v>5</v>
      </c>
      <c r="G1" s="65" t="s">
        <v>6788</v>
      </c>
      <c r="H1" s="65" t="s">
        <v>7302</v>
      </c>
      <c r="I1" s="65" t="s">
        <v>7303</v>
      </c>
      <c r="J1" s="65" t="s">
        <v>7304</v>
      </c>
      <c r="K1" s="65" t="s">
        <v>6570</v>
      </c>
      <c r="L1" s="65" t="s">
        <v>13</v>
      </c>
      <c r="M1" s="60" t="s">
        <v>6790</v>
      </c>
      <c r="N1" s="66" t="s">
        <v>7305</v>
      </c>
      <c r="O1" s="66" t="s">
        <v>6571</v>
      </c>
    </row>
    <row r="2" spans="1:15">
      <c r="G2" s="70"/>
      <c r="H2" s="70"/>
      <c r="I2" s="70"/>
      <c r="O2"/>
    </row>
    <row r="3" spans="1:15" ht="42.75">
      <c r="A3" s="70">
        <v>3</v>
      </c>
      <c r="B3" s="70" t="s">
        <v>7306</v>
      </c>
      <c r="C3" s="70" t="s">
        <v>6043</v>
      </c>
      <c r="D3" s="70">
        <v>5</v>
      </c>
      <c r="E3" s="70">
        <v>9</v>
      </c>
      <c r="F3" s="70" t="s">
        <v>1089</v>
      </c>
      <c r="G3" s="70">
        <v>1</v>
      </c>
      <c r="H3" s="70" t="s">
        <v>7307</v>
      </c>
      <c r="I3" s="70" t="s">
        <v>7308</v>
      </c>
      <c r="J3" s="70" t="s">
        <v>7309</v>
      </c>
      <c r="L3" s="70" t="s">
        <v>5164</v>
      </c>
      <c r="M3" s="70" t="s">
        <v>7310</v>
      </c>
    </row>
    <row r="4" spans="1:15" ht="42.75">
      <c r="A4" s="70">
        <v>4</v>
      </c>
      <c r="B4" s="70" t="s">
        <v>7311</v>
      </c>
      <c r="C4" s="70" t="s">
        <v>6796</v>
      </c>
      <c r="D4" s="70">
        <v>5</v>
      </c>
      <c r="E4" s="70">
        <v>9</v>
      </c>
      <c r="F4" s="70" t="s">
        <v>6797</v>
      </c>
      <c r="G4" s="70">
        <v>1</v>
      </c>
      <c r="H4" s="70" t="s">
        <v>7312</v>
      </c>
      <c r="I4" s="70" t="s">
        <v>7313</v>
      </c>
      <c r="J4" s="70" t="s">
        <v>7314</v>
      </c>
      <c r="L4" s="70" t="s">
        <v>5164</v>
      </c>
      <c r="M4" s="70" t="s">
        <v>7315</v>
      </c>
    </row>
    <row r="5" spans="1:15" ht="42.75">
      <c r="A5" s="70">
        <v>5</v>
      </c>
      <c r="B5" s="70" t="s">
        <v>6634</v>
      </c>
      <c r="C5" s="70" t="s">
        <v>7316</v>
      </c>
      <c r="D5" s="70">
        <v>5</v>
      </c>
      <c r="E5" s="70">
        <v>8</v>
      </c>
      <c r="F5" s="70" t="s">
        <v>7317</v>
      </c>
      <c r="G5" s="70">
        <v>1</v>
      </c>
      <c r="H5" s="70" t="s">
        <v>7318</v>
      </c>
      <c r="I5" s="70" t="s">
        <v>7319</v>
      </c>
      <c r="J5" s="70" t="s">
        <v>7320</v>
      </c>
      <c r="L5" s="70" t="s">
        <v>5164</v>
      </c>
      <c r="M5" s="70" t="s">
        <v>7321</v>
      </c>
    </row>
    <row r="6" spans="1:15" ht="42.75">
      <c r="A6" s="70">
        <v>6</v>
      </c>
      <c r="B6" s="70" t="s">
        <v>7322</v>
      </c>
      <c r="C6" s="70" t="s">
        <v>7316</v>
      </c>
      <c r="D6" s="70">
        <v>5</v>
      </c>
      <c r="E6" s="70">
        <v>8</v>
      </c>
      <c r="F6" s="70" t="s">
        <v>7323</v>
      </c>
      <c r="G6" s="70">
        <v>1</v>
      </c>
      <c r="H6" s="70" t="s">
        <v>7324</v>
      </c>
      <c r="I6" s="70" t="s">
        <v>7319</v>
      </c>
      <c r="J6" s="70" t="s">
        <v>7320</v>
      </c>
      <c r="L6" s="70" t="s">
        <v>5164</v>
      </c>
      <c r="M6" s="70" t="s">
        <v>7325</v>
      </c>
    </row>
    <row r="7" spans="1:15" ht="71.25">
      <c r="A7" s="70">
        <v>7</v>
      </c>
      <c r="B7" s="70">
        <v>25</v>
      </c>
      <c r="C7" s="70" t="s">
        <v>7326</v>
      </c>
      <c r="D7" s="70">
        <v>8</v>
      </c>
      <c r="E7" s="70">
        <v>5</v>
      </c>
      <c r="F7" s="70" t="s">
        <v>2214</v>
      </c>
      <c r="G7" s="70">
        <v>1</v>
      </c>
      <c r="H7" s="70" t="s">
        <v>7327</v>
      </c>
      <c r="I7" s="70" t="s">
        <v>7328</v>
      </c>
      <c r="J7" s="70" t="s">
        <v>7329</v>
      </c>
      <c r="L7" s="70" t="s">
        <v>4544</v>
      </c>
      <c r="M7" s="70" t="s">
        <v>7330</v>
      </c>
    </row>
    <row r="8" spans="1:15" ht="42.75">
      <c r="A8" s="70">
        <v>8</v>
      </c>
      <c r="B8" s="70" t="s">
        <v>7306</v>
      </c>
      <c r="C8" s="70" t="s">
        <v>7331</v>
      </c>
      <c r="D8" s="70">
        <v>5</v>
      </c>
      <c r="E8" s="70">
        <v>8</v>
      </c>
      <c r="F8" s="70" t="s">
        <v>7323</v>
      </c>
      <c r="G8" s="70">
        <v>1</v>
      </c>
      <c r="H8" s="70" t="s">
        <v>7332</v>
      </c>
      <c r="I8" s="70" t="s">
        <v>7333</v>
      </c>
      <c r="J8" s="70" t="s">
        <v>7320</v>
      </c>
      <c r="L8" s="70" t="s">
        <v>5164</v>
      </c>
      <c r="M8" s="70" t="s">
        <v>7334</v>
      </c>
    </row>
    <row r="9" spans="1:15" ht="57">
      <c r="A9" s="70">
        <v>9</v>
      </c>
      <c r="B9" s="70" t="s">
        <v>7335</v>
      </c>
      <c r="C9" s="70" t="s">
        <v>5174</v>
      </c>
      <c r="D9" s="70">
        <v>5</v>
      </c>
      <c r="E9" s="70">
        <v>6</v>
      </c>
      <c r="F9" s="70" t="s">
        <v>7336</v>
      </c>
      <c r="G9" s="70">
        <v>1</v>
      </c>
      <c r="H9" s="70" t="s">
        <v>7337</v>
      </c>
      <c r="I9" s="70" t="s">
        <v>7338</v>
      </c>
      <c r="J9" s="70" t="s">
        <v>7339</v>
      </c>
      <c r="L9" s="70" t="s">
        <v>5164</v>
      </c>
      <c r="M9" s="70" t="s">
        <v>7340</v>
      </c>
    </row>
    <row r="10" spans="1:15" ht="42.75">
      <c r="A10" s="70">
        <v>10</v>
      </c>
      <c r="B10" s="70" t="s">
        <v>7311</v>
      </c>
      <c r="C10" s="70" t="s">
        <v>7316</v>
      </c>
      <c r="D10" s="70">
        <v>5</v>
      </c>
      <c r="E10" s="70">
        <v>8</v>
      </c>
      <c r="F10" s="70" t="s">
        <v>6793</v>
      </c>
      <c r="G10" s="70">
        <v>1</v>
      </c>
      <c r="H10" s="70" t="s">
        <v>7341</v>
      </c>
      <c r="I10" s="70" t="s">
        <v>7308</v>
      </c>
      <c r="J10" s="70" t="s">
        <v>7314</v>
      </c>
      <c r="L10" s="70" t="s">
        <v>5164</v>
      </c>
      <c r="M10" s="70" t="s">
        <v>7342</v>
      </c>
    </row>
    <row r="11" spans="1:15" ht="42.75">
      <c r="A11" s="70">
        <v>11</v>
      </c>
      <c r="B11" s="70" t="s">
        <v>7322</v>
      </c>
      <c r="C11" s="70" t="s">
        <v>7343</v>
      </c>
      <c r="D11" s="70">
        <v>5</v>
      </c>
      <c r="E11" s="70">
        <v>11</v>
      </c>
      <c r="F11" s="70" t="s">
        <v>986</v>
      </c>
      <c r="G11" s="70">
        <v>1</v>
      </c>
      <c r="H11" s="70" t="s">
        <v>7344</v>
      </c>
      <c r="I11" s="70" t="s">
        <v>7308</v>
      </c>
      <c r="J11" s="70" t="s">
        <v>7314</v>
      </c>
      <c r="L11" s="70" t="s">
        <v>5164</v>
      </c>
      <c r="M11" s="70" t="s">
        <v>7345</v>
      </c>
    </row>
    <row r="12" spans="1:15" ht="42.75">
      <c r="A12" s="70">
        <v>12</v>
      </c>
      <c r="B12" s="70" t="s">
        <v>7346</v>
      </c>
      <c r="C12" s="70" t="s">
        <v>7347</v>
      </c>
      <c r="D12" s="70">
        <v>8</v>
      </c>
      <c r="E12" s="70">
        <v>4</v>
      </c>
      <c r="F12" s="70" t="s">
        <v>7348</v>
      </c>
      <c r="G12" s="70">
        <v>3</v>
      </c>
      <c r="H12" s="70" t="s">
        <v>7349</v>
      </c>
      <c r="I12" s="70" t="s">
        <v>7350</v>
      </c>
      <c r="J12" s="70" t="s">
        <v>7351</v>
      </c>
      <c r="L12" s="70" t="s">
        <v>4544</v>
      </c>
      <c r="M12" s="70" t="s">
        <v>7352</v>
      </c>
    </row>
    <row r="13" spans="1:15" ht="42.75">
      <c r="A13" s="70">
        <v>13</v>
      </c>
      <c r="B13" s="70" t="s">
        <v>6634</v>
      </c>
      <c r="C13" s="70" t="s">
        <v>7353</v>
      </c>
      <c r="D13" s="70">
        <v>5</v>
      </c>
      <c r="E13" s="70">
        <v>6</v>
      </c>
      <c r="F13" s="70" t="s">
        <v>904</v>
      </c>
      <c r="G13" s="70">
        <v>1</v>
      </c>
      <c r="H13" s="70" t="s">
        <v>7341</v>
      </c>
      <c r="I13" s="70" t="s">
        <v>7308</v>
      </c>
      <c r="J13" s="70" t="s">
        <v>7354</v>
      </c>
      <c r="L13" s="70" t="s">
        <v>5164</v>
      </c>
      <c r="M13" s="70" t="s">
        <v>7355</v>
      </c>
    </row>
    <row r="14" spans="1:15" ht="42.75">
      <c r="A14" s="70">
        <v>14</v>
      </c>
      <c r="B14" s="70" t="s">
        <v>7346</v>
      </c>
      <c r="C14" s="70" t="s">
        <v>7356</v>
      </c>
      <c r="D14" s="70">
        <v>8</v>
      </c>
      <c r="E14" s="70">
        <v>4</v>
      </c>
      <c r="F14" s="70" t="s">
        <v>7356</v>
      </c>
      <c r="G14" s="70">
        <v>3</v>
      </c>
      <c r="H14" s="70" t="s">
        <v>7349</v>
      </c>
      <c r="I14" s="70" t="s">
        <v>7357</v>
      </c>
      <c r="J14" s="70" t="s">
        <v>7358</v>
      </c>
      <c r="L14" s="70" t="s">
        <v>4544</v>
      </c>
      <c r="M14" s="70" t="s">
        <v>7359</v>
      </c>
    </row>
    <row r="15" spans="1:15" ht="42.75">
      <c r="A15" s="70">
        <v>15</v>
      </c>
      <c r="B15" s="70" t="s">
        <v>7360</v>
      </c>
      <c r="C15" s="70" t="s">
        <v>7361</v>
      </c>
      <c r="D15" s="70">
        <v>8</v>
      </c>
      <c r="E15" s="70">
        <v>4</v>
      </c>
      <c r="F15" s="70" t="s">
        <v>7362</v>
      </c>
      <c r="G15" s="70">
        <v>6</v>
      </c>
      <c r="H15" s="70" t="s">
        <v>7363</v>
      </c>
      <c r="I15" s="70" t="s">
        <v>7364</v>
      </c>
      <c r="J15" s="70" t="s">
        <v>7365</v>
      </c>
      <c r="L15" s="70" t="s">
        <v>4544</v>
      </c>
      <c r="M15" s="70" t="s">
        <v>7366</v>
      </c>
    </row>
    <row r="16" spans="1:15" ht="42.75">
      <c r="A16" s="70">
        <v>23</v>
      </c>
      <c r="B16" s="70" t="s">
        <v>7367</v>
      </c>
      <c r="C16" s="70" t="s">
        <v>5408</v>
      </c>
      <c r="D16" s="70">
        <v>1</v>
      </c>
      <c r="E16" s="70" t="s">
        <v>250</v>
      </c>
      <c r="F16" s="70" t="s">
        <v>7368</v>
      </c>
      <c r="G16" s="70">
        <v>1</v>
      </c>
      <c r="H16" s="70" t="s">
        <v>7369</v>
      </c>
      <c r="I16" s="70" t="s">
        <v>7370</v>
      </c>
      <c r="J16" s="70" t="s">
        <v>7371</v>
      </c>
      <c r="L16" s="70" t="s">
        <v>5537</v>
      </c>
      <c r="M16" s="70" t="s">
        <v>7372</v>
      </c>
      <c r="N16" s="70" t="s">
        <v>7373</v>
      </c>
    </row>
    <row r="17" spans="1:14">
      <c r="G17" s="70"/>
      <c r="H17" s="70"/>
      <c r="I17" s="70"/>
    </row>
    <row r="18" spans="1:14" ht="42.75">
      <c r="A18" s="70">
        <v>25</v>
      </c>
      <c r="B18" s="70" t="s">
        <v>7374</v>
      </c>
      <c r="C18" s="70" t="s">
        <v>7375</v>
      </c>
      <c r="D18" s="70">
        <v>1</v>
      </c>
      <c r="E18" s="70" t="s">
        <v>6647</v>
      </c>
      <c r="F18" s="70" t="s">
        <v>7376</v>
      </c>
      <c r="G18" s="70">
        <v>1</v>
      </c>
      <c r="H18" s="70" t="s">
        <v>7377</v>
      </c>
      <c r="I18" s="70" t="s">
        <v>7378</v>
      </c>
      <c r="J18" s="70" t="s">
        <v>7379</v>
      </c>
      <c r="L18" s="70" t="s">
        <v>6632</v>
      </c>
      <c r="M18" s="70" t="s">
        <v>7380</v>
      </c>
    </row>
    <row r="19" spans="1:14" ht="42.75">
      <c r="A19" s="70">
        <v>26</v>
      </c>
      <c r="B19" s="70" t="s">
        <v>7381</v>
      </c>
      <c r="C19" s="70" t="s">
        <v>7382</v>
      </c>
      <c r="D19" s="70" t="s">
        <v>6212</v>
      </c>
      <c r="E19" s="70" t="s">
        <v>6213</v>
      </c>
      <c r="F19" s="70" t="s">
        <v>7383</v>
      </c>
      <c r="G19" s="70" t="s">
        <v>7384</v>
      </c>
      <c r="H19" s="70" t="s">
        <v>7385</v>
      </c>
      <c r="I19" s="70" t="s">
        <v>7386</v>
      </c>
      <c r="J19" s="70" t="s">
        <v>7387</v>
      </c>
      <c r="L19" s="70" t="s">
        <v>6218</v>
      </c>
      <c r="M19" s="70" t="s">
        <v>7388</v>
      </c>
    </row>
    <row r="20" spans="1:14" ht="42.75">
      <c r="A20" s="70">
        <v>27</v>
      </c>
      <c r="B20" s="70" t="s">
        <v>7389</v>
      </c>
      <c r="C20" s="70" t="s">
        <v>7390</v>
      </c>
      <c r="D20" s="70" t="s">
        <v>7391</v>
      </c>
      <c r="E20" s="70" t="s">
        <v>6213</v>
      </c>
      <c r="F20" s="70" t="s">
        <v>7392</v>
      </c>
      <c r="G20" s="70" t="s">
        <v>7389</v>
      </c>
      <c r="H20" s="70" t="s">
        <v>7393</v>
      </c>
      <c r="I20" s="70" t="s">
        <v>7394</v>
      </c>
      <c r="J20" s="70" t="s">
        <v>7387</v>
      </c>
      <c r="L20" s="70" t="s">
        <v>6218</v>
      </c>
      <c r="M20" s="70" t="s">
        <v>7395</v>
      </c>
    </row>
    <row r="21" spans="1:14" ht="42.75">
      <c r="A21" s="70">
        <v>28</v>
      </c>
      <c r="B21" s="70" t="s">
        <v>7396</v>
      </c>
      <c r="C21" s="70" t="s">
        <v>7397</v>
      </c>
      <c r="D21" s="70" t="s">
        <v>6212</v>
      </c>
      <c r="E21" s="70" t="s">
        <v>6213</v>
      </c>
      <c r="F21" s="70" t="s">
        <v>7398</v>
      </c>
      <c r="G21" s="70" t="s">
        <v>7396</v>
      </c>
      <c r="H21" s="70" t="s">
        <v>7399</v>
      </c>
      <c r="I21" s="70" t="s">
        <v>7394</v>
      </c>
      <c r="J21" s="70" t="s">
        <v>7387</v>
      </c>
      <c r="L21" s="70" t="s">
        <v>6218</v>
      </c>
      <c r="M21" s="70" t="s">
        <v>7400</v>
      </c>
    </row>
    <row r="22" spans="1:14" ht="42.75">
      <c r="A22" s="70">
        <v>29</v>
      </c>
      <c r="B22" s="70" t="s">
        <v>7401</v>
      </c>
      <c r="C22" s="70" t="s">
        <v>7402</v>
      </c>
      <c r="D22" s="70" t="s">
        <v>6212</v>
      </c>
      <c r="E22" s="70" t="s">
        <v>6213</v>
      </c>
      <c r="F22" s="70" t="s">
        <v>7392</v>
      </c>
      <c r="G22" s="70" t="s">
        <v>7401</v>
      </c>
      <c r="H22" s="70" t="s">
        <v>7399</v>
      </c>
      <c r="I22" s="70" t="s">
        <v>7394</v>
      </c>
      <c r="J22" s="70" t="s">
        <v>7387</v>
      </c>
      <c r="L22" s="70" t="s">
        <v>6218</v>
      </c>
      <c r="M22" s="70" t="s">
        <v>7403</v>
      </c>
    </row>
    <row r="23" spans="1:14" ht="28.5">
      <c r="A23" s="70">
        <v>30</v>
      </c>
      <c r="B23" s="70" t="s">
        <v>7404</v>
      </c>
      <c r="C23" s="70" t="s">
        <v>7405</v>
      </c>
      <c r="D23" s="70">
        <v>8</v>
      </c>
      <c r="E23" s="70" t="s">
        <v>4556</v>
      </c>
      <c r="F23" s="70" t="s">
        <v>7406</v>
      </c>
      <c r="G23" s="70">
        <v>1</v>
      </c>
      <c r="H23" s="70" t="s">
        <v>7407</v>
      </c>
      <c r="I23" s="70" t="s">
        <v>7370</v>
      </c>
      <c r="J23" s="70" t="s">
        <v>7387</v>
      </c>
      <c r="L23" s="70" t="s">
        <v>6757</v>
      </c>
      <c r="M23" s="70" t="s">
        <v>7408</v>
      </c>
    </row>
    <row r="24" spans="1:14" ht="28.5">
      <c r="A24" s="70">
        <v>31</v>
      </c>
      <c r="B24" s="70" t="s">
        <v>6634</v>
      </c>
      <c r="C24" s="70" t="s">
        <v>7409</v>
      </c>
      <c r="D24" s="70">
        <v>8</v>
      </c>
      <c r="E24" s="70" t="s">
        <v>4556</v>
      </c>
      <c r="F24" s="70" t="s">
        <v>7410</v>
      </c>
      <c r="G24" s="70">
        <v>1</v>
      </c>
      <c r="H24" s="70" t="s">
        <v>7407</v>
      </c>
      <c r="I24" s="70" t="s">
        <v>7411</v>
      </c>
      <c r="J24" s="70" t="s">
        <v>7387</v>
      </c>
      <c r="L24" s="70" t="s">
        <v>6757</v>
      </c>
      <c r="M24" s="70" t="s">
        <v>7412</v>
      </c>
    </row>
    <row r="25" spans="1:14" ht="28.5">
      <c r="A25" s="70">
        <v>32</v>
      </c>
      <c r="B25" s="70" t="s">
        <v>7413</v>
      </c>
      <c r="C25" s="70" t="s">
        <v>7405</v>
      </c>
      <c r="D25" s="70">
        <v>8</v>
      </c>
      <c r="E25" s="70" t="s">
        <v>4556</v>
      </c>
      <c r="F25" s="70" t="s">
        <v>7414</v>
      </c>
      <c r="G25" s="70">
        <v>2</v>
      </c>
      <c r="H25" s="70" t="s">
        <v>7407</v>
      </c>
      <c r="I25" s="70" t="s">
        <v>7370</v>
      </c>
      <c r="J25" s="70" t="s">
        <v>7387</v>
      </c>
      <c r="L25" s="70" t="s">
        <v>6757</v>
      </c>
      <c r="M25" s="70" t="s">
        <v>7415</v>
      </c>
    </row>
    <row r="26" spans="1:14" ht="43.5">
      <c r="A26" s="70">
        <v>33</v>
      </c>
      <c r="B26" s="70" t="s">
        <v>7416</v>
      </c>
      <c r="C26" s="70" t="s">
        <v>7353</v>
      </c>
      <c r="D26" s="70" t="s">
        <v>6242</v>
      </c>
      <c r="E26" s="70" t="s">
        <v>6552</v>
      </c>
      <c r="F26" s="70" t="s">
        <v>904</v>
      </c>
      <c r="G26" s="70">
        <v>1</v>
      </c>
      <c r="H26" s="70" t="s">
        <v>7324</v>
      </c>
      <c r="I26" s="70" t="s">
        <v>7313</v>
      </c>
      <c r="J26" s="70" t="s">
        <v>7387</v>
      </c>
      <c r="L26" s="70" t="s">
        <v>5164</v>
      </c>
      <c r="M26" s="70" t="s">
        <v>7417</v>
      </c>
    </row>
    <row r="27" spans="1:14" ht="43.5">
      <c r="A27" s="70">
        <v>34</v>
      </c>
      <c r="B27" s="70" t="s">
        <v>7418</v>
      </c>
      <c r="C27" s="70" t="s">
        <v>7353</v>
      </c>
      <c r="D27" s="70" t="s">
        <v>6242</v>
      </c>
      <c r="E27" s="70" t="s">
        <v>6552</v>
      </c>
      <c r="F27" s="70" t="s">
        <v>904</v>
      </c>
      <c r="G27" s="70">
        <v>1</v>
      </c>
      <c r="H27" s="70" t="s">
        <v>7324</v>
      </c>
      <c r="I27" s="70" t="s">
        <v>7313</v>
      </c>
      <c r="J27" s="70" t="s">
        <v>7387</v>
      </c>
      <c r="L27" s="70" t="s">
        <v>5164</v>
      </c>
      <c r="M27" s="70" t="s">
        <v>7419</v>
      </c>
      <c r="N27" s="70" t="s">
        <v>7420</v>
      </c>
    </row>
    <row r="28" spans="1:14" ht="43.5">
      <c r="A28" s="70">
        <v>35</v>
      </c>
      <c r="B28" s="70" t="s">
        <v>7421</v>
      </c>
      <c r="C28" s="70" t="s">
        <v>7353</v>
      </c>
      <c r="D28" s="70" t="s">
        <v>6242</v>
      </c>
      <c r="E28" s="70" t="s">
        <v>6552</v>
      </c>
      <c r="F28" s="70" t="s">
        <v>904</v>
      </c>
      <c r="G28" s="70">
        <v>1</v>
      </c>
      <c r="H28" s="70" t="s">
        <v>7324</v>
      </c>
      <c r="I28" s="70" t="s">
        <v>7422</v>
      </c>
      <c r="J28" s="70" t="s">
        <v>7387</v>
      </c>
      <c r="L28" s="70" t="s">
        <v>5164</v>
      </c>
      <c r="M28" s="70" t="s">
        <v>7423</v>
      </c>
      <c r="N28" s="70" t="s">
        <v>7420</v>
      </c>
    </row>
    <row r="29" spans="1:14" ht="57.75">
      <c r="A29" s="70">
        <v>36</v>
      </c>
      <c r="B29" s="70" t="s">
        <v>7424</v>
      </c>
      <c r="C29" s="70" t="s">
        <v>6043</v>
      </c>
      <c r="D29" s="70">
        <v>10</v>
      </c>
      <c r="E29" s="70" t="s">
        <v>6927</v>
      </c>
      <c r="F29" s="70" t="s">
        <v>3242</v>
      </c>
      <c r="G29" s="70" t="s">
        <v>7425</v>
      </c>
      <c r="H29" s="70" t="s">
        <v>7426</v>
      </c>
      <c r="I29" s="70" t="s">
        <v>7427</v>
      </c>
      <c r="J29" s="70" t="s">
        <v>7387</v>
      </c>
      <c r="L29" s="70" t="s">
        <v>6764</v>
      </c>
      <c r="M29" s="70" t="s">
        <v>7428</v>
      </c>
      <c r="N29" s="70" t="s">
        <v>7429</v>
      </c>
    </row>
    <row r="30" spans="1:14" ht="43.5">
      <c r="A30" s="70">
        <v>37</v>
      </c>
      <c r="B30" s="70" t="s">
        <v>7430</v>
      </c>
      <c r="C30" s="70" t="s">
        <v>6043</v>
      </c>
      <c r="D30" s="70">
        <v>10</v>
      </c>
      <c r="E30" s="70" t="s">
        <v>7431</v>
      </c>
      <c r="F30" s="70" t="s">
        <v>3242</v>
      </c>
      <c r="G30" s="70" t="s">
        <v>7432</v>
      </c>
      <c r="H30" s="70" t="s">
        <v>7318</v>
      </c>
      <c r="I30" s="70" t="s">
        <v>7433</v>
      </c>
      <c r="J30" s="70" t="s">
        <v>7387</v>
      </c>
      <c r="L30" s="70" t="s">
        <v>7206</v>
      </c>
      <c r="M30" s="70" t="s">
        <v>7434</v>
      </c>
      <c r="N30" s="70" t="s">
        <v>7435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EC41-A3B8-4667-BFFB-345B66C021F4}">
  <sheetPr codeName="Sheet11">
    <tabColor rgb="FF002060"/>
  </sheetPr>
  <dimension ref="A1:L43"/>
  <sheetViews>
    <sheetView workbookViewId="0">
      <selection activeCell="K25" sqref="K25"/>
    </sheetView>
  </sheetViews>
  <sheetFormatPr defaultRowHeight="14.25"/>
  <cols>
    <col min="1" max="1" width="6.625" bestFit="1" customWidth="1"/>
    <col min="2" max="2" width="24" bestFit="1" customWidth="1"/>
    <col min="3" max="3" width="10.125" bestFit="1" customWidth="1"/>
    <col min="4" max="4" width="16.125" bestFit="1" customWidth="1"/>
    <col min="5" max="5" width="27.125" bestFit="1" customWidth="1"/>
    <col min="6" max="6" width="13.125" bestFit="1" customWidth="1"/>
    <col min="7" max="7" width="11.25" bestFit="1" customWidth="1"/>
    <col min="8" max="8" width="15.875" bestFit="1" customWidth="1"/>
    <col min="9" max="9" width="16.625" bestFit="1" customWidth="1"/>
    <col min="10" max="10" width="15.25" bestFit="1" customWidth="1"/>
    <col min="11" max="11" width="44.375" bestFit="1" customWidth="1"/>
    <col min="12" max="12" width="6" bestFit="1" customWidth="1"/>
  </cols>
  <sheetData>
    <row r="1" spans="1:12" s="2" customFormat="1" ht="15">
      <c r="A1" s="61" t="s">
        <v>0</v>
      </c>
      <c r="B1" s="61" t="s">
        <v>2</v>
      </c>
      <c r="C1" s="61" t="s">
        <v>3</v>
      </c>
      <c r="D1" s="61" t="s">
        <v>4</v>
      </c>
      <c r="E1" s="61" t="s">
        <v>5</v>
      </c>
      <c r="F1" s="62" t="s">
        <v>6570</v>
      </c>
      <c r="G1" s="62" t="s">
        <v>6788</v>
      </c>
      <c r="H1" s="62" t="s">
        <v>7436</v>
      </c>
      <c r="I1" s="62" t="s">
        <v>13</v>
      </c>
      <c r="J1" s="60" t="s">
        <v>6790</v>
      </c>
      <c r="K1" s="60" t="s">
        <v>189</v>
      </c>
      <c r="L1" s="60" t="s">
        <v>6571</v>
      </c>
    </row>
    <row r="2" spans="1:12" s="2" customFormat="1">
      <c r="A2" s="184">
        <v>2</v>
      </c>
      <c r="B2" s="184" t="s">
        <v>6805</v>
      </c>
      <c r="C2" s="184">
        <v>5</v>
      </c>
      <c r="D2" s="184">
        <v>9</v>
      </c>
      <c r="E2" s="184" t="s">
        <v>6805</v>
      </c>
      <c r="F2" s="184"/>
      <c r="G2" s="184">
        <v>2</v>
      </c>
      <c r="H2" s="184" t="s">
        <v>7437</v>
      </c>
      <c r="I2" s="184" t="s">
        <v>5164</v>
      </c>
      <c r="J2" s="184"/>
      <c r="K2" s="184"/>
      <c r="L2" s="184"/>
    </row>
    <row r="3" spans="1:12">
      <c r="A3" s="184">
        <v>2</v>
      </c>
      <c r="B3" s="184" t="s">
        <v>6805</v>
      </c>
      <c r="C3" s="184">
        <v>5</v>
      </c>
      <c r="D3" s="184">
        <v>9</v>
      </c>
      <c r="E3" s="184" t="s">
        <v>6805</v>
      </c>
      <c r="F3" s="184"/>
      <c r="G3" s="184">
        <v>2</v>
      </c>
      <c r="H3" s="184" t="s">
        <v>7437</v>
      </c>
      <c r="I3" s="184" t="s">
        <v>5164</v>
      </c>
      <c r="J3" s="183">
        <v>45706.319826388892</v>
      </c>
      <c r="K3" s="184"/>
      <c r="L3" s="184"/>
    </row>
    <row r="4" spans="1:12">
      <c r="A4" s="184">
        <v>3</v>
      </c>
      <c r="B4" s="184" t="s">
        <v>6796</v>
      </c>
      <c r="C4" s="184" t="s">
        <v>5157</v>
      </c>
      <c r="D4" s="184">
        <v>9</v>
      </c>
      <c r="E4" s="184" t="s">
        <v>6803</v>
      </c>
      <c r="F4" s="184"/>
      <c r="G4" s="184">
        <v>8</v>
      </c>
      <c r="H4" s="184" t="s">
        <v>7438</v>
      </c>
      <c r="I4" s="184" t="s">
        <v>5164</v>
      </c>
      <c r="J4" s="183">
        <v>45720.112523148149</v>
      </c>
      <c r="K4" s="184"/>
      <c r="L4" s="184"/>
    </row>
    <row r="5" spans="1:12">
      <c r="A5" s="184">
        <v>3</v>
      </c>
      <c r="B5" s="184" t="s">
        <v>6796</v>
      </c>
      <c r="C5" s="184" t="s">
        <v>5157</v>
      </c>
      <c r="D5" s="184">
        <v>9</v>
      </c>
      <c r="E5" s="184" t="s">
        <v>6803</v>
      </c>
      <c r="F5" s="184"/>
      <c r="G5" s="184">
        <v>8</v>
      </c>
      <c r="H5" s="184" t="s">
        <v>7438</v>
      </c>
      <c r="I5" s="184" t="s">
        <v>5164</v>
      </c>
      <c r="J5" s="183"/>
      <c r="K5" s="184"/>
      <c r="L5" s="184"/>
    </row>
    <row r="6" spans="1:12">
      <c r="A6" s="184"/>
      <c r="B6" s="184"/>
      <c r="C6" s="184"/>
      <c r="D6" s="184"/>
      <c r="E6" s="184"/>
      <c r="F6" s="184"/>
      <c r="G6" s="184"/>
      <c r="H6" s="184"/>
      <c r="I6" s="184"/>
      <c r="J6" s="183"/>
      <c r="K6" s="184"/>
      <c r="L6" s="184"/>
    </row>
    <row r="7" spans="1:12">
      <c r="A7" s="184">
        <v>9</v>
      </c>
      <c r="B7" s="184" t="s">
        <v>7439</v>
      </c>
      <c r="C7" s="184">
        <v>1</v>
      </c>
      <c r="D7" s="184" t="s">
        <v>250</v>
      </c>
      <c r="E7" s="184" t="s">
        <v>7440</v>
      </c>
      <c r="F7" s="184"/>
      <c r="G7" s="184">
        <v>1</v>
      </c>
      <c r="H7" s="184" t="s">
        <v>7437</v>
      </c>
      <c r="I7" s="184" t="s">
        <v>5317</v>
      </c>
      <c r="J7" s="183"/>
      <c r="K7" s="184" t="s">
        <v>7441</v>
      </c>
      <c r="L7" s="184"/>
    </row>
    <row r="8" spans="1:12">
      <c r="A8" s="184">
        <v>9</v>
      </c>
      <c r="B8" s="184" t="s">
        <v>7439</v>
      </c>
      <c r="C8" s="184">
        <v>1</v>
      </c>
      <c r="D8" s="184" t="s">
        <v>250</v>
      </c>
      <c r="E8" s="184" t="s">
        <v>7440</v>
      </c>
      <c r="F8" s="184"/>
      <c r="G8" s="184">
        <v>1</v>
      </c>
      <c r="H8" s="184" t="s">
        <v>7437</v>
      </c>
      <c r="I8" s="184" t="s">
        <v>5317</v>
      </c>
      <c r="J8" s="183">
        <v>46133.149861111109</v>
      </c>
      <c r="K8" s="184" t="s">
        <v>7441</v>
      </c>
      <c r="L8" s="184"/>
    </row>
    <row r="9" spans="1:12">
      <c r="A9" s="184"/>
      <c r="B9" s="184"/>
      <c r="C9" s="184"/>
      <c r="D9" s="184"/>
      <c r="E9" s="184"/>
      <c r="F9" s="184"/>
      <c r="G9" s="184"/>
      <c r="H9" s="184"/>
      <c r="I9" s="184"/>
      <c r="J9" s="183"/>
      <c r="K9" s="184"/>
      <c r="L9" s="184"/>
    </row>
    <row r="10" spans="1:12">
      <c r="A10" s="184">
        <v>10</v>
      </c>
      <c r="B10" s="184" t="s">
        <v>7442</v>
      </c>
      <c r="C10" s="184">
        <v>1</v>
      </c>
      <c r="D10" s="184" t="s">
        <v>250</v>
      </c>
      <c r="E10" s="184" t="s">
        <v>7443</v>
      </c>
      <c r="F10" s="184"/>
      <c r="G10" s="184">
        <v>7</v>
      </c>
      <c r="H10" s="184" t="s">
        <v>7444</v>
      </c>
      <c r="I10" s="184" t="s">
        <v>5231</v>
      </c>
      <c r="J10" s="183">
        <v>46133.493148148147</v>
      </c>
      <c r="K10" s="184"/>
      <c r="L10" s="184"/>
    </row>
    <row r="11" spans="1:12">
      <c r="A11" s="184">
        <v>11</v>
      </c>
      <c r="B11" s="184" t="s">
        <v>7445</v>
      </c>
      <c r="C11" s="184">
        <v>1</v>
      </c>
      <c r="D11" s="184" t="s">
        <v>674</v>
      </c>
      <c r="E11" s="184" t="s">
        <v>1449</v>
      </c>
      <c r="F11" s="184"/>
      <c r="G11" s="184">
        <v>6</v>
      </c>
      <c r="H11" s="184" t="s">
        <v>7444</v>
      </c>
      <c r="I11" s="184" t="s">
        <v>5317</v>
      </c>
      <c r="J11" s="183">
        <v>46133.500335648147</v>
      </c>
      <c r="K11" s="184"/>
      <c r="L11" s="184"/>
    </row>
    <row r="12" spans="1:12">
      <c r="A12" s="184"/>
      <c r="B12" s="184"/>
      <c r="C12" s="184"/>
      <c r="D12" s="184"/>
      <c r="E12" s="184"/>
      <c r="F12" s="184"/>
      <c r="G12" s="184"/>
      <c r="H12" s="184"/>
      <c r="I12" s="184"/>
      <c r="J12" s="183"/>
      <c r="K12" s="184"/>
      <c r="L12" s="184"/>
    </row>
    <row r="13" spans="1:12">
      <c r="A13" s="184">
        <v>12</v>
      </c>
      <c r="B13" s="184" t="s">
        <v>6590</v>
      </c>
      <c r="C13" s="184" t="s">
        <v>522</v>
      </c>
      <c r="D13" s="184" t="s">
        <v>274</v>
      </c>
      <c r="E13" s="184" t="s">
        <v>7446</v>
      </c>
      <c r="F13" s="184"/>
      <c r="G13" s="184">
        <v>8</v>
      </c>
      <c r="H13" s="184" t="s">
        <v>7447</v>
      </c>
      <c r="I13" s="184" t="s">
        <v>5613</v>
      </c>
      <c r="J13" s="183">
        <v>46134.341423611113</v>
      </c>
      <c r="K13" s="184"/>
      <c r="L13" s="184"/>
    </row>
    <row r="14" spans="1:12">
      <c r="A14" s="184">
        <v>13</v>
      </c>
      <c r="B14" s="184" t="s">
        <v>7448</v>
      </c>
      <c r="C14" s="184" t="s">
        <v>522</v>
      </c>
      <c r="D14" s="184" t="s">
        <v>4613</v>
      </c>
      <c r="E14" s="184" t="s">
        <v>7449</v>
      </c>
      <c r="F14" s="184"/>
      <c r="G14" s="184">
        <v>3</v>
      </c>
      <c r="H14" s="184" t="s">
        <v>7447</v>
      </c>
      <c r="I14" s="184" t="s">
        <v>5613</v>
      </c>
      <c r="J14" s="183">
        <v>46134.346342592595</v>
      </c>
      <c r="K14" s="184"/>
      <c r="L14" s="184"/>
    </row>
    <row r="15" spans="1:12">
      <c r="A15" s="184">
        <v>14</v>
      </c>
      <c r="B15" s="184" t="s">
        <v>7450</v>
      </c>
      <c r="C15" s="184" t="s">
        <v>4613</v>
      </c>
      <c r="D15" s="184" t="s">
        <v>4613</v>
      </c>
      <c r="E15" s="184" t="s">
        <v>7451</v>
      </c>
      <c r="F15" s="184"/>
      <c r="G15" s="184">
        <v>5</v>
      </c>
      <c r="H15" s="184" t="s">
        <v>7447</v>
      </c>
      <c r="I15" s="184" t="s">
        <v>5613</v>
      </c>
      <c r="J15" s="183">
        <v>46134.347731481481</v>
      </c>
      <c r="K15" s="184"/>
      <c r="L15" s="184"/>
    </row>
    <row r="16" spans="1:12">
      <c r="A16" s="184">
        <v>15</v>
      </c>
      <c r="B16" s="184" t="s">
        <v>7452</v>
      </c>
      <c r="C16" s="184" t="s">
        <v>677</v>
      </c>
      <c r="D16" s="184" t="s">
        <v>7453</v>
      </c>
      <c r="E16" s="184" t="s">
        <v>7454</v>
      </c>
      <c r="F16" s="184"/>
      <c r="G16" s="184" t="s">
        <v>7455</v>
      </c>
      <c r="H16" s="184" t="s">
        <v>7456</v>
      </c>
      <c r="I16" s="184" t="s">
        <v>7457</v>
      </c>
      <c r="J16" s="183">
        <v>46135.183900462966</v>
      </c>
      <c r="K16" s="184"/>
      <c r="L16" s="184"/>
    </row>
    <row r="17" spans="1:12">
      <c r="A17" s="184">
        <v>16</v>
      </c>
      <c r="B17" s="184" t="s">
        <v>7458</v>
      </c>
      <c r="C17" s="184" t="s">
        <v>6212</v>
      </c>
      <c r="D17" s="184" t="s">
        <v>6213</v>
      </c>
      <c r="E17" s="184" t="s">
        <v>7459</v>
      </c>
      <c r="F17" s="184"/>
      <c r="G17" s="184" t="s">
        <v>7460</v>
      </c>
      <c r="H17" s="184" t="s">
        <v>7456</v>
      </c>
      <c r="I17" s="184" t="s">
        <v>6218</v>
      </c>
      <c r="J17" s="183">
        <v>46135.19431712963</v>
      </c>
      <c r="K17" s="184"/>
      <c r="L17" s="184"/>
    </row>
    <row r="18" spans="1:12">
      <c r="A18" s="184">
        <v>17</v>
      </c>
      <c r="B18" s="184" t="s">
        <v>7458</v>
      </c>
      <c r="C18" s="184" t="s">
        <v>6212</v>
      </c>
      <c r="D18" s="184" t="s">
        <v>6213</v>
      </c>
      <c r="E18" s="184" t="s">
        <v>7461</v>
      </c>
      <c r="F18" s="184"/>
      <c r="G18" s="184" t="s">
        <v>7462</v>
      </c>
      <c r="H18" s="184" t="s">
        <v>7456</v>
      </c>
      <c r="I18" s="184" t="s">
        <v>6218</v>
      </c>
      <c r="J18" s="183">
        <v>46135.197777777779</v>
      </c>
      <c r="K18" s="184"/>
      <c r="L18" s="184"/>
    </row>
    <row r="19" spans="1:12">
      <c r="A19" s="184">
        <v>18</v>
      </c>
      <c r="B19" s="184" t="s">
        <v>7458</v>
      </c>
      <c r="C19" s="184" t="s">
        <v>6212</v>
      </c>
      <c r="D19" s="184" t="s">
        <v>6213</v>
      </c>
      <c r="E19" s="184" t="s">
        <v>7463</v>
      </c>
      <c r="F19" s="184"/>
      <c r="G19" s="184" t="s">
        <v>7464</v>
      </c>
      <c r="H19" s="184" t="s">
        <v>7456</v>
      </c>
      <c r="I19" s="184" t="s">
        <v>6218</v>
      </c>
      <c r="J19" s="183">
        <v>46135.200520833336</v>
      </c>
      <c r="K19" s="184"/>
      <c r="L19" s="184"/>
    </row>
    <row r="20" spans="1:12">
      <c r="A20" s="184">
        <v>19</v>
      </c>
      <c r="B20" s="184" t="s">
        <v>7458</v>
      </c>
      <c r="C20" s="184" t="s">
        <v>6212</v>
      </c>
      <c r="D20" s="184" t="s">
        <v>6213</v>
      </c>
      <c r="E20" s="184" t="s">
        <v>7465</v>
      </c>
      <c r="F20" s="184"/>
      <c r="G20" s="184" t="s">
        <v>7466</v>
      </c>
      <c r="H20" s="184" t="s">
        <v>7437</v>
      </c>
      <c r="I20" s="184" t="s">
        <v>6218</v>
      </c>
      <c r="J20" s="183">
        <v>46135.203321759262</v>
      </c>
      <c r="K20" s="184"/>
      <c r="L20" s="184"/>
    </row>
    <row r="21" spans="1:12">
      <c r="A21" s="184">
        <v>20</v>
      </c>
      <c r="B21" s="184" t="s">
        <v>4481</v>
      </c>
      <c r="C21" s="184" t="s">
        <v>6212</v>
      </c>
      <c r="D21" s="184" t="s">
        <v>6213</v>
      </c>
      <c r="E21" s="184" t="s">
        <v>7467</v>
      </c>
      <c r="F21" s="184"/>
      <c r="G21" s="184" t="s">
        <v>7468</v>
      </c>
      <c r="H21" s="184" t="s">
        <v>7437</v>
      </c>
      <c r="I21" s="184" t="s">
        <v>6218</v>
      </c>
      <c r="J21" s="183">
        <v>46135.206099537034</v>
      </c>
      <c r="K21" s="184"/>
      <c r="L21" s="184"/>
    </row>
    <row r="22" spans="1:12">
      <c r="A22" s="184">
        <v>21</v>
      </c>
      <c r="B22" s="184" t="s">
        <v>7469</v>
      </c>
      <c r="C22" s="184" t="s">
        <v>6212</v>
      </c>
      <c r="D22" s="184" t="s">
        <v>6213</v>
      </c>
      <c r="E22" s="184" t="s">
        <v>7470</v>
      </c>
      <c r="F22" s="184"/>
      <c r="G22" s="184" t="s">
        <v>7471</v>
      </c>
      <c r="H22" s="184" t="s">
        <v>7472</v>
      </c>
      <c r="I22" s="184" t="s">
        <v>6218</v>
      </c>
      <c r="J22" s="183">
        <v>46135.214166666665</v>
      </c>
      <c r="K22" s="184"/>
      <c r="L22" s="184"/>
    </row>
    <row r="23" spans="1:12">
      <c r="A23" s="184">
        <v>22</v>
      </c>
      <c r="B23" s="184" t="s">
        <v>7469</v>
      </c>
      <c r="C23" s="184" t="s">
        <v>6212</v>
      </c>
      <c r="D23" s="184" t="s">
        <v>7473</v>
      </c>
      <c r="E23" s="184" t="s">
        <v>7474</v>
      </c>
      <c r="F23" s="184"/>
      <c r="G23" s="184" t="s">
        <v>7475</v>
      </c>
      <c r="H23" s="184" t="s">
        <v>7472</v>
      </c>
      <c r="I23" s="184" t="s">
        <v>6218</v>
      </c>
      <c r="J23" s="183">
        <v>46135.247812499998</v>
      </c>
      <c r="K23" s="184"/>
      <c r="L23" s="184"/>
    </row>
    <row r="24" spans="1:12">
      <c r="A24" s="184">
        <v>27</v>
      </c>
      <c r="B24" s="184" t="s">
        <v>7458</v>
      </c>
      <c r="C24" s="184" t="s">
        <v>6212</v>
      </c>
      <c r="D24" s="184" t="s">
        <v>6213</v>
      </c>
      <c r="E24" s="184" t="s">
        <v>7461</v>
      </c>
      <c r="F24" s="184"/>
      <c r="G24" s="184" t="s">
        <v>7476</v>
      </c>
      <c r="H24" s="184" t="s">
        <v>7437</v>
      </c>
      <c r="I24" s="184" t="s">
        <v>6218</v>
      </c>
      <c r="J24" s="183">
        <v>46136.215254629627</v>
      </c>
      <c r="K24" s="184" t="s">
        <v>7477</v>
      </c>
      <c r="L24" s="184"/>
    </row>
    <row r="25" spans="1:12">
      <c r="A25" s="184">
        <v>28</v>
      </c>
      <c r="B25" s="184" t="s">
        <v>7478</v>
      </c>
      <c r="C25" s="184" t="s">
        <v>6212</v>
      </c>
      <c r="D25" s="184" t="s">
        <v>6213</v>
      </c>
      <c r="E25" s="184" t="s">
        <v>7479</v>
      </c>
      <c r="F25" s="184"/>
      <c r="G25" s="184" t="s">
        <v>7480</v>
      </c>
      <c r="H25" s="184" t="s">
        <v>7437</v>
      </c>
      <c r="I25" s="184" t="s">
        <v>6218</v>
      </c>
      <c r="J25" s="183">
        <v>46136.217395833337</v>
      </c>
      <c r="K25" s="184" t="s">
        <v>7477</v>
      </c>
      <c r="L25" s="184"/>
    </row>
    <row r="26" spans="1:12">
      <c r="A26" s="184">
        <v>29</v>
      </c>
      <c r="B26" s="184" t="s">
        <v>7481</v>
      </c>
      <c r="C26" s="184" t="s">
        <v>6212</v>
      </c>
      <c r="D26" s="184" t="s">
        <v>6213</v>
      </c>
      <c r="E26" s="184" t="s">
        <v>7482</v>
      </c>
      <c r="F26" s="184"/>
      <c r="G26" s="184" t="s">
        <v>7389</v>
      </c>
      <c r="H26" s="184" t="s">
        <v>7437</v>
      </c>
      <c r="I26" s="184" t="s">
        <v>6218</v>
      </c>
      <c r="J26" s="183">
        <v>46136.218969907408</v>
      </c>
      <c r="K26" s="184" t="s">
        <v>7477</v>
      </c>
      <c r="L26" s="184"/>
    </row>
    <row r="27" spans="1:12">
      <c r="A27" s="184">
        <v>30</v>
      </c>
      <c r="B27" s="184" t="s">
        <v>7483</v>
      </c>
      <c r="C27" s="184" t="s">
        <v>6212</v>
      </c>
      <c r="D27" s="184" t="s">
        <v>6213</v>
      </c>
      <c r="E27" s="184" t="s">
        <v>7483</v>
      </c>
      <c r="F27" s="184"/>
      <c r="G27" s="184" t="s">
        <v>7484</v>
      </c>
      <c r="H27" s="184" t="s">
        <v>7437</v>
      </c>
      <c r="I27" s="184" t="s">
        <v>6218</v>
      </c>
      <c r="J27" s="183">
        <v>46136.221458333333</v>
      </c>
      <c r="K27" s="184" t="s">
        <v>7477</v>
      </c>
      <c r="L27" s="184"/>
    </row>
    <row r="28" spans="1:12">
      <c r="A28" s="184">
        <v>23</v>
      </c>
      <c r="B28" s="184" t="s">
        <v>7485</v>
      </c>
      <c r="C28" s="184" t="s">
        <v>6212</v>
      </c>
      <c r="D28" s="184" t="s">
        <v>7473</v>
      </c>
      <c r="E28" s="184" t="s">
        <v>7454</v>
      </c>
      <c r="F28" s="184"/>
      <c r="G28" s="184" t="s">
        <v>7389</v>
      </c>
      <c r="H28" s="184" t="s">
        <v>7437</v>
      </c>
      <c r="I28" s="184" t="s">
        <v>6218</v>
      </c>
      <c r="J28" s="183">
        <v>46136.206979166665</v>
      </c>
      <c r="K28" s="184" t="s">
        <v>7477</v>
      </c>
      <c r="L28" s="184"/>
    </row>
    <row r="29" spans="1:12">
      <c r="A29" s="184">
        <v>24</v>
      </c>
      <c r="B29" s="184" t="s">
        <v>7458</v>
      </c>
      <c r="C29" s="184" t="s">
        <v>6212</v>
      </c>
      <c r="D29" s="184" t="s">
        <v>6213</v>
      </c>
      <c r="E29" s="184" t="s">
        <v>7463</v>
      </c>
      <c r="F29" s="184"/>
      <c r="G29" s="184" t="s">
        <v>7389</v>
      </c>
      <c r="H29" s="184" t="s">
        <v>7437</v>
      </c>
      <c r="I29" s="184" t="s">
        <v>6218</v>
      </c>
      <c r="J29" s="183">
        <v>46136.20894675926</v>
      </c>
      <c r="K29" s="184" t="s">
        <v>7477</v>
      </c>
      <c r="L29" s="184"/>
    </row>
    <row r="30" spans="1:12">
      <c r="A30" s="184">
        <v>25</v>
      </c>
      <c r="B30" s="184" t="s">
        <v>7458</v>
      </c>
      <c r="C30" s="184" t="s">
        <v>6212</v>
      </c>
      <c r="D30" s="184" t="s">
        <v>6213</v>
      </c>
      <c r="E30" s="184" t="s">
        <v>7465</v>
      </c>
      <c r="F30" s="184"/>
      <c r="G30" s="184" t="s">
        <v>7476</v>
      </c>
      <c r="H30" s="184" t="s">
        <v>7437</v>
      </c>
      <c r="I30" s="184" t="s">
        <v>6218</v>
      </c>
      <c r="J30" s="183">
        <v>46136.210625</v>
      </c>
      <c r="K30" s="184" t="s">
        <v>7477</v>
      </c>
      <c r="L30" s="184"/>
    </row>
    <row r="31" spans="1:12">
      <c r="A31" s="184">
        <v>26</v>
      </c>
      <c r="B31" s="184" t="s">
        <v>7458</v>
      </c>
      <c r="C31" s="184" t="s">
        <v>6212</v>
      </c>
      <c r="D31" s="184" t="s">
        <v>6213</v>
      </c>
      <c r="E31" s="184" t="s">
        <v>7486</v>
      </c>
      <c r="F31" s="184"/>
      <c r="G31" s="184" t="s">
        <v>7460</v>
      </c>
      <c r="H31" s="184" t="s">
        <v>7437</v>
      </c>
      <c r="I31" s="184" t="s">
        <v>6218</v>
      </c>
      <c r="J31" s="183">
        <v>46136.212418981479</v>
      </c>
      <c r="K31" s="184" t="s">
        <v>7477</v>
      </c>
      <c r="L31" s="184"/>
    </row>
    <row r="32" spans="1:12">
      <c r="A32" s="184">
        <v>31</v>
      </c>
      <c r="B32" s="184" t="s">
        <v>7487</v>
      </c>
      <c r="C32" s="184">
        <v>5</v>
      </c>
      <c r="D32" s="184" t="s">
        <v>7065</v>
      </c>
      <c r="E32" s="184" t="s">
        <v>7488</v>
      </c>
      <c r="F32" s="184"/>
      <c r="G32" s="184" t="s">
        <v>7489</v>
      </c>
      <c r="H32" s="184" t="s">
        <v>7456</v>
      </c>
      <c r="I32" s="184" t="s">
        <v>7067</v>
      </c>
      <c r="J32" s="183">
        <v>46136.298819444448</v>
      </c>
      <c r="K32" s="184"/>
      <c r="L32" s="184"/>
    </row>
    <row r="33" spans="1:12">
      <c r="A33" s="184">
        <v>32</v>
      </c>
      <c r="B33" s="184" t="s">
        <v>7490</v>
      </c>
      <c r="C33" s="184">
        <v>11</v>
      </c>
      <c r="D33" s="184" t="s">
        <v>4890</v>
      </c>
      <c r="E33" s="184" t="s">
        <v>7490</v>
      </c>
      <c r="F33" s="184"/>
      <c r="G33" s="184">
        <v>7</v>
      </c>
      <c r="H33" s="184" t="s">
        <v>7491</v>
      </c>
      <c r="I33" s="184" t="s">
        <v>4861</v>
      </c>
      <c r="J33" s="183">
        <v>46149.363136574073</v>
      </c>
      <c r="K33" s="184" t="s">
        <v>7492</v>
      </c>
      <c r="L33" s="184"/>
    </row>
    <row r="34" spans="1:12">
      <c r="A34" s="184">
        <v>33</v>
      </c>
      <c r="B34" s="184" t="s">
        <v>4906</v>
      </c>
      <c r="C34" s="184">
        <v>11</v>
      </c>
      <c r="D34" s="184" t="s">
        <v>4728</v>
      </c>
      <c r="E34" s="184" t="s">
        <v>7493</v>
      </c>
      <c r="F34" s="184"/>
      <c r="G34" s="184">
        <v>1</v>
      </c>
      <c r="H34" s="184" t="s">
        <v>7494</v>
      </c>
      <c r="I34" s="184" t="s">
        <v>4861</v>
      </c>
      <c r="J34" s="183">
        <v>46149.365185185183</v>
      </c>
      <c r="K34" s="184"/>
      <c r="L34" s="184"/>
    </row>
    <row r="35" spans="1:12">
      <c r="A35" s="184">
        <v>34</v>
      </c>
      <c r="B35" s="184" t="s">
        <v>4906</v>
      </c>
      <c r="C35" s="184">
        <v>11</v>
      </c>
      <c r="D35" s="184" t="s">
        <v>4728</v>
      </c>
      <c r="E35" s="184" t="s">
        <v>4907</v>
      </c>
      <c r="F35" s="184"/>
      <c r="G35" s="184">
        <v>1</v>
      </c>
      <c r="H35" s="184" t="s">
        <v>7494</v>
      </c>
      <c r="I35" s="184" t="s">
        <v>4861</v>
      </c>
      <c r="J35" s="183">
        <v>46149.366053240738</v>
      </c>
      <c r="K35" s="184"/>
      <c r="L35" s="184"/>
    </row>
    <row r="36" spans="1:12">
      <c r="A36" s="184">
        <v>35</v>
      </c>
      <c r="B36" s="184" t="s">
        <v>4906</v>
      </c>
      <c r="C36" s="184">
        <v>11</v>
      </c>
      <c r="D36" s="184" t="s">
        <v>4728</v>
      </c>
      <c r="E36" s="184" t="s">
        <v>7495</v>
      </c>
      <c r="F36" s="184"/>
      <c r="G36" s="184">
        <v>3</v>
      </c>
      <c r="H36" s="184" t="s">
        <v>7496</v>
      </c>
      <c r="I36" s="184" t="s">
        <v>4861</v>
      </c>
      <c r="J36" s="183">
        <v>46149.367708333331</v>
      </c>
      <c r="K36" s="184"/>
      <c r="L36" s="184"/>
    </row>
    <row r="37" spans="1:12">
      <c r="A37" s="184">
        <v>36</v>
      </c>
      <c r="B37" s="184" t="s">
        <v>7497</v>
      </c>
      <c r="C37" s="184">
        <v>11</v>
      </c>
      <c r="D37" s="184" t="s">
        <v>4748</v>
      </c>
      <c r="E37" s="184" t="s">
        <v>7498</v>
      </c>
      <c r="F37" s="184"/>
      <c r="G37" s="184">
        <v>2</v>
      </c>
      <c r="H37" s="184" t="s">
        <v>7494</v>
      </c>
      <c r="I37" s="184" t="s">
        <v>4861</v>
      </c>
      <c r="J37" s="183">
        <v>46149.383842592593</v>
      </c>
      <c r="K37" s="184"/>
      <c r="L37" s="184"/>
    </row>
    <row r="38" spans="1:12">
      <c r="A38" s="184">
        <v>37</v>
      </c>
      <c r="B38" s="184" t="s">
        <v>7499</v>
      </c>
      <c r="C38" s="184">
        <v>11</v>
      </c>
      <c r="D38" s="184" t="s">
        <v>4748</v>
      </c>
      <c r="E38" s="184" t="s">
        <v>7500</v>
      </c>
      <c r="F38" s="184"/>
      <c r="G38" s="184">
        <v>1</v>
      </c>
      <c r="H38" s="184" t="s">
        <v>7494</v>
      </c>
      <c r="I38" s="184" t="s">
        <v>4861</v>
      </c>
      <c r="J38" s="183">
        <v>46149.385289351849</v>
      </c>
      <c r="K38" s="184"/>
      <c r="L38" s="184"/>
    </row>
    <row r="39" spans="1:12">
      <c r="A39" s="184">
        <v>38</v>
      </c>
      <c r="B39" s="184" t="s">
        <v>7501</v>
      </c>
      <c r="C39" s="184">
        <v>11</v>
      </c>
      <c r="D39" s="184" t="s">
        <v>4748</v>
      </c>
      <c r="E39" s="184" t="s">
        <v>7502</v>
      </c>
      <c r="F39" s="184"/>
      <c r="G39" s="184">
        <v>3</v>
      </c>
      <c r="H39" s="184" t="s">
        <v>7494</v>
      </c>
      <c r="I39" s="184" t="s">
        <v>4861</v>
      </c>
      <c r="J39" s="183">
        <v>46149.386354166665</v>
      </c>
      <c r="K39" s="184"/>
      <c r="L39" s="184"/>
    </row>
    <row r="40" spans="1:12">
      <c r="A40" s="184">
        <v>39</v>
      </c>
      <c r="B40" s="184" t="s">
        <v>7501</v>
      </c>
      <c r="C40" s="184">
        <v>11</v>
      </c>
      <c r="D40" s="184" t="s">
        <v>4748</v>
      </c>
      <c r="E40" s="184" t="s">
        <v>7503</v>
      </c>
      <c r="F40" s="184"/>
      <c r="G40" s="184">
        <v>1</v>
      </c>
      <c r="H40" s="184" t="s">
        <v>7494</v>
      </c>
      <c r="I40" s="184" t="s">
        <v>4861</v>
      </c>
      <c r="J40" s="183">
        <v>46149.387094907404</v>
      </c>
      <c r="K40" s="184"/>
      <c r="L40" s="184"/>
    </row>
    <row r="41" spans="1:12">
      <c r="A41" s="184">
        <v>40</v>
      </c>
      <c r="B41" s="184" t="s">
        <v>7504</v>
      </c>
      <c r="C41" s="184">
        <v>11</v>
      </c>
      <c r="D41" s="184" t="s">
        <v>4890</v>
      </c>
      <c r="E41" s="184" t="s">
        <v>7505</v>
      </c>
      <c r="F41" s="184"/>
      <c r="G41" s="184">
        <v>5</v>
      </c>
      <c r="H41" s="184" t="s">
        <v>7494</v>
      </c>
      <c r="I41" s="184" t="s">
        <v>4861</v>
      </c>
      <c r="J41" s="183">
        <v>46149.389016203706</v>
      </c>
      <c r="K41" s="184"/>
      <c r="L41" s="184"/>
    </row>
    <row r="42" spans="1:12">
      <c r="A42" s="184">
        <v>41</v>
      </c>
      <c r="B42" s="184" t="s">
        <v>6766</v>
      </c>
      <c r="C42" s="184" t="s">
        <v>6767</v>
      </c>
      <c r="D42" s="184" t="s">
        <v>4890</v>
      </c>
      <c r="E42" s="184" t="s">
        <v>5876</v>
      </c>
      <c r="F42" s="184"/>
      <c r="G42" s="184" t="s">
        <v>6769</v>
      </c>
      <c r="H42" s="184" t="s">
        <v>7456</v>
      </c>
      <c r="I42" s="184" t="s">
        <v>6771</v>
      </c>
      <c r="J42" s="183">
        <v>46150.53702546296</v>
      </c>
      <c r="K42" s="184"/>
      <c r="L42" s="184"/>
    </row>
    <row r="43" spans="1:12">
      <c r="A43" s="184">
        <v>42</v>
      </c>
      <c r="B43" s="184" t="s">
        <v>3925</v>
      </c>
      <c r="C43" s="184">
        <v>11</v>
      </c>
      <c r="D43" s="184" t="s">
        <v>329</v>
      </c>
      <c r="E43" s="184" t="s">
        <v>5341</v>
      </c>
      <c r="F43" s="184"/>
      <c r="G43" s="184" t="s">
        <v>7506</v>
      </c>
      <c r="H43" s="184" t="s">
        <v>7507</v>
      </c>
      <c r="I43" s="184" t="s">
        <v>6771</v>
      </c>
      <c r="J43" s="183">
        <v>46150.993692129632</v>
      </c>
      <c r="K43" s="184"/>
      <c r="L43" s="184"/>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251E-19B6-46BE-B636-07D9CB1D871F}">
  <sheetPr>
    <tabColor rgb="FF0070C0"/>
  </sheetPr>
  <dimension ref="A1:P2"/>
  <sheetViews>
    <sheetView workbookViewId="0">
      <selection activeCell="G17" sqref="G17"/>
    </sheetView>
  </sheetViews>
  <sheetFormatPr defaultColWidth="9.125" defaultRowHeight="14.25"/>
  <cols>
    <col min="1" max="2" width="10.375" style="70" customWidth="1"/>
    <col min="3" max="3" width="14.375" style="70" customWidth="1"/>
    <col min="4" max="4" width="9.125" style="70"/>
    <col min="5" max="5" width="9.75" style="70" customWidth="1"/>
    <col min="6" max="6" width="14.375" style="70" customWidth="1"/>
    <col min="7" max="7" width="12.875" style="70" customWidth="1"/>
    <col min="8" max="12" width="10.75" style="70" customWidth="1"/>
    <col min="13" max="14" width="15.875" style="70" customWidth="1"/>
    <col min="15" max="15" width="9.25" style="70" customWidth="1"/>
    <col min="16" max="16384" width="9.125" style="70"/>
  </cols>
  <sheetData>
    <row r="1" spans="1:16" s="3" customFormat="1" ht="45">
      <c r="A1" s="64" t="s">
        <v>0</v>
      </c>
      <c r="B1" s="64" t="s">
        <v>4332</v>
      </c>
      <c r="C1" s="73" t="s">
        <v>2</v>
      </c>
      <c r="D1" s="64" t="s">
        <v>3</v>
      </c>
      <c r="E1" s="64" t="s">
        <v>4</v>
      </c>
      <c r="F1" s="64" t="s">
        <v>5</v>
      </c>
      <c r="G1" s="65" t="s">
        <v>7508</v>
      </c>
      <c r="H1" s="65" t="s">
        <v>6788</v>
      </c>
      <c r="I1" s="65" t="s">
        <v>7509</v>
      </c>
      <c r="J1" s="65" t="s">
        <v>7510</v>
      </c>
      <c r="K1" s="65" t="s">
        <v>7511</v>
      </c>
      <c r="L1" s="65" t="s">
        <v>7512</v>
      </c>
      <c r="M1" s="65" t="s">
        <v>13</v>
      </c>
      <c r="N1" s="66" t="s">
        <v>6790</v>
      </c>
      <c r="O1" s="66" t="s">
        <v>189</v>
      </c>
      <c r="P1" s="66" t="s">
        <v>6571</v>
      </c>
    </row>
    <row r="2" spans="1:16" s="74" customFormat="1" ht="15">
      <c r="A2" s="75"/>
      <c r="B2" s="75"/>
      <c r="C2" s="75"/>
      <c r="D2" s="76"/>
      <c r="E2" s="76"/>
      <c r="F2" s="76"/>
      <c r="G2" s="76"/>
      <c r="H2" s="76"/>
      <c r="I2" s="76"/>
      <c r="J2" s="76"/>
      <c r="K2" s="76"/>
      <c r="L2" s="76"/>
      <c r="M2" s="76"/>
      <c r="N2" s="77"/>
      <c r="O2" s="75"/>
      <c r="P2" s="7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EDC5-45C9-4D92-A161-B2784B840741}">
  <sheetPr codeName="Sheet12">
    <tabColor rgb="FF002060"/>
  </sheetPr>
  <dimension ref="A1:L24"/>
  <sheetViews>
    <sheetView workbookViewId="0">
      <selection activeCell="F22" sqref="F22"/>
    </sheetView>
  </sheetViews>
  <sheetFormatPr defaultRowHeight="14.25"/>
  <cols>
    <col min="1" max="1" width="6.625" bestFit="1" customWidth="1"/>
    <col min="2" max="2" width="16.5" bestFit="1" customWidth="1"/>
    <col min="3" max="3" width="10.125" bestFit="1" customWidth="1"/>
    <col min="4" max="4" width="13.375" bestFit="1" customWidth="1"/>
    <col min="5" max="5" width="22.25" bestFit="1" customWidth="1"/>
    <col min="6" max="6" width="33.375" bestFit="1" customWidth="1"/>
    <col min="7" max="7" width="11.25" bestFit="1" customWidth="1"/>
    <col min="8" max="8" width="11" bestFit="1" customWidth="1"/>
    <col min="9" max="9" width="16.875" bestFit="1" customWidth="1"/>
    <col min="10" max="10" width="15.25" bestFit="1" customWidth="1"/>
    <col min="11" max="11" width="16.625" bestFit="1" customWidth="1"/>
    <col min="12" max="12" width="6" bestFit="1" customWidth="1"/>
  </cols>
  <sheetData>
    <row r="1" spans="1:12" s="2" customFormat="1" ht="15">
      <c r="A1" s="61" t="s">
        <v>0</v>
      </c>
      <c r="B1" s="61" t="s">
        <v>2</v>
      </c>
      <c r="C1" s="61" t="s">
        <v>3</v>
      </c>
      <c r="D1" s="61" t="s">
        <v>4</v>
      </c>
      <c r="E1" s="61" t="s">
        <v>5</v>
      </c>
      <c r="F1" s="62" t="s">
        <v>7513</v>
      </c>
      <c r="G1" s="62" t="s">
        <v>6788</v>
      </c>
      <c r="H1" s="62" t="s">
        <v>7514</v>
      </c>
      <c r="I1" s="62" t="s">
        <v>13</v>
      </c>
      <c r="J1" s="60" t="s">
        <v>6790</v>
      </c>
      <c r="K1" s="60" t="s">
        <v>189</v>
      </c>
      <c r="L1" s="60" t="s">
        <v>6571</v>
      </c>
    </row>
    <row r="2" spans="1:12">
      <c r="A2" s="184">
        <v>3</v>
      </c>
      <c r="B2" s="184" t="s">
        <v>7515</v>
      </c>
      <c r="C2" s="184">
        <v>1</v>
      </c>
      <c r="D2" s="184" t="s">
        <v>250</v>
      </c>
      <c r="E2" s="184" t="s">
        <v>7516</v>
      </c>
      <c r="F2" s="184" t="s">
        <v>7517</v>
      </c>
      <c r="G2" s="184">
        <v>2</v>
      </c>
      <c r="H2" s="184" t="s">
        <v>7518</v>
      </c>
      <c r="I2" s="184" t="s">
        <v>5537</v>
      </c>
      <c r="J2" s="183">
        <v>46133.151736111111</v>
      </c>
      <c r="K2" s="184"/>
      <c r="L2" s="184"/>
    </row>
    <row r="3" spans="1:12">
      <c r="A3" s="184">
        <v>4</v>
      </c>
      <c r="B3" s="184" t="s">
        <v>6256</v>
      </c>
      <c r="C3" s="184">
        <v>1</v>
      </c>
      <c r="D3" s="184" t="s">
        <v>250</v>
      </c>
      <c r="E3" s="184" t="s">
        <v>7519</v>
      </c>
      <c r="F3" s="184" t="s">
        <v>6634</v>
      </c>
      <c r="G3" s="184">
        <v>1</v>
      </c>
      <c r="H3" s="184" t="s">
        <v>7520</v>
      </c>
      <c r="I3" s="184" t="s">
        <v>5231</v>
      </c>
      <c r="J3" s="183">
        <v>46133.259074074071</v>
      </c>
      <c r="K3" s="184"/>
      <c r="L3" s="184"/>
    </row>
    <row r="4" spans="1:12">
      <c r="A4" s="184">
        <v>5</v>
      </c>
      <c r="B4" s="184" t="s">
        <v>7521</v>
      </c>
      <c r="C4" s="184">
        <v>1</v>
      </c>
      <c r="D4" s="184" t="s">
        <v>250</v>
      </c>
      <c r="E4" s="184" t="s">
        <v>7522</v>
      </c>
      <c r="F4" s="184" t="s">
        <v>7523</v>
      </c>
      <c r="G4" s="184">
        <v>1</v>
      </c>
      <c r="H4" s="184" t="s">
        <v>7524</v>
      </c>
      <c r="I4" s="184" t="s">
        <v>5231</v>
      </c>
      <c r="J4" s="183">
        <v>46133.26085648148</v>
      </c>
      <c r="K4" s="184"/>
      <c r="L4" s="184"/>
    </row>
    <row r="5" spans="1:12">
      <c r="A5" s="184">
        <v>6</v>
      </c>
      <c r="B5" s="184" t="s">
        <v>5408</v>
      </c>
      <c r="C5" s="184">
        <v>1</v>
      </c>
      <c r="D5" s="184" t="s">
        <v>250</v>
      </c>
      <c r="E5" s="184" t="s">
        <v>928</v>
      </c>
      <c r="F5" s="184" t="s">
        <v>7525</v>
      </c>
      <c r="G5" s="184">
        <v>1</v>
      </c>
      <c r="H5" s="184" t="s">
        <v>7526</v>
      </c>
      <c r="I5" s="184" t="s">
        <v>5311</v>
      </c>
      <c r="J5" s="183">
        <v>46133.266099537039</v>
      </c>
      <c r="K5" s="184"/>
      <c r="L5" s="184"/>
    </row>
    <row r="6" spans="1:12">
      <c r="A6" s="184">
        <v>7</v>
      </c>
      <c r="B6" s="184" t="s">
        <v>5408</v>
      </c>
      <c r="C6" s="184">
        <v>1</v>
      </c>
      <c r="D6" s="184" t="s">
        <v>7527</v>
      </c>
      <c r="E6" s="184" t="s">
        <v>7528</v>
      </c>
      <c r="F6" s="184" t="s">
        <v>7529</v>
      </c>
      <c r="G6" s="184">
        <v>1</v>
      </c>
      <c r="H6" s="184" t="s">
        <v>7526</v>
      </c>
      <c r="I6" s="184" t="s">
        <v>5231</v>
      </c>
      <c r="J6" s="183">
        <v>46133.269328703704</v>
      </c>
      <c r="K6" s="184"/>
      <c r="L6" s="184"/>
    </row>
    <row r="7" spans="1:12">
      <c r="A7" s="184">
        <v>8</v>
      </c>
      <c r="B7" s="184" t="s">
        <v>5408</v>
      </c>
      <c r="C7" s="184">
        <v>1</v>
      </c>
      <c r="D7" s="184" t="s">
        <v>7231</v>
      </c>
      <c r="E7" s="184" t="s">
        <v>963</v>
      </c>
      <c r="F7" s="184" t="s">
        <v>7530</v>
      </c>
      <c r="G7" s="184">
        <v>1</v>
      </c>
      <c r="H7" s="184" t="s">
        <v>7526</v>
      </c>
      <c r="I7" s="184" t="s">
        <v>5317</v>
      </c>
      <c r="J7" s="183">
        <v>46133.271284722221</v>
      </c>
      <c r="K7" s="184"/>
      <c r="L7" s="184"/>
    </row>
    <row r="8" spans="1:12">
      <c r="A8" s="184">
        <v>9</v>
      </c>
      <c r="B8" s="184" t="s">
        <v>5408</v>
      </c>
      <c r="C8" s="184">
        <v>1</v>
      </c>
      <c r="D8" s="184" t="s">
        <v>674</v>
      </c>
      <c r="E8" s="184" t="s">
        <v>963</v>
      </c>
      <c r="F8" s="184" t="s">
        <v>7531</v>
      </c>
      <c r="G8" s="184">
        <v>1</v>
      </c>
      <c r="H8" s="184" t="s">
        <v>7526</v>
      </c>
      <c r="I8" s="184" t="s">
        <v>5317</v>
      </c>
      <c r="J8" s="183">
        <v>46133.27270833333</v>
      </c>
      <c r="K8" s="184"/>
      <c r="L8" s="184"/>
    </row>
    <row r="9" spans="1:12">
      <c r="A9" s="184">
        <v>10</v>
      </c>
      <c r="B9" s="184" t="s">
        <v>5408</v>
      </c>
      <c r="C9" s="184">
        <v>1</v>
      </c>
      <c r="D9" s="184" t="s">
        <v>7532</v>
      </c>
      <c r="E9" s="184" t="s">
        <v>1138</v>
      </c>
      <c r="F9" s="184" t="s">
        <v>7533</v>
      </c>
      <c r="G9" s="184">
        <v>1</v>
      </c>
      <c r="H9" s="184" t="s">
        <v>7526</v>
      </c>
      <c r="I9" s="184" t="s">
        <v>5317</v>
      </c>
      <c r="J9" s="183">
        <v>46133.278692129628</v>
      </c>
      <c r="K9" s="184"/>
      <c r="L9" s="184"/>
    </row>
    <row r="10" spans="1:12">
      <c r="A10" s="184">
        <v>11</v>
      </c>
      <c r="B10" s="184" t="s">
        <v>7534</v>
      </c>
      <c r="C10" s="184">
        <v>1</v>
      </c>
      <c r="D10" s="184" t="s">
        <v>7535</v>
      </c>
      <c r="E10" s="184" t="s">
        <v>1453</v>
      </c>
      <c r="F10" s="184" t="s">
        <v>7536</v>
      </c>
      <c r="G10" s="184">
        <v>2</v>
      </c>
      <c r="H10" s="184" t="s">
        <v>7526</v>
      </c>
      <c r="I10" s="184" t="s">
        <v>5317</v>
      </c>
      <c r="J10" s="183">
        <v>46133.496342592596</v>
      </c>
      <c r="K10" s="184"/>
      <c r="L10" s="184"/>
    </row>
    <row r="11" spans="1:12">
      <c r="A11" s="184">
        <v>12</v>
      </c>
      <c r="B11" s="184" t="s">
        <v>7537</v>
      </c>
      <c r="C11" s="184">
        <v>1</v>
      </c>
      <c r="D11" s="184" t="s">
        <v>250</v>
      </c>
      <c r="E11" s="184" t="s">
        <v>7538</v>
      </c>
      <c r="F11" s="184" t="s">
        <v>7418</v>
      </c>
      <c r="G11" s="184">
        <v>1</v>
      </c>
      <c r="H11" s="184" t="s">
        <v>7539</v>
      </c>
      <c r="I11" s="184" t="s">
        <v>5231</v>
      </c>
      <c r="J11" s="183">
        <v>46134.334409722222</v>
      </c>
      <c r="K11" s="184"/>
      <c r="L11" s="184"/>
    </row>
    <row r="12" spans="1:12">
      <c r="A12" s="184">
        <v>13</v>
      </c>
      <c r="B12" s="184" t="s">
        <v>7540</v>
      </c>
      <c r="C12" s="184" t="s">
        <v>522</v>
      </c>
      <c r="D12" s="184" t="s">
        <v>522</v>
      </c>
      <c r="E12" s="184" t="s">
        <v>7541</v>
      </c>
      <c r="F12" s="184" t="s">
        <v>7542</v>
      </c>
      <c r="G12" s="184">
        <v>11</v>
      </c>
      <c r="H12" s="184" t="s">
        <v>7543</v>
      </c>
      <c r="I12" s="184" t="s">
        <v>5613</v>
      </c>
      <c r="J12" s="183">
        <v>46134.354548611111</v>
      </c>
      <c r="K12" s="184"/>
      <c r="L12" s="184"/>
    </row>
    <row r="13" spans="1:12">
      <c r="A13" s="184">
        <v>14</v>
      </c>
      <c r="B13" s="184" t="s">
        <v>7544</v>
      </c>
      <c r="C13" s="184" t="s">
        <v>522</v>
      </c>
      <c r="D13" s="184" t="s">
        <v>522</v>
      </c>
      <c r="E13" s="184" t="s">
        <v>7545</v>
      </c>
      <c r="F13" s="184" t="s">
        <v>7546</v>
      </c>
      <c r="G13" s="184">
        <v>4</v>
      </c>
      <c r="H13" s="184" t="s">
        <v>7547</v>
      </c>
      <c r="I13" s="184" t="s">
        <v>5613</v>
      </c>
      <c r="J13" s="183">
        <v>46134.370046296295</v>
      </c>
      <c r="K13" s="184"/>
      <c r="L13" s="184"/>
    </row>
    <row r="14" spans="1:12">
      <c r="A14" s="184">
        <v>15</v>
      </c>
      <c r="B14" s="184" t="s">
        <v>7231</v>
      </c>
      <c r="C14" s="184">
        <v>1</v>
      </c>
      <c r="D14" s="184" t="s">
        <v>7231</v>
      </c>
      <c r="E14" s="184" t="s">
        <v>7548</v>
      </c>
      <c r="F14" s="184" t="s">
        <v>7549</v>
      </c>
      <c r="G14" s="184">
        <v>8</v>
      </c>
      <c r="H14" s="184" t="s">
        <v>7550</v>
      </c>
      <c r="I14" s="184" t="s">
        <v>6407</v>
      </c>
      <c r="J14" s="183">
        <v>46135.123182870368</v>
      </c>
      <c r="K14" s="184" t="s">
        <v>7551</v>
      </c>
      <c r="L14" s="184"/>
    </row>
    <row r="15" spans="1:12">
      <c r="A15" s="184">
        <v>16</v>
      </c>
      <c r="B15" s="184" t="s">
        <v>5707</v>
      </c>
      <c r="C15" s="184" t="s">
        <v>4412</v>
      </c>
      <c r="D15" s="184">
        <v>15</v>
      </c>
      <c r="E15" s="184" t="s">
        <v>7552</v>
      </c>
      <c r="F15" s="184" t="s">
        <v>7553</v>
      </c>
      <c r="G15" s="184"/>
      <c r="H15" s="184" t="s">
        <v>7554</v>
      </c>
      <c r="I15" s="184" t="s">
        <v>6785</v>
      </c>
      <c r="J15" s="183">
        <v>46135.696377314816</v>
      </c>
      <c r="K15" s="184"/>
      <c r="L15" s="184"/>
    </row>
    <row r="16" spans="1:12">
      <c r="A16" s="184">
        <v>17</v>
      </c>
      <c r="B16" s="184" t="s">
        <v>5707</v>
      </c>
      <c r="C16" s="184" t="s">
        <v>4412</v>
      </c>
      <c r="D16" s="184">
        <v>15</v>
      </c>
      <c r="E16" s="184" t="s">
        <v>7555</v>
      </c>
      <c r="F16" s="184" t="s">
        <v>7553</v>
      </c>
      <c r="G16" s="184"/>
      <c r="H16" s="184" t="s">
        <v>7556</v>
      </c>
      <c r="I16" s="184" t="s">
        <v>6785</v>
      </c>
      <c r="J16" s="183">
        <v>46135.696898148148</v>
      </c>
      <c r="K16" s="184"/>
      <c r="L16" s="184"/>
    </row>
    <row r="17" spans="1:12">
      <c r="A17" s="184">
        <v>18</v>
      </c>
      <c r="B17" s="184" t="s">
        <v>5707</v>
      </c>
      <c r="C17" s="184" t="s">
        <v>4412</v>
      </c>
      <c r="D17" s="184">
        <v>17</v>
      </c>
      <c r="E17" s="184" t="s">
        <v>7557</v>
      </c>
      <c r="F17" s="184" t="s">
        <v>7558</v>
      </c>
      <c r="G17" s="184"/>
      <c r="H17" s="184" t="s">
        <v>7559</v>
      </c>
      <c r="I17" s="184" t="s">
        <v>6785</v>
      </c>
      <c r="J17" s="183">
        <v>46135.697777777779</v>
      </c>
      <c r="K17" s="184"/>
      <c r="L17" s="184"/>
    </row>
    <row r="18" spans="1:12">
      <c r="A18" s="184">
        <v>19</v>
      </c>
      <c r="B18" s="184" t="s">
        <v>5707</v>
      </c>
      <c r="C18" s="184" t="s">
        <v>4412</v>
      </c>
      <c r="D18" s="184">
        <v>17</v>
      </c>
      <c r="E18" s="184" t="s">
        <v>7560</v>
      </c>
      <c r="F18" s="184" t="s">
        <v>7561</v>
      </c>
      <c r="G18" s="184"/>
      <c r="H18" s="184" t="s">
        <v>7559</v>
      </c>
      <c r="I18" s="184" t="s">
        <v>6785</v>
      </c>
      <c r="J18" s="183">
        <v>46135.698553240742</v>
      </c>
      <c r="K18" s="184"/>
      <c r="L18" s="184"/>
    </row>
    <row r="19" spans="1:12">
      <c r="A19" s="184">
        <v>20</v>
      </c>
      <c r="B19" s="184" t="s">
        <v>5707</v>
      </c>
      <c r="C19" s="184" t="s">
        <v>4412</v>
      </c>
      <c r="D19" s="184">
        <v>25</v>
      </c>
      <c r="E19" s="184" t="s">
        <v>7562</v>
      </c>
      <c r="F19" s="184" t="s">
        <v>7563</v>
      </c>
      <c r="G19" s="184"/>
      <c r="H19" s="184" t="s">
        <v>7564</v>
      </c>
      <c r="I19" s="184" t="s">
        <v>6785</v>
      </c>
      <c r="J19" s="183">
        <v>46135.699270833335</v>
      </c>
      <c r="K19" s="184"/>
      <c r="L19" s="184"/>
    </row>
    <row r="20" spans="1:12">
      <c r="A20" s="184">
        <v>21</v>
      </c>
      <c r="B20" s="184" t="s">
        <v>5707</v>
      </c>
      <c r="C20" s="184" t="s">
        <v>4412</v>
      </c>
      <c r="D20" s="184">
        <v>25</v>
      </c>
      <c r="E20" s="184" t="s">
        <v>7565</v>
      </c>
      <c r="F20" s="184" t="s">
        <v>7566</v>
      </c>
      <c r="G20" s="184"/>
      <c r="H20" s="184" t="s">
        <v>7564</v>
      </c>
      <c r="I20" s="184" t="s">
        <v>6785</v>
      </c>
      <c r="J20" s="183">
        <v>46135.700185185182</v>
      </c>
      <c r="K20" s="184"/>
      <c r="L20" s="184"/>
    </row>
    <row r="21" spans="1:12">
      <c r="A21" s="184">
        <v>22</v>
      </c>
      <c r="B21" s="184" t="s">
        <v>6260</v>
      </c>
      <c r="C21" s="184" t="s">
        <v>4412</v>
      </c>
      <c r="D21" s="184">
        <v>25</v>
      </c>
      <c r="E21" s="184" t="s">
        <v>7567</v>
      </c>
      <c r="F21" s="184" t="s">
        <v>7219</v>
      </c>
      <c r="G21" s="184"/>
      <c r="H21" s="184" t="s">
        <v>7564</v>
      </c>
      <c r="I21" s="184" t="s">
        <v>6785</v>
      </c>
      <c r="J21" s="183">
        <v>46135.701018518521</v>
      </c>
      <c r="K21" s="184"/>
      <c r="L21" s="184"/>
    </row>
    <row r="22" spans="1:12">
      <c r="A22" s="184">
        <v>23</v>
      </c>
      <c r="B22" s="184" t="s">
        <v>7568</v>
      </c>
      <c r="C22" s="184">
        <v>1</v>
      </c>
      <c r="D22" s="184" t="s">
        <v>250</v>
      </c>
      <c r="E22" s="184" t="s">
        <v>7569</v>
      </c>
      <c r="F22" s="184" t="s">
        <v>7570</v>
      </c>
      <c r="G22" s="184">
        <v>1</v>
      </c>
      <c r="H22" s="184" t="s">
        <v>7526</v>
      </c>
      <c r="I22" s="184" t="s">
        <v>5537</v>
      </c>
      <c r="J22" s="183">
        <v>46136.421979166669</v>
      </c>
      <c r="K22" s="184"/>
      <c r="L22" s="184"/>
    </row>
    <row r="23" spans="1:12">
      <c r="A23" s="184">
        <v>24</v>
      </c>
      <c r="B23" s="184" t="s">
        <v>7571</v>
      </c>
      <c r="C23" s="184">
        <v>1</v>
      </c>
      <c r="D23" s="184" t="s">
        <v>6647</v>
      </c>
      <c r="E23" s="184" t="s">
        <v>7572</v>
      </c>
      <c r="F23" s="184" t="s">
        <v>7573</v>
      </c>
      <c r="G23" s="184">
        <v>1</v>
      </c>
      <c r="H23" s="184" t="s">
        <v>7550</v>
      </c>
      <c r="I23" s="184" t="s">
        <v>6407</v>
      </c>
      <c r="J23" s="183">
        <v>46137.097951388889</v>
      </c>
      <c r="K23" s="184"/>
      <c r="L23" s="184"/>
    </row>
    <row r="24" spans="1:12">
      <c r="A24" s="184">
        <v>25</v>
      </c>
      <c r="B24" s="184" t="s">
        <v>7574</v>
      </c>
      <c r="C24" s="184">
        <v>8</v>
      </c>
      <c r="D24" s="184" t="s">
        <v>4556</v>
      </c>
      <c r="E24" s="184" t="s">
        <v>7575</v>
      </c>
      <c r="F24" s="184" t="s">
        <v>7576</v>
      </c>
      <c r="G24" s="184">
        <v>2</v>
      </c>
      <c r="H24" s="184" t="s">
        <v>7577</v>
      </c>
      <c r="I24" s="184" t="s">
        <v>6757</v>
      </c>
      <c r="J24" s="183">
        <v>46153.038935185185</v>
      </c>
      <c r="K24" s="184"/>
      <c r="L24" s="184"/>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EB4E-EF27-4FF5-A81D-21921509B49A}">
  <sheetPr codeName="Sheet13">
    <tabColor rgb="FF002060"/>
  </sheetPr>
  <dimension ref="A1:K39"/>
  <sheetViews>
    <sheetView workbookViewId="0">
      <selection activeCell="F30" sqref="F30"/>
    </sheetView>
  </sheetViews>
  <sheetFormatPr defaultRowHeight="14.25"/>
  <cols>
    <col min="1" max="1" width="6.625" bestFit="1" customWidth="1"/>
    <col min="2" max="2" width="26.75" bestFit="1" customWidth="1"/>
    <col min="3" max="3" width="10.125" bestFit="1" customWidth="1"/>
    <col min="4" max="4" width="10.25" bestFit="1" customWidth="1"/>
    <col min="5" max="5" width="26.75" bestFit="1" customWidth="1"/>
    <col min="6" max="6" width="13.125" bestFit="1" customWidth="1"/>
    <col min="7" max="7" width="11.25" bestFit="1" customWidth="1"/>
    <col min="8" max="8" width="16.625" bestFit="1" customWidth="1"/>
    <col min="9" max="9" width="15.25" bestFit="1" customWidth="1"/>
    <col min="10" max="10" width="23" bestFit="1" customWidth="1"/>
    <col min="11" max="11" width="6" bestFit="1" customWidth="1"/>
  </cols>
  <sheetData>
    <row r="1" spans="1:11" s="2" customFormat="1" ht="15">
      <c r="A1" s="61" t="s">
        <v>0</v>
      </c>
      <c r="B1" s="63" t="s">
        <v>2</v>
      </c>
      <c r="C1" s="61" t="s">
        <v>3</v>
      </c>
      <c r="D1" s="61" t="s">
        <v>4</v>
      </c>
      <c r="E1" s="61" t="s">
        <v>5</v>
      </c>
      <c r="F1" s="62" t="s">
        <v>6570</v>
      </c>
      <c r="G1" s="62" t="s">
        <v>6788</v>
      </c>
      <c r="H1" s="62" t="s">
        <v>13</v>
      </c>
      <c r="I1" s="60" t="s">
        <v>6790</v>
      </c>
      <c r="J1" s="60" t="s">
        <v>189</v>
      </c>
      <c r="K1" s="60" t="s">
        <v>6571</v>
      </c>
    </row>
    <row r="2" spans="1:11" s="185" customFormat="1">
      <c r="A2" s="187">
        <v>2</v>
      </c>
      <c r="B2" s="188" t="s">
        <v>6792</v>
      </c>
      <c r="C2" s="184">
        <v>5</v>
      </c>
      <c r="D2" s="184">
        <v>11</v>
      </c>
      <c r="E2" s="184" t="s">
        <v>7578</v>
      </c>
      <c r="F2" s="184"/>
      <c r="G2" s="184">
        <v>1</v>
      </c>
      <c r="H2" s="184" t="s">
        <v>5164</v>
      </c>
      <c r="I2" s="183">
        <v>45706.324629629627</v>
      </c>
      <c r="J2" s="184"/>
      <c r="K2" s="184"/>
    </row>
    <row r="3" spans="1:11" s="185" customFormat="1">
      <c r="A3" s="189">
        <v>3</v>
      </c>
      <c r="B3" s="190" t="s">
        <v>6959</v>
      </c>
      <c r="C3" s="184" t="s">
        <v>6157</v>
      </c>
      <c r="D3" s="184">
        <v>17</v>
      </c>
      <c r="E3" s="184" t="s">
        <v>6960</v>
      </c>
      <c r="F3" s="184">
        <v>1</v>
      </c>
      <c r="G3" s="184" t="s">
        <v>7579</v>
      </c>
      <c r="H3" s="184" t="s">
        <v>6161</v>
      </c>
      <c r="I3" s="183">
        <v>46133.278194444443</v>
      </c>
      <c r="J3" s="184" t="s">
        <v>7580</v>
      </c>
      <c r="K3" s="184"/>
    </row>
    <row r="4" spans="1:11" s="185" customFormat="1">
      <c r="A4" s="189">
        <v>4</v>
      </c>
      <c r="B4" s="190" t="s">
        <v>6964</v>
      </c>
      <c r="C4" s="184" t="s">
        <v>6157</v>
      </c>
      <c r="D4" s="184">
        <v>15</v>
      </c>
      <c r="E4" s="184" t="s">
        <v>6965</v>
      </c>
      <c r="F4" s="184"/>
      <c r="G4" s="184">
        <v>1</v>
      </c>
      <c r="H4" s="184" t="s">
        <v>6161</v>
      </c>
      <c r="I4" s="183">
        <v>46133.286215277774</v>
      </c>
      <c r="J4" s="184"/>
      <c r="K4" s="184"/>
    </row>
    <row r="5" spans="1:11" s="185" customFormat="1">
      <c r="A5" s="189">
        <v>5</v>
      </c>
      <c r="B5" s="190" t="s">
        <v>5262</v>
      </c>
      <c r="C5" s="184" t="s">
        <v>6157</v>
      </c>
      <c r="D5" s="184">
        <v>15</v>
      </c>
      <c r="E5" s="184" t="s">
        <v>7581</v>
      </c>
      <c r="F5" s="184"/>
      <c r="G5" s="184">
        <v>1</v>
      </c>
      <c r="H5" s="184" t="s">
        <v>6161</v>
      </c>
      <c r="I5" s="183">
        <v>46134.026782407411</v>
      </c>
      <c r="J5" s="184">
        <v>1</v>
      </c>
      <c r="K5" s="184"/>
    </row>
    <row r="6" spans="1:11" s="185" customFormat="1">
      <c r="A6" s="189">
        <v>6</v>
      </c>
      <c r="B6" s="190" t="s">
        <v>7582</v>
      </c>
      <c r="C6" s="184" t="s">
        <v>522</v>
      </c>
      <c r="D6" s="184">
        <v>25</v>
      </c>
      <c r="E6" s="184" t="s">
        <v>7582</v>
      </c>
      <c r="F6" s="184"/>
      <c r="G6" s="184"/>
      <c r="H6" s="184" t="s">
        <v>7025</v>
      </c>
      <c r="I6" s="183">
        <v>46135.258043981485</v>
      </c>
      <c r="J6" s="184" t="s">
        <v>7583</v>
      </c>
      <c r="K6" s="184"/>
    </row>
    <row r="7" spans="1:11">
      <c r="A7" s="189">
        <v>7</v>
      </c>
      <c r="B7" s="190" t="s">
        <v>7584</v>
      </c>
      <c r="C7" s="184" t="s">
        <v>6212</v>
      </c>
      <c r="D7" s="184" t="s">
        <v>6213</v>
      </c>
      <c r="E7" s="184" t="s">
        <v>7585</v>
      </c>
      <c r="F7" s="184"/>
      <c r="G7" s="184">
        <v>1</v>
      </c>
      <c r="H7" s="184" t="s">
        <v>6218</v>
      </c>
      <c r="I7" s="183">
        <v>46136.134826388887</v>
      </c>
      <c r="J7" s="184" t="s">
        <v>7586</v>
      </c>
      <c r="K7" s="184"/>
    </row>
    <row r="8" spans="1:11">
      <c r="A8" s="189">
        <v>8</v>
      </c>
      <c r="B8" s="190" t="s">
        <v>7584</v>
      </c>
      <c r="C8" s="184" t="s">
        <v>6212</v>
      </c>
      <c r="D8" s="184" t="s">
        <v>6213</v>
      </c>
      <c r="E8" s="184" t="s">
        <v>7587</v>
      </c>
      <c r="F8" s="184"/>
      <c r="G8" s="184">
        <v>1</v>
      </c>
      <c r="H8" s="184" t="s">
        <v>6218</v>
      </c>
      <c r="I8" s="183">
        <v>46136.136782407404</v>
      </c>
      <c r="J8" s="184" t="s">
        <v>7588</v>
      </c>
      <c r="K8" s="184"/>
    </row>
    <row r="9" spans="1:11">
      <c r="A9" s="189">
        <v>9</v>
      </c>
      <c r="B9" s="190" t="s">
        <v>7584</v>
      </c>
      <c r="C9" s="184" t="s">
        <v>6212</v>
      </c>
      <c r="D9" s="184" t="s">
        <v>6213</v>
      </c>
      <c r="E9" s="184" t="s">
        <v>7589</v>
      </c>
      <c r="F9" s="184"/>
      <c r="G9" s="184">
        <v>1</v>
      </c>
      <c r="H9" s="184" t="s">
        <v>6218</v>
      </c>
      <c r="I9" s="183">
        <v>46136.139108796298</v>
      </c>
      <c r="J9" s="184" t="s">
        <v>7588</v>
      </c>
      <c r="K9" s="184"/>
    </row>
    <row r="10" spans="1:11">
      <c r="A10" s="189">
        <v>10</v>
      </c>
      <c r="B10" s="190" t="s">
        <v>7590</v>
      </c>
      <c r="C10" s="184" t="s">
        <v>6212</v>
      </c>
      <c r="D10" s="184" t="s">
        <v>6213</v>
      </c>
      <c r="E10" s="184" t="s">
        <v>7591</v>
      </c>
      <c r="F10" s="184"/>
      <c r="G10" s="184">
        <v>1</v>
      </c>
      <c r="H10" s="184" t="s">
        <v>6218</v>
      </c>
      <c r="I10" s="183">
        <v>46136.14130787037</v>
      </c>
      <c r="J10" s="184" t="s">
        <v>7592</v>
      </c>
      <c r="K10" s="184"/>
    </row>
    <row r="11" spans="1:11">
      <c r="A11" s="189">
        <v>11</v>
      </c>
      <c r="B11" s="190" t="s">
        <v>7590</v>
      </c>
      <c r="C11" s="184" t="s">
        <v>6212</v>
      </c>
      <c r="D11" s="184" t="s">
        <v>6213</v>
      </c>
      <c r="E11" s="184" t="s">
        <v>7593</v>
      </c>
      <c r="F11" s="184"/>
      <c r="G11" s="184">
        <v>1</v>
      </c>
      <c r="H11" s="184" t="s">
        <v>6218</v>
      </c>
      <c r="I11" s="183">
        <v>46136.142870370371</v>
      </c>
      <c r="J11" s="184" t="s">
        <v>7588</v>
      </c>
      <c r="K11" s="184"/>
    </row>
    <row r="12" spans="1:11">
      <c r="A12" s="189">
        <v>12</v>
      </c>
      <c r="B12" s="190" t="s">
        <v>7594</v>
      </c>
      <c r="C12" s="184" t="s">
        <v>230</v>
      </c>
      <c r="D12" s="184" t="s">
        <v>522</v>
      </c>
      <c r="E12" s="184" t="s">
        <v>7595</v>
      </c>
      <c r="F12" s="184"/>
      <c r="G12" s="184">
        <v>1</v>
      </c>
      <c r="H12" s="184" t="s">
        <v>5323</v>
      </c>
      <c r="I12" s="183">
        <v>46136.240902777776</v>
      </c>
      <c r="J12" s="184"/>
      <c r="K12" s="184"/>
    </row>
    <row r="13" spans="1:11">
      <c r="A13" s="189">
        <v>13</v>
      </c>
      <c r="B13" s="190" t="s">
        <v>7596</v>
      </c>
      <c r="C13" s="184" t="s">
        <v>230</v>
      </c>
      <c r="D13" s="184" t="s">
        <v>522</v>
      </c>
      <c r="E13" s="184" t="s">
        <v>7597</v>
      </c>
      <c r="F13" s="184"/>
      <c r="G13" s="184">
        <v>1</v>
      </c>
      <c r="H13" s="184" t="s">
        <v>5323</v>
      </c>
      <c r="I13" s="183">
        <v>46136.2422337963</v>
      </c>
      <c r="J13" s="184"/>
      <c r="K13" s="184"/>
    </row>
    <row r="14" spans="1:11">
      <c r="A14" s="189">
        <v>16</v>
      </c>
      <c r="B14" s="190" t="s">
        <v>7598</v>
      </c>
      <c r="C14" s="184" t="s">
        <v>230</v>
      </c>
      <c r="D14" s="184" t="s">
        <v>7599</v>
      </c>
      <c r="E14" s="184" t="s">
        <v>7600</v>
      </c>
      <c r="F14" s="184"/>
      <c r="G14" s="184">
        <v>1</v>
      </c>
      <c r="H14" s="184" t="s">
        <v>7601</v>
      </c>
      <c r="I14" s="183">
        <v>46136.245740740742</v>
      </c>
      <c r="J14" s="184"/>
      <c r="K14" s="184"/>
    </row>
    <row r="15" spans="1:11">
      <c r="A15" s="189">
        <v>17</v>
      </c>
      <c r="B15" s="190" t="s">
        <v>7598</v>
      </c>
      <c r="C15" s="184" t="s">
        <v>230</v>
      </c>
      <c r="D15" s="184" t="s">
        <v>7602</v>
      </c>
      <c r="E15" s="184" t="s">
        <v>7603</v>
      </c>
      <c r="F15" s="184"/>
      <c r="G15" s="184">
        <v>1</v>
      </c>
      <c r="H15" s="184" t="s">
        <v>7601</v>
      </c>
      <c r="I15" s="183">
        <v>46136.259212962963</v>
      </c>
      <c r="J15" s="184"/>
      <c r="K15" s="184"/>
    </row>
    <row r="16" spans="1:11">
      <c r="A16" s="189">
        <v>18</v>
      </c>
      <c r="B16" s="190" t="s">
        <v>7604</v>
      </c>
      <c r="C16" s="184" t="s">
        <v>230</v>
      </c>
      <c r="D16" s="184" t="s">
        <v>741</v>
      </c>
      <c r="E16" s="184" t="s">
        <v>7605</v>
      </c>
      <c r="F16" s="184"/>
      <c r="G16" s="184">
        <v>1</v>
      </c>
      <c r="H16" s="184" t="s">
        <v>5323</v>
      </c>
      <c r="I16" s="183">
        <v>46136.260810185187</v>
      </c>
      <c r="J16" s="184"/>
      <c r="K16" s="184"/>
    </row>
    <row r="17" spans="1:11">
      <c r="A17" s="189">
        <v>19</v>
      </c>
      <c r="B17" s="190" t="s">
        <v>7604</v>
      </c>
      <c r="C17" s="184" t="s">
        <v>230</v>
      </c>
      <c r="D17" s="184" t="s">
        <v>741</v>
      </c>
      <c r="E17" s="184" t="s">
        <v>7605</v>
      </c>
      <c r="F17" s="184"/>
      <c r="G17" s="184">
        <v>1</v>
      </c>
      <c r="H17" s="184" t="s">
        <v>7606</v>
      </c>
      <c r="I17" s="183">
        <v>46136.262638888889</v>
      </c>
      <c r="J17" s="184"/>
      <c r="K17" s="184"/>
    </row>
    <row r="18" spans="1:11">
      <c r="A18" s="189">
        <v>20</v>
      </c>
      <c r="B18" s="190" t="s">
        <v>7607</v>
      </c>
      <c r="C18" s="184" t="s">
        <v>230</v>
      </c>
      <c r="D18" s="184" t="s">
        <v>274</v>
      </c>
      <c r="E18" s="184" t="s">
        <v>7608</v>
      </c>
      <c r="F18" s="184"/>
      <c r="G18" s="184">
        <v>1</v>
      </c>
      <c r="H18" s="184" t="s">
        <v>7601</v>
      </c>
      <c r="I18" s="183">
        <v>46136.264131944445</v>
      </c>
      <c r="J18" s="184"/>
      <c r="K18" s="184"/>
    </row>
    <row r="19" spans="1:11">
      <c r="A19" s="189">
        <v>15</v>
      </c>
      <c r="B19" s="190" t="s">
        <v>7598</v>
      </c>
      <c r="C19" s="184" t="s">
        <v>230</v>
      </c>
      <c r="D19" s="184" t="s">
        <v>741</v>
      </c>
      <c r="E19" s="184" t="s">
        <v>7603</v>
      </c>
      <c r="F19" s="184"/>
      <c r="G19" s="184">
        <v>1</v>
      </c>
      <c r="H19" s="184" t="s">
        <v>5323</v>
      </c>
      <c r="I19" s="183">
        <v>46136.245057870372</v>
      </c>
      <c r="J19" s="184"/>
      <c r="K19" s="184"/>
    </row>
    <row r="20" spans="1:11">
      <c r="A20" s="189">
        <v>14</v>
      </c>
      <c r="B20" s="190" t="s">
        <v>6196</v>
      </c>
      <c r="C20" s="184" t="s">
        <v>230</v>
      </c>
      <c r="D20" s="184" t="s">
        <v>741</v>
      </c>
      <c r="E20" s="184" t="s">
        <v>7605</v>
      </c>
      <c r="F20" s="184"/>
      <c r="G20" s="184">
        <v>1</v>
      </c>
      <c r="H20" s="184" t="s">
        <v>5323</v>
      </c>
      <c r="I20" s="183">
        <v>46136.243680555555</v>
      </c>
      <c r="J20" s="184"/>
      <c r="K20" s="184"/>
    </row>
    <row r="21" spans="1:11">
      <c r="A21" s="189">
        <v>21</v>
      </c>
      <c r="B21" s="190" t="s">
        <v>7609</v>
      </c>
      <c r="C21" s="184" t="s">
        <v>6212</v>
      </c>
      <c r="D21" s="184" t="s">
        <v>6213</v>
      </c>
      <c r="E21" s="184" t="s">
        <v>7610</v>
      </c>
      <c r="F21" s="184"/>
      <c r="G21" s="184">
        <v>1</v>
      </c>
      <c r="H21" s="184" t="s">
        <v>6218</v>
      </c>
      <c r="I21" s="183">
        <v>46136.321226851855</v>
      </c>
      <c r="J21" s="184" t="s">
        <v>7611</v>
      </c>
      <c r="K21" s="184"/>
    </row>
    <row r="22" spans="1:11">
      <c r="A22" s="189">
        <v>22</v>
      </c>
      <c r="B22" s="190" t="s">
        <v>7612</v>
      </c>
      <c r="C22" s="184" t="s">
        <v>6212</v>
      </c>
      <c r="D22" s="184" t="s">
        <v>6213</v>
      </c>
      <c r="E22" s="184" t="s">
        <v>7467</v>
      </c>
      <c r="F22" s="184"/>
      <c r="G22" s="184">
        <v>1</v>
      </c>
      <c r="H22" s="184" t="s">
        <v>6218</v>
      </c>
      <c r="I22" s="183">
        <v>46136.323564814818</v>
      </c>
      <c r="J22" s="184" t="s">
        <v>7611</v>
      </c>
      <c r="K22" s="184"/>
    </row>
    <row r="23" spans="1:11">
      <c r="A23" s="189">
        <v>23</v>
      </c>
      <c r="B23" s="190" t="s">
        <v>6659</v>
      </c>
      <c r="C23" s="184">
        <v>1</v>
      </c>
      <c r="D23" s="184" t="s">
        <v>7613</v>
      </c>
      <c r="E23" s="184" t="s">
        <v>7614</v>
      </c>
      <c r="F23" s="184"/>
      <c r="G23" s="184">
        <v>1</v>
      </c>
      <c r="H23" s="184" t="s">
        <v>6407</v>
      </c>
      <c r="I23" s="183">
        <v>46137.115995370368</v>
      </c>
      <c r="J23" s="184"/>
      <c r="K23" s="184"/>
    </row>
    <row r="24" spans="1:11">
      <c r="A24" s="189">
        <v>24</v>
      </c>
      <c r="B24" s="190" t="s">
        <v>7615</v>
      </c>
      <c r="C24" s="184">
        <v>1</v>
      </c>
      <c r="D24" s="184" t="s">
        <v>6647</v>
      </c>
      <c r="E24" s="184" t="s">
        <v>7616</v>
      </c>
      <c r="F24" s="184"/>
      <c r="G24" s="184">
        <v>1</v>
      </c>
      <c r="H24" s="184" t="s">
        <v>6407</v>
      </c>
      <c r="I24" s="183">
        <v>46137.12767361111</v>
      </c>
      <c r="J24" s="184"/>
      <c r="K24" s="184"/>
    </row>
    <row r="25" spans="1:11">
      <c r="A25" s="189">
        <v>25</v>
      </c>
      <c r="B25" s="190" t="s">
        <v>7617</v>
      </c>
      <c r="C25" s="184" t="s">
        <v>7018</v>
      </c>
      <c r="D25" s="184" t="s">
        <v>7018</v>
      </c>
      <c r="E25" s="184" t="s">
        <v>7618</v>
      </c>
      <c r="F25" s="184"/>
      <c r="G25" s="184">
        <v>1</v>
      </c>
      <c r="H25" s="184" t="s">
        <v>7021</v>
      </c>
      <c r="I25" s="183">
        <v>46139.303587962961</v>
      </c>
      <c r="J25" s="184" t="s">
        <v>7619</v>
      </c>
      <c r="K25" s="184"/>
    </row>
    <row r="26" spans="1:11">
      <c r="A26" s="189">
        <v>26</v>
      </c>
      <c r="B26" s="190" t="s">
        <v>7620</v>
      </c>
      <c r="C26" s="184" t="s">
        <v>7018</v>
      </c>
      <c r="D26" s="184" t="s">
        <v>7018</v>
      </c>
      <c r="E26" s="184" t="s">
        <v>7621</v>
      </c>
      <c r="F26" s="184"/>
      <c r="G26" s="184"/>
      <c r="H26" s="184" t="s">
        <v>7021</v>
      </c>
      <c r="I26" s="183">
        <v>46139.306990740741</v>
      </c>
      <c r="J26" s="184" t="s">
        <v>7619</v>
      </c>
      <c r="K26" s="184"/>
    </row>
    <row r="27" spans="1:11">
      <c r="A27" s="189">
        <v>27</v>
      </c>
      <c r="B27" s="190" t="s">
        <v>7620</v>
      </c>
      <c r="C27" s="184" t="s">
        <v>7018</v>
      </c>
      <c r="D27" s="184" t="s">
        <v>7018</v>
      </c>
      <c r="E27" s="184" t="s">
        <v>7622</v>
      </c>
      <c r="F27" s="184"/>
      <c r="G27" s="184">
        <v>1</v>
      </c>
      <c r="H27" s="184" t="s">
        <v>7021</v>
      </c>
      <c r="I27" s="183">
        <v>46139.307430555556</v>
      </c>
      <c r="J27" s="184" t="s">
        <v>7619</v>
      </c>
      <c r="K27" s="184"/>
    </row>
    <row r="28" spans="1:11">
      <c r="A28" s="189">
        <v>28</v>
      </c>
      <c r="B28" s="190" t="s">
        <v>7623</v>
      </c>
      <c r="C28" s="184" t="s">
        <v>7018</v>
      </c>
      <c r="D28" s="184" t="s">
        <v>7018</v>
      </c>
      <c r="E28" s="184" t="s">
        <v>7624</v>
      </c>
      <c r="F28" s="184"/>
      <c r="G28" s="184">
        <v>1</v>
      </c>
      <c r="H28" s="184" t="s">
        <v>7625</v>
      </c>
      <c r="I28" s="183">
        <v>46139.307789351849</v>
      </c>
      <c r="J28" s="184" t="s">
        <v>7619</v>
      </c>
      <c r="K28" s="184"/>
    </row>
    <row r="29" spans="1:11">
      <c r="A29" s="189">
        <v>29</v>
      </c>
      <c r="B29" s="190" t="s">
        <v>7626</v>
      </c>
      <c r="C29" s="184">
        <v>1</v>
      </c>
      <c r="D29" s="184" t="s">
        <v>6647</v>
      </c>
      <c r="E29" s="184" t="s">
        <v>7627</v>
      </c>
      <c r="F29" s="184"/>
      <c r="G29" s="184">
        <v>1</v>
      </c>
      <c r="H29" s="184" t="s">
        <v>6407</v>
      </c>
      <c r="I29" s="183">
        <v>46141.064062500001</v>
      </c>
      <c r="J29" s="184"/>
      <c r="K29" s="184"/>
    </row>
    <row r="30" spans="1:11">
      <c r="A30" s="189">
        <v>30</v>
      </c>
      <c r="B30" s="190" t="s">
        <v>6561</v>
      </c>
      <c r="C30" s="184" t="s">
        <v>6242</v>
      </c>
      <c r="D30" s="184" t="s">
        <v>6243</v>
      </c>
      <c r="E30" s="184" t="s">
        <v>6561</v>
      </c>
      <c r="F30" s="184"/>
      <c r="G30" s="184">
        <v>1</v>
      </c>
      <c r="H30" s="184" t="s">
        <v>5164</v>
      </c>
      <c r="I30" s="183">
        <v>46151.061493055553</v>
      </c>
      <c r="J30" s="184"/>
      <c r="K30" s="184"/>
    </row>
    <row r="31" spans="1:11">
      <c r="A31" s="189">
        <v>31</v>
      </c>
      <c r="B31" s="190" t="s">
        <v>6341</v>
      </c>
      <c r="C31" s="184" t="s">
        <v>6242</v>
      </c>
      <c r="D31" s="184" t="s">
        <v>6552</v>
      </c>
      <c r="E31" s="184" t="s">
        <v>7628</v>
      </c>
      <c r="F31" s="184"/>
      <c r="G31" s="184">
        <v>1</v>
      </c>
      <c r="H31" s="184" t="s">
        <v>5164</v>
      </c>
      <c r="I31" s="183">
        <v>46151.063622685186</v>
      </c>
      <c r="J31" s="184"/>
      <c r="K31" s="184"/>
    </row>
    <row r="32" spans="1:11">
      <c r="A32" s="189">
        <v>32</v>
      </c>
      <c r="B32" s="190" t="s">
        <v>6542</v>
      </c>
      <c r="C32" s="184" t="s">
        <v>6242</v>
      </c>
      <c r="D32" s="184" t="s">
        <v>6552</v>
      </c>
      <c r="E32" s="184" t="s">
        <v>7629</v>
      </c>
      <c r="F32" s="184"/>
      <c r="G32" s="184">
        <v>1</v>
      </c>
      <c r="H32" s="184" t="s">
        <v>5164</v>
      </c>
      <c r="I32" s="183">
        <v>46151.065567129626</v>
      </c>
      <c r="J32" s="184"/>
      <c r="K32" s="184"/>
    </row>
    <row r="33" spans="1:11">
      <c r="A33" s="189">
        <v>33</v>
      </c>
      <c r="B33" s="190" t="s">
        <v>6554</v>
      </c>
      <c r="C33" s="184" t="s">
        <v>6242</v>
      </c>
      <c r="D33" s="184" t="s">
        <v>6552</v>
      </c>
      <c r="E33" s="184" t="s">
        <v>6554</v>
      </c>
      <c r="F33" s="184"/>
      <c r="G33" s="184">
        <v>1</v>
      </c>
      <c r="H33" s="184" t="s">
        <v>5164</v>
      </c>
      <c r="I33" s="183">
        <v>46151.06658564815</v>
      </c>
      <c r="J33" s="184"/>
      <c r="K33" s="184"/>
    </row>
    <row r="34" spans="1:11">
      <c r="A34" s="189">
        <v>34</v>
      </c>
      <c r="B34" s="190" t="s">
        <v>5527</v>
      </c>
      <c r="C34" s="184" t="s">
        <v>6242</v>
      </c>
      <c r="D34" s="184" t="s">
        <v>6243</v>
      </c>
      <c r="E34" s="184" t="s">
        <v>1016</v>
      </c>
      <c r="F34" s="184"/>
      <c r="G34" s="184">
        <v>1</v>
      </c>
      <c r="H34" s="184" t="s">
        <v>5164</v>
      </c>
      <c r="I34" s="183">
        <v>46151.070659722223</v>
      </c>
      <c r="J34" s="184"/>
      <c r="K34" s="184"/>
    </row>
    <row r="35" spans="1:11">
      <c r="A35" s="189">
        <v>35</v>
      </c>
      <c r="B35" s="190" t="s">
        <v>5527</v>
      </c>
      <c r="C35" s="184" t="s">
        <v>6242</v>
      </c>
      <c r="D35" s="184" t="s">
        <v>6243</v>
      </c>
      <c r="E35" s="184" t="s">
        <v>1070</v>
      </c>
      <c r="F35" s="184"/>
      <c r="G35" s="184">
        <v>1</v>
      </c>
      <c r="H35" s="184" t="s">
        <v>5164</v>
      </c>
      <c r="I35" s="183">
        <v>46151.07167824074</v>
      </c>
      <c r="J35" s="184"/>
      <c r="K35" s="184"/>
    </row>
    <row r="36" spans="1:11">
      <c r="A36" s="189">
        <v>36</v>
      </c>
      <c r="B36" s="190" t="s">
        <v>5174</v>
      </c>
      <c r="C36" s="184" t="s">
        <v>6242</v>
      </c>
      <c r="D36" s="184" t="s">
        <v>6552</v>
      </c>
      <c r="E36" s="184" t="s">
        <v>7336</v>
      </c>
      <c r="F36" s="184"/>
      <c r="G36" s="184">
        <v>1</v>
      </c>
      <c r="H36" s="184" t="s">
        <v>5164</v>
      </c>
      <c r="I36" s="183">
        <v>46151.073368055557</v>
      </c>
      <c r="J36" s="184"/>
      <c r="K36" s="184"/>
    </row>
    <row r="37" spans="1:11">
      <c r="A37" s="189">
        <v>37</v>
      </c>
      <c r="B37" s="190" t="s">
        <v>5514</v>
      </c>
      <c r="C37" s="184" t="s">
        <v>6242</v>
      </c>
      <c r="D37" s="184" t="s">
        <v>6552</v>
      </c>
      <c r="E37" s="184" t="s">
        <v>889</v>
      </c>
      <c r="F37" s="184"/>
      <c r="G37" s="184">
        <v>1</v>
      </c>
      <c r="H37" s="184" t="s">
        <v>5164</v>
      </c>
      <c r="I37" s="183">
        <v>46151.07471064815</v>
      </c>
      <c r="J37" s="184"/>
      <c r="K37" s="184"/>
    </row>
    <row r="38" spans="1:11">
      <c r="A38" s="189">
        <v>38</v>
      </c>
      <c r="B38" s="190" t="s">
        <v>5514</v>
      </c>
      <c r="C38" s="184" t="s">
        <v>6242</v>
      </c>
      <c r="D38" s="184" t="s">
        <v>6552</v>
      </c>
      <c r="E38" s="184" t="s">
        <v>857</v>
      </c>
      <c r="F38" s="184"/>
      <c r="G38" s="184">
        <v>1</v>
      </c>
      <c r="H38" s="184" t="s">
        <v>5164</v>
      </c>
      <c r="I38" s="183">
        <v>46151.076006944444</v>
      </c>
      <c r="J38" s="184"/>
      <c r="K38" s="184"/>
    </row>
    <row r="39" spans="1:11">
      <c r="A39" s="189">
        <v>39</v>
      </c>
      <c r="B39" s="190" t="s">
        <v>5539</v>
      </c>
      <c r="C39" s="184" t="s">
        <v>6242</v>
      </c>
      <c r="D39" s="184" t="s">
        <v>6552</v>
      </c>
      <c r="E39" s="184" t="s">
        <v>877</v>
      </c>
      <c r="F39" s="184"/>
      <c r="G39" s="184">
        <v>1</v>
      </c>
      <c r="H39" s="184" t="s">
        <v>5164</v>
      </c>
      <c r="I39" s="183">
        <v>46151.077291666668</v>
      </c>
      <c r="J39" s="184"/>
      <c r="K39" s="184"/>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7739-6099-46C5-9A2B-B7D5DB95061C}">
  <sheetPr>
    <tabColor rgb="FF0070C0"/>
  </sheetPr>
  <dimension ref="A1:L150"/>
  <sheetViews>
    <sheetView topLeftCell="A28" workbookViewId="0">
      <selection activeCell="G41" sqref="G41"/>
    </sheetView>
  </sheetViews>
  <sheetFormatPr defaultColWidth="9.125" defaultRowHeight="14.25"/>
  <cols>
    <col min="1" max="1" width="6.25" style="70" bestFit="1" customWidth="1"/>
    <col min="2" max="2" width="38.625" style="70" customWidth="1"/>
    <col min="3" max="3" width="34.75" style="70" customWidth="1"/>
    <col min="4" max="4" width="8" style="70" bestFit="1" customWidth="1"/>
    <col min="5" max="5" width="10.625" style="70" bestFit="1" customWidth="1"/>
    <col min="6" max="6" width="15.625" style="70" bestFit="1" customWidth="1"/>
    <col min="7" max="7" width="35.375" style="70" customWidth="1"/>
    <col min="8" max="8" width="11.125" style="70" bestFit="1" customWidth="1"/>
    <col min="9" max="9" width="17" style="70" bestFit="1" customWidth="1"/>
    <col min="10" max="10" width="15.625" style="70" bestFit="1" customWidth="1"/>
    <col min="11" max="11" width="10" style="70" bestFit="1" customWidth="1"/>
    <col min="12" max="12" width="9" style="70" bestFit="1" customWidth="1"/>
    <col min="13" max="16384" width="9.125" style="70"/>
  </cols>
  <sheetData>
    <row r="1" spans="1:12" s="3" customFormat="1" ht="15">
      <c r="A1" s="179" t="s">
        <v>0</v>
      </c>
      <c r="B1" s="179" t="s">
        <v>4332</v>
      </c>
      <c r="C1" s="180" t="s">
        <v>2</v>
      </c>
      <c r="D1" s="179" t="s">
        <v>3</v>
      </c>
      <c r="E1" s="179" t="s">
        <v>4</v>
      </c>
      <c r="F1" s="179" t="s">
        <v>5</v>
      </c>
      <c r="G1" s="181" t="s">
        <v>6788</v>
      </c>
      <c r="H1" s="181" t="s">
        <v>7514</v>
      </c>
      <c r="I1" s="181" t="s">
        <v>13</v>
      </c>
      <c r="J1" s="182" t="s">
        <v>6790</v>
      </c>
      <c r="K1" s="182" t="s">
        <v>189</v>
      </c>
      <c r="L1" s="182" t="s">
        <v>6571</v>
      </c>
    </row>
    <row r="2" spans="1:12" ht="42.75">
      <c r="A2" s="191">
        <v>2</v>
      </c>
      <c r="B2" s="191" t="s">
        <v>7630</v>
      </c>
      <c r="C2" s="191" t="s">
        <v>4666</v>
      </c>
      <c r="D2" s="191">
        <v>8</v>
      </c>
      <c r="E2" s="191">
        <v>4</v>
      </c>
      <c r="F2" s="191" t="s">
        <v>7631</v>
      </c>
      <c r="G2" s="191">
        <v>5</v>
      </c>
      <c r="H2" s="191"/>
      <c r="I2" s="191" t="s">
        <v>4544</v>
      </c>
      <c r="J2" s="192">
        <v>45706.070949074077</v>
      </c>
      <c r="K2" s="191"/>
      <c r="L2" s="191"/>
    </row>
    <row r="3" spans="1:12">
      <c r="A3" s="191">
        <v>3</v>
      </c>
      <c r="B3" s="191" t="s">
        <v>7632</v>
      </c>
      <c r="C3" s="191" t="s">
        <v>4666</v>
      </c>
      <c r="D3" s="191">
        <v>8</v>
      </c>
      <c r="E3" s="191">
        <v>4</v>
      </c>
      <c r="F3" s="191" t="s">
        <v>2123</v>
      </c>
      <c r="G3" s="191">
        <v>13</v>
      </c>
      <c r="H3" s="191"/>
      <c r="I3" s="191" t="s">
        <v>4544</v>
      </c>
      <c r="J3" s="192">
        <v>45706.071481481478</v>
      </c>
      <c r="K3" s="191"/>
      <c r="L3" s="191"/>
    </row>
    <row r="4" spans="1:12" ht="28.5">
      <c r="A4" s="191">
        <v>4</v>
      </c>
      <c r="B4" s="191" t="s">
        <v>7633</v>
      </c>
      <c r="C4" s="191" t="s">
        <v>7326</v>
      </c>
      <c r="D4" s="191">
        <v>8</v>
      </c>
      <c r="E4" s="191">
        <v>5</v>
      </c>
      <c r="F4" s="191" t="s">
        <v>7634</v>
      </c>
      <c r="G4" s="191">
        <v>35</v>
      </c>
      <c r="H4" s="191"/>
      <c r="I4" s="191" t="s">
        <v>4544</v>
      </c>
      <c r="J4" s="192">
        <v>45706.072650462964</v>
      </c>
      <c r="K4" s="191"/>
      <c r="L4" s="191"/>
    </row>
    <row r="5" spans="1:12" ht="28.5">
      <c r="A5" s="191">
        <v>5</v>
      </c>
      <c r="B5" s="191" t="s">
        <v>7635</v>
      </c>
      <c r="C5" s="191" t="s">
        <v>7636</v>
      </c>
      <c r="D5" s="191">
        <v>8</v>
      </c>
      <c r="E5" s="191">
        <v>5</v>
      </c>
      <c r="F5" s="191" t="s">
        <v>2214</v>
      </c>
      <c r="G5" s="191">
        <v>3</v>
      </c>
      <c r="H5" s="191"/>
      <c r="I5" s="191" t="s">
        <v>4544</v>
      </c>
      <c r="J5" s="192">
        <v>45706.073425925926</v>
      </c>
      <c r="K5" s="191"/>
      <c r="L5" s="191"/>
    </row>
    <row r="6" spans="1:12" ht="28.5">
      <c r="A6" s="191">
        <v>6</v>
      </c>
      <c r="B6" s="191" t="s">
        <v>7637</v>
      </c>
      <c r="C6" s="191" t="s">
        <v>7326</v>
      </c>
      <c r="D6" s="191">
        <v>8</v>
      </c>
      <c r="E6" s="191">
        <v>5</v>
      </c>
      <c r="F6" s="191" t="s">
        <v>2218</v>
      </c>
      <c r="G6" s="191">
        <v>37</v>
      </c>
      <c r="H6" s="191"/>
      <c r="I6" s="191" t="s">
        <v>4544</v>
      </c>
      <c r="J6" s="192">
        <v>45706.074155092596</v>
      </c>
      <c r="K6" s="191"/>
      <c r="L6" s="191"/>
    </row>
    <row r="7" spans="1:12">
      <c r="A7" s="191">
        <v>7</v>
      </c>
      <c r="B7" s="191" t="s">
        <v>7638</v>
      </c>
      <c r="C7" s="191" t="s">
        <v>7639</v>
      </c>
      <c r="D7" s="191">
        <v>8</v>
      </c>
      <c r="E7" s="191">
        <v>4</v>
      </c>
      <c r="F7" s="191" t="s">
        <v>7639</v>
      </c>
      <c r="G7" s="191">
        <v>7</v>
      </c>
      <c r="H7" s="191"/>
      <c r="I7" s="191" t="s">
        <v>4544</v>
      </c>
      <c r="J7" s="192">
        <v>45706.074826388889</v>
      </c>
      <c r="K7" s="191"/>
      <c r="L7" s="191"/>
    </row>
    <row r="8" spans="1:12" ht="28.5">
      <c r="A8" s="191">
        <v>8</v>
      </c>
      <c r="B8" s="191" t="s">
        <v>7635</v>
      </c>
      <c r="C8" s="191" t="s">
        <v>7640</v>
      </c>
      <c r="D8" s="191">
        <v>8</v>
      </c>
      <c r="E8" s="191">
        <v>5</v>
      </c>
      <c r="F8" s="191" t="s">
        <v>2190</v>
      </c>
      <c r="G8" s="191">
        <v>3</v>
      </c>
      <c r="H8" s="191"/>
      <c r="I8" s="191" t="s">
        <v>4544</v>
      </c>
      <c r="J8" s="192">
        <v>45706.075856481482</v>
      </c>
      <c r="K8" s="191"/>
      <c r="L8" s="191"/>
    </row>
    <row r="9" spans="1:12" ht="28.5">
      <c r="A9" s="191">
        <v>9</v>
      </c>
      <c r="B9" s="191" t="s">
        <v>7641</v>
      </c>
      <c r="C9" s="191" t="s">
        <v>4796</v>
      </c>
      <c r="D9" s="191">
        <v>8</v>
      </c>
      <c r="E9" s="191">
        <v>5</v>
      </c>
      <c r="F9" s="191" t="s">
        <v>2190</v>
      </c>
      <c r="G9" s="191">
        <v>6</v>
      </c>
      <c r="H9" s="191"/>
      <c r="I9" s="191" t="s">
        <v>4544</v>
      </c>
      <c r="J9" s="192">
        <v>45706.076655092591</v>
      </c>
      <c r="K9" s="191"/>
      <c r="L9" s="191"/>
    </row>
    <row r="10" spans="1:12" ht="57">
      <c r="A10" s="191">
        <v>13</v>
      </c>
      <c r="B10" s="191" t="s">
        <v>7642</v>
      </c>
      <c r="C10" s="191" t="s">
        <v>6706</v>
      </c>
      <c r="D10" s="191" t="s">
        <v>7643</v>
      </c>
      <c r="E10" s="191" t="s">
        <v>6647</v>
      </c>
      <c r="F10" s="191" t="s">
        <v>6705</v>
      </c>
      <c r="G10" s="191" t="s">
        <v>7644</v>
      </c>
      <c r="H10" s="191"/>
      <c r="I10" s="191" t="s">
        <v>7645</v>
      </c>
      <c r="J10" s="192">
        <v>46133.140844907408</v>
      </c>
      <c r="K10" s="191" t="s">
        <v>7646</v>
      </c>
      <c r="L10" s="191"/>
    </row>
    <row r="11" spans="1:12" ht="57">
      <c r="A11" s="191">
        <v>14</v>
      </c>
      <c r="B11" s="191" t="s">
        <v>7647</v>
      </c>
      <c r="C11" s="191" t="s">
        <v>7648</v>
      </c>
      <c r="D11" s="191" t="s">
        <v>7643</v>
      </c>
      <c r="E11" s="191" t="s">
        <v>6647</v>
      </c>
      <c r="F11" s="191" t="s">
        <v>7649</v>
      </c>
      <c r="G11" s="191" t="s">
        <v>7650</v>
      </c>
      <c r="H11" s="191"/>
      <c r="I11" s="191" t="s">
        <v>5934</v>
      </c>
      <c r="J11" s="192">
        <v>46133.190011574072</v>
      </c>
      <c r="K11" s="191" t="s">
        <v>7651</v>
      </c>
      <c r="L11" s="191"/>
    </row>
    <row r="12" spans="1:12">
      <c r="A12" s="191">
        <v>15</v>
      </c>
      <c r="B12" s="191" t="s">
        <v>7652</v>
      </c>
      <c r="C12" s="191" t="s">
        <v>7653</v>
      </c>
      <c r="D12" s="191" t="s">
        <v>7643</v>
      </c>
      <c r="E12" s="191" t="s">
        <v>6647</v>
      </c>
      <c r="F12" s="191" t="s">
        <v>7654</v>
      </c>
      <c r="G12" s="191" t="s">
        <v>7655</v>
      </c>
      <c r="H12" s="191"/>
      <c r="I12" s="191" t="s">
        <v>5934</v>
      </c>
      <c r="J12" s="192">
        <v>46133.192916666667</v>
      </c>
      <c r="K12" s="191"/>
      <c r="L12" s="191"/>
    </row>
    <row r="13" spans="1:12" ht="28.5">
      <c r="A13" s="191">
        <v>16</v>
      </c>
      <c r="B13" s="191" t="s">
        <v>7652</v>
      </c>
      <c r="C13" s="191" t="s">
        <v>7656</v>
      </c>
      <c r="D13" s="191" t="s">
        <v>7643</v>
      </c>
      <c r="E13" s="191" t="s">
        <v>6647</v>
      </c>
      <c r="F13" s="191" t="s">
        <v>7649</v>
      </c>
      <c r="G13" s="191">
        <v>10</v>
      </c>
      <c r="H13" s="191"/>
      <c r="I13" s="191" t="s">
        <v>5934</v>
      </c>
      <c r="J13" s="192">
        <v>46133.195277777777</v>
      </c>
      <c r="K13" s="191" t="s">
        <v>7657</v>
      </c>
      <c r="L13" s="191"/>
    </row>
    <row r="14" spans="1:12" ht="28.5">
      <c r="A14" s="191">
        <v>17</v>
      </c>
      <c r="B14" s="191" t="s">
        <v>7652</v>
      </c>
      <c r="C14" s="191" t="s">
        <v>7648</v>
      </c>
      <c r="D14" s="191" t="s">
        <v>7643</v>
      </c>
      <c r="E14" s="191" t="s">
        <v>6647</v>
      </c>
      <c r="F14" s="191" t="s">
        <v>7649</v>
      </c>
      <c r="G14" s="191">
        <v>13</v>
      </c>
      <c r="H14" s="191"/>
      <c r="I14" s="191" t="s">
        <v>5934</v>
      </c>
      <c r="J14" s="192">
        <v>46133.196400462963</v>
      </c>
      <c r="K14" s="191"/>
      <c r="L14" s="191"/>
    </row>
    <row r="15" spans="1:12" ht="28.5">
      <c r="A15" s="191">
        <v>18</v>
      </c>
      <c r="B15" s="191" t="s">
        <v>7652</v>
      </c>
      <c r="C15" s="191" t="s">
        <v>4336</v>
      </c>
      <c r="D15" s="191" t="s">
        <v>7643</v>
      </c>
      <c r="E15" s="191" t="s">
        <v>6647</v>
      </c>
      <c r="F15" s="191" t="s">
        <v>7649</v>
      </c>
      <c r="G15" s="191">
        <v>7</v>
      </c>
      <c r="H15" s="191"/>
      <c r="I15" s="191" t="s">
        <v>5934</v>
      </c>
      <c r="J15" s="192">
        <v>46133.197430555556</v>
      </c>
      <c r="K15" s="191"/>
      <c r="L15" s="191"/>
    </row>
    <row r="16" spans="1:12" ht="28.5">
      <c r="A16" s="191">
        <v>19</v>
      </c>
      <c r="B16" s="191" t="s">
        <v>7652</v>
      </c>
      <c r="C16" s="191" t="s">
        <v>7658</v>
      </c>
      <c r="D16" s="191" t="s">
        <v>7643</v>
      </c>
      <c r="E16" s="191" t="s">
        <v>6647</v>
      </c>
      <c r="F16" s="191" t="s">
        <v>7649</v>
      </c>
      <c r="G16" s="191">
        <v>6</v>
      </c>
      <c r="H16" s="191"/>
      <c r="I16" s="191" t="s">
        <v>5934</v>
      </c>
      <c r="J16" s="192">
        <v>46133.198472222219</v>
      </c>
      <c r="K16" s="191"/>
      <c r="L16" s="191"/>
    </row>
    <row r="17" spans="1:12">
      <c r="A17" s="191">
        <v>20</v>
      </c>
      <c r="B17" s="191" t="s">
        <v>7652</v>
      </c>
      <c r="C17" s="191" t="s">
        <v>7659</v>
      </c>
      <c r="D17" s="191" t="s">
        <v>7643</v>
      </c>
      <c r="E17" s="191" t="s">
        <v>6647</v>
      </c>
      <c r="F17" s="191" t="s">
        <v>7660</v>
      </c>
      <c r="G17" s="191">
        <v>2</v>
      </c>
      <c r="H17" s="191"/>
      <c r="I17" s="191" t="s">
        <v>5934</v>
      </c>
      <c r="J17" s="192">
        <v>46133.200046296297</v>
      </c>
      <c r="K17" s="191"/>
      <c r="L17" s="191"/>
    </row>
    <row r="18" spans="1:12" ht="28.5">
      <c r="A18" s="191">
        <v>21</v>
      </c>
      <c r="B18" s="191" t="s">
        <v>7652</v>
      </c>
      <c r="C18" s="191" t="s">
        <v>7661</v>
      </c>
      <c r="D18" s="191" t="s">
        <v>7643</v>
      </c>
      <c r="E18" s="191" t="s">
        <v>6647</v>
      </c>
      <c r="F18" s="191" t="s">
        <v>5938</v>
      </c>
      <c r="G18" s="191">
        <v>4</v>
      </c>
      <c r="H18" s="191"/>
      <c r="I18" s="191" t="s">
        <v>5934</v>
      </c>
      <c r="J18" s="192">
        <v>46133.201874999999</v>
      </c>
      <c r="K18" s="191"/>
      <c r="L18" s="191"/>
    </row>
    <row r="19" spans="1:12" ht="28.5">
      <c r="A19" s="191">
        <v>22</v>
      </c>
      <c r="B19" s="191" t="s">
        <v>7652</v>
      </c>
      <c r="C19" s="191" t="s">
        <v>5935</v>
      </c>
      <c r="D19" s="191" t="s">
        <v>7643</v>
      </c>
      <c r="E19" s="191" t="s">
        <v>7662</v>
      </c>
      <c r="F19" s="191" t="s">
        <v>7663</v>
      </c>
      <c r="G19" s="191">
        <v>3</v>
      </c>
      <c r="H19" s="191"/>
      <c r="I19" s="191" t="s">
        <v>5934</v>
      </c>
      <c r="J19" s="192">
        <v>46133.203159722223</v>
      </c>
      <c r="K19" s="191"/>
      <c r="L19" s="191"/>
    </row>
    <row r="20" spans="1:12">
      <c r="A20" s="191">
        <v>23</v>
      </c>
      <c r="B20" s="191" t="s">
        <v>7652</v>
      </c>
      <c r="C20" s="191" t="s">
        <v>5946</v>
      </c>
      <c r="D20" s="191" t="s">
        <v>7643</v>
      </c>
      <c r="E20" s="191" t="s">
        <v>6647</v>
      </c>
      <c r="F20" s="191" t="s">
        <v>5945</v>
      </c>
      <c r="G20" s="191">
        <v>6</v>
      </c>
      <c r="H20" s="191"/>
      <c r="I20" s="191" t="s">
        <v>5934</v>
      </c>
      <c r="J20" s="192">
        <v>46133.204664351855</v>
      </c>
      <c r="K20" s="191"/>
      <c r="L20" s="191"/>
    </row>
    <row r="21" spans="1:12">
      <c r="A21" s="191">
        <v>24</v>
      </c>
      <c r="B21" s="191" t="s">
        <v>7652</v>
      </c>
      <c r="C21" s="191" t="s">
        <v>6674</v>
      </c>
      <c r="D21" s="191" t="s">
        <v>7643</v>
      </c>
      <c r="E21" s="191" t="s">
        <v>6647</v>
      </c>
      <c r="F21" s="191" t="s">
        <v>7664</v>
      </c>
      <c r="G21" s="191">
        <v>12</v>
      </c>
      <c r="H21" s="191"/>
      <c r="I21" s="191" t="s">
        <v>5934</v>
      </c>
      <c r="J21" s="192">
        <v>46133.205949074072</v>
      </c>
      <c r="K21" s="191"/>
      <c r="L21" s="191"/>
    </row>
    <row r="22" spans="1:12">
      <c r="A22" s="191">
        <v>25</v>
      </c>
      <c r="B22" s="191" t="s">
        <v>7665</v>
      </c>
      <c r="C22" s="191" t="s">
        <v>6674</v>
      </c>
      <c r="D22" s="191" t="s">
        <v>7643</v>
      </c>
      <c r="E22" s="191" t="s">
        <v>6647</v>
      </c>
      <c r="F22" s="191" t="s">
        <v>7664</v>
      </c>
      <c r="G22" s="191">
        <v>12</v>
      </c>
      <c r="H22" s="191"/>
      <c r="I22" s="191" t="s">
        <v>5934</v>
      </c>
      <c r="J22" s="192">
        <v>46133.361307870371</v>
      </c>
      <c r="K22" s="191"/>
      <c r="L22" s="191"/>
    </row>
    <row r="23" spans="1:12">
      <c r="A23" s="191">
        <v>26</v>
      </c>
      <c r="B23" s="191" t="s">
        <v>7384</v>
      </c>
      <c r="C23" s="191" t="s">
        <v>6697</v>
      </c>
      <c r="D23" s="191" t="s">
        <v>7666</v>
      </c>
      <c r="E23" s="191" t="s">
        <v>6647</v>
      </c>
      <c r="F23" s="191" t="s">
        <v>7664</v>
      </c>
      <c r="G23" s="191">
        <v>3</v>
      </c>
      <c r="H23" s="191"/>
      <c r="I23" s="191" t="s">
        <v>5934</v>
      </c>
      <c r="J23" s="192">
        <v>46133.362546296295</v>
      </c>
      <c r="K23" s="191"/>
      <c r="L23" s="191"/>
    </row>
    <row r="24" spans="1:12">
      <c r="A24" s="191">
        <v>27</v>
      </c>
      <c r="B24" s="191" t="s">
        <v>7667</v>
      </c>
      <c r="C24" s="191" t="s">
        <v>7668</v>
      </c>
      <c r="D24" s="191" t="s">
        <v>7643</v>
      </c>
      <c r="E24" s="191" t="s">
        <v>6647</v>
      </c>
      <c r="F24" s="191" t="s">
        <v>6678</v>
      </c>
      <c r="G24" s="191">
        <v>9</v>
      </c>
      <c r="H24" s="191"/>
      <c r="I24" s="191" t="s">
        <v>5934</v>
      </c>
      <c r="J24" s="192">
        <v>46133.367280092592</v>
      </c>
      <c r="K24" s="191"/>
      <c r="L24" s="191"/>
    </row>
    <row r="25" spans="1:12">
      <c r="A25" s="191">
        <v>28</v>
      </c>
      <c r="B25" s="191" t="s">
        <v>7669</v>
      </c>
      <c r="C25" s="191" t="s">
        <v>6709</v>
      </c>
      <c r="D25" s="191" t="s">
        <v>7643</v>
      </c>
      <c r="E25" s="191" t="s">
        <v>6647</v>
      </c>
      <c r="F25" s="191" t="s">
        <v>6710</v>
      </c>
      <c r="G25" s="191">
        <v>12</v>
      </c>
      <c r="H25" s="191"/>
      <c r="I25" s="191" t="s">
        <v>5934</v>
      </c>
      <c r="J25" s="192">
        <v>46133.368831018517</v>
      </c>
      <c r="K25" s="191"/>
      <c r="L25" s="191"/>
    </row>
    <row r="26" spans="1:12" ht="28.5">
      <c r="A26" s="191">
        <v>29</v>
      </c>
      <c r="B26" s="191" t="s">
        <v>7670</v>
      </c>
      <c r="C26" s="191" t="s">
        <v>6667</v>
      </c>
      <c r="D26" s="191" t="s">
        <v>7643</v>
      </c>
      <c r="E26" s="191" t="s">
        <v>6647</v>
      </c>
      <c r="F26" s="191" t="s">
        <v>6668</v>
      </c>
      <c r="G26" s="191">
        <v>4</v>
      </c>
      <c r="H26" s="191"/>
      <c r="I26" s="191" t="s">
        <v>5934</v>
      </c>
      <c r="J26" s="192">
        <v>46133.36991898148</v>
      </c>
      <c r="K26" s="191"/>
      <c r="L26" s="191"/>
    </row>
    <row r="27" spans="1:12">
      <c r="A27" s="191">
        <v>30</v>
      </c>
      <c r="B27" s="191" t="s">
        <v>7671</v>
      </c>
      <c r="C27" s="191" t="s">
        <v>6672</v>
      </c>
      <c r="D27" s="191" t="s">
        <v>7643</v>
      </c>
      <c r="E27" s="191" t="s">
        <v>6647</v>
      </c>
      <c r="F27" s="191" t="s">
        <v>6671</v>
      </c>
      <c r="G27" s="191">
        <v>16</v>
      </c>
      <c r="H27" s="191"/>
      <c r="I27" s="191" t="s">
        <v>5934</v>
      </c>
      <c r="J27" s="192">
        <v>46133.371562499997</v>
      </c>
      <c r="K27" s="191"/>
      <c r="L27" s="191"/>
    </row>
    <row r="28" spans="1:12">
      <c r="A28" s="191">
        <v>31</v>
      </c>
      <c r="B28" s="191" t="s">
        <v>7672</v>
      </c>
      <c r="C28" s="191" t="s">
        <v>5930</v>
      </c>
      <c r="D28" s="191" t="s">
        <v>7643</v>
      </c>
      <c r="E28" s="191" t="s">
        <v>6647</v>
      </c>
      <c r="F28" s="191" t="s">
        <v>6662</v>
      </c>
      <c r="G28" s="191">
        <v>8</v>
      </c>
      <c r="H28" s="191"/>
      <c r="I28" s="191" t="s">
        <v>5934</v>
      </c>
      <c r="J28" s="192">
        <v>46133.374432870369</v>
      </c>
      <c r="K28" s="191"/>
      <c r="L28" s="191"/>
    </row>
    <row r="29" spans="1:12">
      <c r="A29" s="191">
        <v>32</v>
      </c>
      <c r="B29" s="191" t="s">
        <v>7673</v>
      </c>
      <c r="C29" s="191" t="s">
        <v>6658</v>
      </c>
      <c r="D29" s="191" t="s">
        <v>6646</v>
      </c>
      <c r="E29" s="191" t="s">
        <v>6647</v>
      </c>
      <c r="F29" s="191" t="s">
        <v>6662</v>
      </c>
      <c r="G29" s="191">
        <v>11</v>
      </c>
      <c r="H29" s="191"/>
      <c r="I29" s="191" t="s">
        <v>5934</v>
      </c>
      <c r="J29" s="192">
        <v>46133.376076388886</v>
      </c>
      <c r="K29" s="191"/>
      <c r="L29" s="191"/>
    </row>
    <row r="30" spans="1:12" ht="42.75">
      <c r="A30" s="191">
        <v>33</v>
      </c>
      <c r="B30" s="191" t="s">
        <v>7672</v>
      </c>
      <c r="C30" s="191" t="s">
        <v>7674</v>
      </c>
      <c r="D30" s="191" t="s">
        <v>6646</v>
      </c>
      <c r="E30" s="191" t="s">
        <v>6647</v>
      </c>
      <c r="F30" s="191" t="s">
        <v>7674</v>
      </c>
      <c r="G30" s="191">
        <v>8</v>
      </c>
      <c r="H30" s="191"/>
      <c r="I30" s="191" t="s">
        <v>5934</v>
      </c>
      <c r="J30" s="192">
        <v>46133.377627314818</v>
      </c>
      <c r="K30" s="191"/>
      <c r="L30" s="191"/>
    </row>
    <row r="31" spans="1:12">
      <c r="A31" s="191">
        <v>34</v>
      </c>
      <c r="B31" s="191" t="s">
        <v>7384</v>
      </c>
      <c r="C31" s="191" t="s">
        <v>6674</v>
      </c>
      <c r="D31" s="191" t="s">
        <v>6646</v>
      </c>
      <c r="E31" s="191" t="s">
        <v>6647</v>
      </c>
      <c r="F31" s="191" t="s">
        <v>7675</v>
      </c>
      <c r="G31" s="191">
        <v>3</v>
      </c>
      <c r="H31" s="191"/>
      <c r="I31" s="191" t="s">
        <v>5934</v>
      </c>
      <c r="J31" s="192">
        <v>46133.378969907404</v>
      </c>
      <c r="K31" s="191"/>
      <c r="L31" s="191"/>
    </row>
    <row r="32" spans="1:12">
      <c r="A32" s="191">
        <v>35</v>
      </c>
      <c r="B32" s="191" t="s">
        <v>7672</v>
      </c>
      <c r="C32" s="191" t="s">
        <v>7676</v>
      </c>
      <c r="D32" s="191" t="s">
        <v>6646</v>
      </c>
      <c r="E32" s="191" t="s">
        <v>6647</v>
      </c>
      <c r="F32" s="191" t="s">
        <v>7675</v>
      </c>
      <c r="G32" s="191">
        <v>8</v>
      </c>
      <c r="H32" s="191"/>
      <c r="I32" s="191" t="s">
        <v>5934</v>
      </c>
      <c r="J32" s="192">
        <v>46133.380173611113</v>
      </c>
      <c r="K32" s="191"/>
      <c r="L32" s="191"/>
    </row>
    <row r="33" spans="1:12" ht="28.5">
      <c r="A33" s="191">
        <v>36</v>
      </c>
      <c r="B33" s="191">
        <v>1</v>
      </c>
      <c r="C33" s="191" t="s">
        <v>5931</v>
      </c>
      <c r="D33" s="191" t="s">
        <v>6646</v>
      </c>
      <c r="E33" s="191" t="s">
        <v>5974</v>
      </c>
      <c r="F33" s="191" t="s">
        <v>6513</v>
      </c>
      <c r="G33" s="191">
        <v>1</v>
      </c>
      <c r="H33" s="191"/>
      <c r="I33" s="191" t="s">
        <v>5934</v>
      </c>
      <c r="J33" s="192">
        <v>46133.381956018522</v>
      </c>
      <c r="K33" s="191" t="s">
        <v>7677</v>
      </c>
      <c r="L33" s="191"/>
    </row>
    <row r="34" spans="1:12" ht="28.5">
      <c r="A34" s="191">
        <v>37</v>
      </c>
      <c r="B34" s="191" t="s">
        <v>7678</v>
      </c>
      <c r="C34" s="191" t="s">
        <v>6690</v>
      </c>
      <c r="D34" s="191" t="s">
        <v>6646</v>
      </c>
      <c r="E34" s="191" t="s">
        <v>5974</v>
      </c>
      <c r="F34" s="191" t="s">
        <v>5975</v>
      </c>
      <c r="G34" s="191">
        <v>5</v>
      </c>
      <c r="H34" s="191"/>
      <c r="I34" s="191" t="s">
        <v>5934</v>
      </c>
      <c r="J34" s="192">
        <v>46133.38548611111</v>
      </c>
      <c r="K34" s="191"/>
      <c r="L34" s="191"/>
    </row>
    <row r="35" spans="1:12" ht="28.5">
      <c r="A35" s="191">
        <v>38</v>
      </c>
      <c r="B35" s="191" t="s">
        <v>7679</v>
      </c>
      <c r="C35" s="191" t="s">
        <v>5972</v>
      </c>
      <c r="D35" s="191" t="s">
        <v>6646</v>
      </c>
      <c r="E35" s="191" t="s">
        <v>5974</v>
      </c>
      <c r="F35" s="191" t="s">
        <v>5975</v>
      </c>
      <c r="G35" s="191">
        <v>2</v>
      </c>
      <c r="H35" s="191"/>
      <c r="I35" s="191" t="s">
        <v>5934</v>
      </c>
      <c r="J35" s="192">
        <v>46133.386365740742</v>
      </c>
      <c r="K35" s="191"/>
      <c r="L35" s="191"/>
    </row>
    <row r="36" spans="1:12">
      <c r="A36" s="191">
        <v>39</v>
      </c>
      <c r="B36" s="191" t="s">
        <v>7667</v>
      </c>
      <c r="C36" s="191" t="s">
        <v>6674</v>
      </c>
      <c r="D36" s="191" t="s">
        <v>6646</v>
      </c>
      <c r="E36" s="191" t="s">
        <v>5974</v>
      </c>
      <c r="F36" s="191" t="s">
        <v>7680</v>
      </c>
      <c r="G36" s="191">
        <v>9</v>
      </c>
      <c r="H36" s="191"/>
      <c r="I36" s="191" t="s">
        <v>5934</v>
      </c>
      <c r="J36" s="192">
        <v>46133.387418981481</v>
      </c>
      <c r="K36" s="191"/>
      <c r="L36" s="191"/>
    </row>
    <row r="37" spans="1:12" ht="28.5">
      <c r="A37" s="191">
        <v>40</v>
      </c>
      <c r="B37" s="191" t="s">
        <v>7678</v>
      </c>
      <c r="C37" s="191" t="s">
        <v>6654</v>
      </c>
      <c r="D37" s="191" t="s">
        <v>6646</v>
      </c>
      <c r="E37" s="191" t="s">
        <v>5974</v>
      </c>
      <c r="F37" s="191" t="s">
        <v>7680</v>
      </c>
      <c r="G37" s="191">
        <v>5</v>
      </c>
      <c r="H37" s="191"/>
      <c r="I37" s="191" t="s">
        <v>5934</v>
      </c>
      <c r="J37" s="192">
        <v>46133.388703703706</v>
      </c>
      <c r="K37" s="191" t="s">
        <v>7681</v>
      </c>
      <c r="L37" s="191"/>
    </row>
    <row r="38" spans="1:12">
      <c r="A38" s="191">
        <v>41</v>
      </c>
      <c r="B38" s="191" t="s">
        <v>7672</v>
      </c>
      <c r="C38" s="191" t="s">
        <v>7682</v>
      </c>
      <c r="D38" s="191" t="s">
        <v>6646</v>
      </c>
      <c r="E38" s="191" t="s">
        <v>5974</v>
      </c>
      <c r="F38" s="191" t="s">
        <v>7683</v>
      </c>
      <c r="G38" s="191">
        <v>8</v>
      </c>
      <c r="H38" s="191"/>
      <c r="I38" s="191" t="s">
        <v>5934</v>
      </c>
      <c r="J38" s="192">
        <v>46133.39</v>
      </c>
      <c r="K38" s="191"/>
      <c r="L38" s="191"/>
    </row>
    <row r="39" spans="1:12">
      <c r="A39" s="191">
        <v>42</v>
      </c>
      <c r="B39" s="191" t="s">
        <v>7384</v>
      </c>
      <c r="C39" s="191" t="s">
        <v>7684</v>
      </c>
      <c r="D39" s="191" t="s">
        <v>6646</v>
      </c>
      <c r="E39" s="191" t="s">
        <v>6647</v>
      </c>
      <c r="F39" s="191" t="s">
        <v>7685</v>
      </c>
      <c r="G39" s="191">
        <v>3</v>
      </c>
      <c r="H39" s="191"/>
      <c r="I39" s="191" t="s">
        <v>5934</v>
      </c>
      <c r="J39" s="192">
        <v>46133.391273148147</v>
      </c>
      <c r="K39" s="191"/>
      <c r="L39" s="191"/>
    </row>
    <row r="40" spans="1:12">
      <c r="A40" s="191">
        <v>43</v>
      </c>
      <c r="B40" s="191" t="s">
        <v>7686</v>
      </c>
      <c r="C40" s="191" t="s">
        <v>361</v>
      </c>
      <c r="D40" s="191" t="s">
        <v>6646</v>
      </c>
      <c r="E40" s="191" t="s">
        <v>6647</v>
      </c>
      <c r="F40" s="191" t="s">
        <v>7685</v>
      </c>
      <c r="G40" s="191">
        <v>7</v>
      </c>
      <c r="H40" s="191"/>
      <c r="I40" s="191" t="s">
        <v>5934</v>
      </c>
      <c r="J40" s="192">
        <v>46133.392326388886</v>
      </c>
      <c r="K40" s="191"/>
      <c r="L40" s="191"/>
    </row>
    <row r="41" spans="1:12" ht="28.5">
      <c r="A41" s="191">
        <v>44</v>
      </c>
      <c r="B41" s="191" t="s">
        <v>7384</v>
      </c>
      <c r="C41" s="191" t="s">
        <v>7687</v>
      </c>
      <c r="D41" s="191" t="s">
        <v>6646</v>
      </c>
      <c r="E41" s="191" t="s">
        <v>6647</v>
      </c>
      <c r="F41" s="191" t="s">
        <v>5968</v>
      </c>
      <c r="G41" s="191">
        <v>3</v>
      </c>
      <c r="H41" s="191"/>
      <c r="I41" s="191" t="s">
        <v>5934</v>
      </c>
      <c r="J41" s="192">
        <v>46133.394201388888</v>
      </c>
      <c r="K41" s="191" t="s">
        <v>7688</v>
      </c>
      <c r="L41" s="191"/>
    </row>
    <row r="42" spans="1:12" ht="28.5">
      <c r="A42" s="191">
        <v>45</v>
      </c>
      <c r="B42" s="191" t="s">
        <v>7689</v>
      </c>
      <c r="C42" s="191" t="s">
        <v>6691</v>
      </c>
      <c r="D42" s="191" t="s">
        <v>6646</v>
      </c>
      <c r="E42" s="191" t="s">
        <v>6647</v>
      </c>
      <c r="F42" s="191" t="s">
        <v>6694</v>
      </c>
      <c r="G42" s="191">
        <v>6</v>
      </c>
      <c r="H42" s="191"/>
      <c r="I42" s="191" t="s">
        <v>5934</v>
      </c>
      <c r="J42" s="192">
        <v>46133.395370370374</v>
      </c>
      <c r="K42" s="191" t="s">
        <v>7690</v>
      </c>
      <c r="L42" s="191"/>
    </row>
    <row r="43" spans="1:12">
      <c r="A43" s="191">
        <v>46</v>
      </c>
      <c r="B43" s="191" t="s">
        <v>7679</v>
      </c>
      <c r="C43" s="191" t="s">
        <v>7691</v>
      </c>
      <c r="D43" s="191" t="s">
        <v>6646</v>
      </c>
      <c r="E43" s="191" t="s">
        <v>6647</v>
      </c>
      <c r="F43" s="191" t="s">
        <v>7692</v>
      </c>
      <c r="G43" s="191">
        <v>2</v>
      </c>
      <c r="H43" s="191"/>
      <c r="I43" s="191" t="s">
        <v>5934</v>
      </c>
      <c r="J43" s="192">
        <v>46133.399282407408</v>
      </c>
      <c r="K43" s="191"/>
      <c r="L43" s="191"/>
    </row>
    <row r="44" spans="1:12">
      <c r="A44" s="191">
        <v>47</v>
      </c>
      <c r="B44" s="191" t="s">
        <v>7679</v>
      </c>
      <c r="C44" s="191" t="s">
        <v>361</v>
      </c>
      <c r="D44" s="191" t="s">
        <v>6646</v>
      </c>
      <c r="E44" s="191" t="s">
        <v>6647</v>
      </c>
      <c r="F44" s="191" t="s">
        <v>7692</v>
      </c>
      <c r="G44" s="191">
        <v>2</v>
      </c>
      <c r="H44" s="191"/>
      <c r="I44" s="191" t="s">
        <v>5934</v>
      </c>
      <c r="J44" s="192">
        <v>46133.400081018517</v>
      </c>
      <c r="K44" s="191"/>
      <c r="L44" s="191"/>
    </row>
    <row r="45" spans="1:12">
      <c r="A45" s="191">
        <v>48</v>
      </c>
      <c r="B45" s="191" t="s">
        <v>7670</v>
      </c>
      <c r="C45" s="191" t="s">
        <v>4822</v>
      </c>
      <c r="D45" s="191" t="s">
        <v>6646</v>
      </c>
      <c r="E45" s="191" t="s">
        <v>6647</v>
      </c>
      <c r="F45" s="191" t="s">
        <v>7693</v>
      </c>
      <c r="G45" s="191">
        <v>4</v>
      </c>
      <c r="H45" s="191"/>
      <c r="I45" s="191" t="s">
        <v>5934</v>
      </c>
      <c r="J45" s="192">
        <v>46133.401608796295</v>
      </c>
      <c r="K45" s="191"/>
      <c r="L45" s="191"/>
    </row>
    <row r="46" spans="1:12">
      <c r="A46" s="191">
        <v>49</v>
      </c>
      <c r="B46" s="191" t="s">
        <v>7679</v>
      </c>
      <c r="C46" s="191" t="s">
        <v>361</v>
      </c>
      <c r="D46" s="191" t="s">
        <v>6646</v>
      </c>
      <c r="E46" s="191" t="s">
        <v>6647</v>
      </c>
      <c r="F46" s="191" t="s">
        <v>7694</v>
      </c>
      <c r="G46" s="191">
        <v>2</v>
      </c>
      <c r="H46" s="191"/>
      <c r="I46" s="191" t="s">
        <v>5934</v>
      </c>
      <c r="J46" s="192">
        <v>46133.403171296297</v>
      </c>
      <c r="K46" s="191"/>
      <c r="L46" s="191"/>
    </row>
    <row r="47" spans="1:12">
      <c r="A47" s="191">
        <v>50</v>
      </c>
      <c r="B47" s="191" t="s">
        <v>7695</v>
      </c>
      <c r="C47" s="191" t="s">
        <v>361</v>
      </c>
      <c r="D47" s="191" t="s">
        <v>6646</v>
      </c>
      <c r="E47" s="191" t="s">
        <v>6647</v>
      </c>
      <c r="F47" s="191" t="s">
        <v>7696</v>
      </c>
      <c r="G47" s="191">
        <v>10</v>
      </c>
      <c r="H47" s="191"/>
      <c r="I47" s="191" t="s">
        <v>5934</v>
      </c>
      <c r="J47" s="192">
        <v>46133.404097222221</v>
      </c>
      <c r="K47" s="191"/>
      <c r="L47" s="191"/>
    </row>
    <row r="48" spans="1:12">
      <c r="A48" s="191">
        <v>51</v>
      </c>
      <c r="B48" s="191" t="s">
        <v>7697</v>
      </c>
      <c r="C48" s="191" t="s">
        <v>7698</v>
      </c>
      <c r="D48" s="191" t="s">
        <v>6646</v>
      </c>
      <c r="E48" s="191" t="s">
        <v>6647</v>
      </c>
      <c r="F48" s="191" t="s">
        <v>7699</v>
      </c>
      <c r="G48" s="191">
        <v>28</v>
      </c>
      <c r="H48" s="191"/>
      <c r="I48" s="191" t="s">
        <v>5934</v>
      </c>
      <c r="J48" s="192">
        <v>46133.405682870369</v>
      </c>
      <c r="K48" s="191"/>
      <c r="L48" s="191"/>
    </row>
    <row r="49" spans="1:12" ht="28.5">
      <c r="A49" s="191">
        <v>52</v>
      </c>
      <c r="B49" s="191" t="s">
        <v>7689</v>
      </c>
      <c r="C49" s="191" t="s">
        <v>7700</v>
      </c>
      <c r="D49" s="191" t="s">
        <v>6646</v>
      </c>
      <c r="E49" s="191" t="s">
        <v>6647</v>
      </c>
      <c r="F49" s="191" t="s">
        <v>7701</v>
      </c>
      <c r="G49" s="191">
        <v>6</v>
      </c>
      <c r="H49" s="191"/>
      <c r="I49" s="191" t="s">
        <v>5934</v>
      </c>
      <c r="J49" s="192">
        <v>46133.406585648147</v>
      </c>
      <c r="K49" s="191"/>
      <c r="L49" s="191"/>
    </row>
    <row r="50" spans="1:12">
      <c r="A50" s="191">
        <v>53</v>
      </c>
      <c r="B50" s="191" t="s">
        <v>7672</v>
      </c>
      <c r="C50" s="191" t="s">
        <v>6652</v>
      </c>
      <c r="D50" s="191" t="s">
        <v>6646</v>
      </c>
      <c r="E50" s="191" t="s">
        <v>6647</v>
      </c>
      <c r="F50" s="191" t="s">
        <v>6653</v>
      </c>
      <c r="G50" s="191">
        <v>8</v>
      </c>
      <c r="H50" s="191"/>
      <c r="I50" s="191" t="s">
        <v>5934</v>
      </c>
      <c r="J50" s="192">
        <v>46133.408101851855</v>
      </c>
      <c r="K50" s="191"/>
      <c r="L50" s="191"/>
    </row>
    <row r="51" spans="1:12">
      <c r="A51" s="191">
        <v>54</v>
      </c>
      <c r="B51" s="191" t="s">
        <v>7679</v>
      </c>
      <c r="C51" s="191" t="s">
        <v>7702</v>
      </c>
      <c r="D51" s="191" t="s">
        <v>6646</v>
      </c>
      <c r="E51" s="191" t="s">
        <v>6647</v>
      </c>
      <c r="F51" s="191" t="s">
        <v>6653</v>
      </c>
      <c r="G51" s="191">
        <v>2</v>
      </c>
      <c r="H51" s="191"/>
      <c r="I51" s="191" t="s">
        <v>5934</v>
      </c>
      <c r="J51" s="192">
        <v>46133.409236111111</v>
      </c>
      <c r="K51" s="191"/>
      <c r="L51" s="191"/>
    </row>
    <row r="52" spans="1:12">
      <c r="A52" s="191">
        <v>55</v>
      </c>
      <c r="B52" s="191" t="s">
        <v>7384</v>
      </c>
      <c r="C52" s="191" t="s">
        <v>7703</v>
      </c>
      <c r="D52" s="191" t="s">
        <v>6646</v>
      </c>
      <c r="E52" s="191" t="s">
        <v>6647</v>
      </c>
      <c r="F52" s="191" t="s">
        <v>6653</v>
      </c>
      <c r="G52" s="191">
        <v>3</v>
      </c>
      <c r="H52" s="191"/>
      <c r="I52" s="191" t="s">
        <v>5934</v>
      </c>
      <c r="J52" s="192">
        <v>46133.410081018519</v>
      </c>
      <c r="K52" s="191"/>
      <c r="L52" s="191"/>
    </row>
    <row r="53" spans="1:12">
      <c r="A53" s="191">
        <v>56</v>
      </c>
      <c r="B53" s="191">
        <v>1</v>
      </c>
      <c r="C53" s="191" t="s">
        <v>6686</v>
      </c>
      <c r="D53" s="191" t="s">
        <v>6646</v>
      </c>
      <c r="E53" s="191" t="s">
        <v>5974</v>
      </c>
      <c r="F53" s="191" t="s">
        <v>6681</v>
      </c>
      <c r="G53" s="191">
        <v>1</v>
      </c>
      <c r="H53" s="191"/>
      <c r="I53" s="191" t="s">
        <v>5934</v>
      </c>
      <c r="J53" s="192">
        <v>46133.411631944444</v>
      </c>
      <c r="K53" s="191" t="s">
        <v>7704</v>
      </c>
      <c r="L53" s="191"/>
    </row>
    <row r="54" spans="1:12" ht="28.5">
      <c r="A54" s="191">
        <v>57</v>
      </c>
      <c r="B54" s="191" t="s">
        <v>7384</v>
      </c>
      <c r="C54" s="191" t="s">
        <v>6659</v>
      </c>
      <c r="D54" s="191" t="s">
        <v>6646</v>
      </c>
      <c r="E54" s="191" t="s">
        <v>6647</v>
      </c>
      <c r="F54" s="191" t="s">
        <v>6708</v>
      </c>
      <c r="G54" s="191">
        <v>3</v>
      </c>
      <c r="H54" s="191"/>
      <c r="I54" s="191" t="s">
        <v>5934</v>
      </c>
      <c r="J54" s="192">
        <v>46133.412824074076</v>
      </c>
      <c r="K54" s="191"/>
      <c r="L54" s="191"/>
    </row>
    <row r="55" spans="1:12" ht="28.5">
      <c r="A55" s="191">
        <v>58</v>
      </c>
      <c r="B55" s="191">
        <v>1</v>
      </c>
      <c r="C55" s="191" t="s">
        <v>7705</v>
      </c>
      <c r="D55" s="191" t="s">
        <v>6646</v>
      </c>
      <c r="E55" s="191" t="s">
        <v>6647</v>
      </c>
      <c r="F55" s="191" t="s">
        <v>5960</v>
      </c>
      <c r="G55" s="191">
        <v>1</v>
      </c>
      <c r="H55" s="191"/>
      <c r="I55" s="191" t="s">
        <v>5934</v>
      </c>
      <c r="J55" s="192">
        <v>46133.417407407411</v>
      </c>
      <c r="K55" s="191" t="s">
        <v>7706</v>
      </c>
      <c r="L55" s="191"/>
    </row>
    <row r="56" spans="1:12">
      <c r="A56" s="191">
        <v>59</v>
      </c>
      <c r="B56" s="191" t="s">
        <v>7707</v>
      </c>
      <c r="C56" s="191" t="s">
        <v>7708</v>
      </c>
      <c r="D56" s="191">
        <v>1</v>
      </c>
      <c r="E56" s="191" t="s">
        <v>250</v>
      </c>
      <c r="F56" s="191" t="s">
        <v>7709</v>
      </c>
      <c r="G56" s="191">
        <v>116</v>
      </c>
      <c r="H56" s="191"/>
      <c r="I56" s="191" t="s">
        <v>5231</v>
      </c>
      <c r="J56" s="192">
        <v>46133.494155092594</v>
      </c>
      <c r="K56" s="191"/>
      <c r="L56" s="191"/>
    </row>
    <row r="57" spans="1:12" ht="71.25">
      <c r="A57" s="191">
        <v>60</v>
      </c>
      <c r="B57" s="191" t="s">
        <v>7710</v>
      </c>
      <c r="C57" s="191" t="s">
        <v>7711</v>
      </c>
      <c r="D57" s="191">
        <v>1</v>
      </c>
      <c r="E57" s="191" t="s">
        <v>250</v>
      </c>
      <c r="F57" s="191" t="s">
        <v>7712</v>
      </c>
      <c r="G57" s="191">
        <v>27</v>
      </c>
      <c r="H57" s="191"/>
      <c r="I57" s="191" t="s">
        <v>5317</v>
      </c>
      <c r="J57" s="192">
        <v>46133.495381944442</v>
      </c>
      <c r="K57" s="191" t="s">
        <v>7713</v>
      </c>
      <c r="L57" s="191"/>
    </row>
    <row r="58" spans="1:12">
      <c r="A58" s="193">
        <v>61</v>
      </c>
      <c r="B58" s="193" t="s">
        <v>7714</v>
      </c>
      <c r="C58" s="193" t="s">
        <v>6645</v>
      </c>
      <c r="D58" s="193" t="s">
        <v>6646</v>
      </c>
      <c r="E58" s="193" t="s">
        <v>6647</v>
      </c>
      <c r="F58" s="193" t="s">
        <v>5960</v>
      </c>
      <c r="G58" s="193">
        <v>1</v>
      </c>
      <c r="H58" s="193"/>
      <c r="I58" s="193" t="s">
        <v>5934</v>
      </c>
      <c r="J58" s="194">
        <v>46134.119062500002</v>
      </c>
      <c r="K58" s="193"/>
      <c r="L58" s="193"/>
    </row>
    <row r="59" spans="1:12" ht="28.5">
      <c r="A59" s="191">
        <v>63</v>
      </c>
      <c r="B59" s="191" t="s">
        <v>7715</v>
      </c>
      <c r="C59" s="191" t="s">
        <v>7716</v>
      </c>
      <c r="D59" s="191" t="s">
        <v>522</v>
      </c>
      <c r="E59" s="191" t="s">
        <v>274</v>
      </c>
      <c r="F59" s="191" t="s">
        <v>7717</v>
      </c>
      <c r="G59" s="191">
        <v>15</v>
      </c>
      <c r="H59" s="191"/>
      <c r="I59" s="191" t="s">
        <v>5613</v>
      </c>
      <c r="J59" s="192">
        <v>46134.368136574078</v>
      </c>
      <c r="K59" s="191"/>
      <c r="L59" s="191"/>
    </row>
    <row r="60" spans="1:12" ht="28.5">
      <c r="A60" s="191">
        <v>64</v>
      </c>
      <c r="B60" s="195">
        <v>46027</v>
      </c>
      <c r="C60" s="191" t="s">
        <v>7718</v>
      </c>
      <c r="D60" s="191">
        <v>5</v>
      </c>
      <c r="E60" s="191" t="s">
        <v>6243</v>
      </c>
      <c r="F60" s="191" t="s">
        <v>5176</v>
      </c>
      <c r="G60" s="191"/>
      <c r="H60" s="191"/>
      <c r="I60" s="191" t="s">
        <v>7719</v>
      </c>
      <c r="J60" s="192">
        <v>46134.383773148147</v>
      </c>
      <c r="K60" s="191"/>
      <c r="L60" s="191"/>
    </row>
    <row r="61" spans="1:12">
      <c r="A61" s="191">
        <v>65</v>
      </c>
      <c r="B61" s="195" t="s">
        <v>7720</v>
      </c>
      <c r="C61" s="191" t="s">
        <v>4972</v>
      </c>
      <c r="D61" s="191">
        <v>5</v>
      </c>
      <c r="E61" s="191" t="s">
        <v>7065</v>
      </c>
      <c r="F61" s="191" t="s">
        <v>7721</v>
      </c>
      <c r="G61" s="191"/>
      <c r="H61" s="191"/>
      <c r="I61" s="191" t="s">
        <v>7067</v>
      </c>
      <c r="J61" s="192">
        <v>46135.22216435185</v>
      </c>
      <c r="K61" s="191"/>
      <c r="L61" s="191"/>
    </row>
    <row r="62" spans="1:12">
      <c r="A62" s="191">
        <v>66</v>
      </c>
      <c r="B62" s="217" t="s">
        <v>7722</v>
      </c>
      <c r="C62" s="191" t="s">
        <v>7723</v>
      </c>
      <c r="D62" s="191">
        <v>3</v>
      </c>
      <c r="E62" s="191" t="s">
        <v>6738</v>
      </c>
      <c r="F62" s="191" t="s">
        <v>7724</v>
      </c>
      <c r="G62" s="191">
        <v>23</v>
      </c>
      <c r="H62" s="191"/>
      <c r="I62" s="191" t="s">
        <v>6533</v>
      </c>
      <c r="J62" s="192">
        <v>46135.228796296295</v>
      </c>
      <c r="K62" s="191"/>
      <c r="L62" s="191"/>
    </row>
    <row r="63" spans="1:12">
      <c r="A63" s="191">
        <v>67</v>
      </c>
      <c r="B63" s="195" t="s">
        <v>7725</v>
      </c>
      <c r="C63" s="191" t="s">
        <v>7723</v>
      </c>
      <c r="D63" s="191">
        <v>3</v>
      </c>
      <c r="E63" s="191" t="s">
        <v>6738</v>
      </c>
      <c r="F63" s="191" t="s">
        <v>7726</v>
      </c>
      <c r="G63" s="191">
        <v>11</v>
      </c>
      <c r="H63" s="191"/>
      <c r="I63" s="191" t="s">
        <v>6533</v>
      </c>
      <c r="J63" s="192">
        <v>46135.230474537035</v>
      </c>
      <c r="K63" s="191"/>
      <c r="L63" s="191"/>
    </row>
    <row r="64" spans="1:12" ht="28.5">
      <c r="A64" s="191">
        <v>68</v>
      </c>
      <c r="B64" s="195" t="s">
        <v>7727</v>
      </c>
      <c r="C64" s="191" t="s">
        <v>7728</v>
      </c>
      <c r="D64" s="191">
        <v>1</v>
      </c>
      <c r="E64" s="191" t="s">
        <v>6647</v>
      </c>
      <c r="F64" s="191" t="s">
        <v>7729</v>
      </c>
      <c r="G64" s="191">
        <v>4</v>
      </c>
      <c r="H64" s="191"/>
      <c r="I64" s="191" t="s">
        <v>6632</v>
      </c>
      <c r="J64" s="192">
        <v>46135.235439814816</v>
      </c>
      <c r="K64" s="191"/>
      <c r="L64" s="191"/>
    </row>
    <row r="65" spans="1:12" ht="28.5">
      <c r="A65" s="191">
        <v>69</v>
      </c>
      <c r="B65" s="195" t="s">
        <v>6751</v>
      </c>
      <c r="C65" s="191" t="s">
        <v>7730</v>
      </c>
      <c r="D65" s="191">
        <v>1</v>
      </c>
      <c r="E65" s="191" t="s">
        <v>6647</v>
      </c>
      <c r="F65" s="191" t="s">
        <v>7731</v>
      </c>
      <c r="G65" s="191">
        <v>5</v>
      </c>
      <c r="H65" s="191"/>
      <c r="I65" s="191" t="s">
        <v>6632</v>
      </c>
      <c r="J65" s="192">
        <v>46135.236643518518</v>
      </c>
      <c r="K65" s="191"/>
      <c r="L65" s="191"/>
    </row>
    <row r="66" spans="1:12">
      <c r="A66" s="191">
        <v>70</v>
      </c>
      <c r="B66" s="195" t="s">
        <v>6996</v>
      </c>
      <c r="C66" s="191" t="s">
        <v>7732</v>
      </c>
      <c r="D66" s="191">
        <v>1</v>
      </c>
      <c r="E66" s="191" t="s">
        <v>6647</v>
      </c>
      <c r="F66" s="191" t="s">
        <v>7733</v>
      </c>
      <c r="G66" s="191">
        <v>3</v>
      </c>
      <c r="H66" s="191"/>
      <c r="I66" s="191" t="s">
        <v>6632</v>
      </c>
      <c r="J66" s="192">
        <v>46135.237916666665</v>
      </c>
      <c r="K66" s="191"/>
      <c r="L66" s="191"/>
    </row>
    <row r="67" spans="1:12">
      <c r="A67" s="191">
        <v>71</v>
      </c>
      <c r="B67" s="195" t="s">
        <v>7734</v>
      </c>
      <c r="C67" s="191" t="s">
        <v>6643</v>
      </c>
      <c r="D67" s="191">
        <v>1</v>
      </c>
      <c r="E67" s="191" t="s">
        <v>6647</v>
      </c>
      <c r="F67" s="191" t="s">
        <v>7735</v>
      </c>
      <c r="G67" s="191">
        <v>19</v>
      </c>
      <c r="H67" s="191"/>
      <c r="I67" s="191" t="s">
        <v>6632</v>
      </c>
      <c r="J67" s="192">
        <v>46135.239560185182</v>
      </c>
      <c r="K67" s="191"/>
      <c r="L67" s="191"/>
    </row>
    <row r="68" spans="1:12" ht="28.5">
      <c r="A68" s="191">
        <v>72</v>
      </c>
      <c r="B68" s="195" t="s">
        <v>6644</v>
      </c>
      <c r="C68" s="191" t="s">
        <v>6427</v>
      </c>
      <c r="D68" s="191">
        <v>1</v>
      </c>
      <c r="E68" s="191" t="s">
        <v>6647</v>
      </c>
      <c r="F68" s="191" t="s">
        <v>6433</v>
      </c>
      <c r="G68" s="191">
        <v>12</v>
      </c>
      <c r="H68" s="191"/>
      <c r="I68" s="191" t="s">
        <v>6632</v>
      </c>
      <c r="J68" s="192">
        <v>46135.240682870368</v>
      </c>
      <c r="K68" s="191"/>
      <c r="L68" s="191"/>
    </row>
    <row r="69" spans="1:12" ht="28.5">
      <c r="A69" s="191">
        <v>73</v>
      </c>
      <c r="B69" s="195" t="s">
        <v>7736</v>
      </c>
      <c r="C69" s="191" t="s">
        <v>6427</v>
      </c>
      <c r="D69" s="191">
        <v>1</v>
      </c>
      <c r="E69" s="191" t="s">
        <v>6647</v>
      </c>
      <c r="F69" s="191" t="s">
        <v>6432</v>
      </c>
      <c r="G69" s="191">
        <v>15</v>
      </c>
      <c r="H69" s="191"/>
      <c r="I69" s="191" t="s">
        <v>6632</v>
      </c>
      <c r="J69" s="192">
        <v>46135.24181712963</v>
      </c>
      <c r="K69" s="191"/>
      <c r="L69" s="191"/>
    </row>
    <row r="70" spans="1:12">
      <c r="A70" s="191">
        <v>74</v>
      </c>
      <c r="B70" s="195" t="s">
        <v>7737</v>
      </c>
      <c r="C70" s="191" t="s">
        <v>7738</v>
      </c>
      <c r="D70" s="191">
        <v>1</v>
      </c>
      <c r="E70" s="191" t="s">
        <v>6428</v>
      </c>
      <c r="F70" s="191" t="s">
        <v>7739</v>
      </c>
      <c r="G70" s="191">
        <v>2</v>
      </c>
      <c r="H70" s="191"/>
      <c r="I70" s="191" t="s">
        <v>6632</v>
      </c>
      <c r="J70" s="192">
        <v>46135.243715277778</v>
      </c>
      <c r="K70" s="191"/>
      <c r="L70" s="191"/>
    </row>
    <row r="71" spans="1:12" ht="28.5">
      <c r="A71" s="191">
        <v>75</v>
      </c>
      <c r="B71" s="195" t="s">
        <v>7004</v>
      </c>
      <c r="C71" s="191" t="s">
        <v>7740</v>
      </c>
      <c r="D71" s="191">
        <v>1</v>
      </c>
      <c r="E71" s="191" t="s">
        <v>6428</v>
      </c>
      <c r="F71" s="191" t="s">
        <v>7741</v>
      </c>
      <c r="G71" s="191">
        <v>9</v>
      </c>
      <c r="H71" s="191"/>
      <c r="I71" s="191" t="s">
        <v>6632</v>
      </c>
      <c r="J71" s="192">
        <v>46135.245254629626</v>
      </c>
      <c r="K71" s="191"/>
      <c r="L71" s="191"/>
    </row>
    <row r="72" spans="1:12">
      <c r="A72" s="191">
        <v>76</v>
      </c>
      <c r="B72" s="195" t="s">
        <v>6751</v>
      </c>
      <c r="C72" s="191" t="s">
        <v>7742</v>
      </c>
      <c r="D72" s="191">
        <v>1</v>
      </c>
      <c r="E72" s="191" t="s">
        <v>6428</v>
      </c>
      <c r="F72" s="191" t="s">
        <v>7743</v>
      </c>
      <c r="G72" s="191">
        <v>5</v>
      </c>
      <c r="H72" s="191"/>
      <c r="I72" s="191" t="s">
        <v>6632</v>
      </c>
      <c r="J72" s="192">
        <v>46135.24722222222</v>
      </c>
      <c r="K72" s="191"/>
      <c r="L72" s="191"/>
    </row>
    <row r="73" spans="1:12">
      <c r="A73" s="191">
        <v>77</v>
      </c>
      <c r="B73" s="195" t="s">
        <v>7737</v>
      </c>
      <c r="C73" s="191" t="s">
        <v>7744</v>
      </c>
      <c r="D73" s="191">
        <v>1</v>
      </c>
      <c r="E73" s="191" t="s">
        <v>6428</v>
      </c>
      <c r="F73" s="191" t="s">
        <v>7745</v>
      </c>
      <c r="G73" s="191">
        <v>2</v>
      </c>
      <c r="H73" s="191"/>
      <c r="I73" s="191" t="s">
        <v>6632</v>
      </c>
      <c r="J73" s="192">
        <v>46135.249085648145</v>
      </c>
      <c r="K73" s="191"/>
      <c r="L73" s="191"/>
    </row>
    <row r="74" spans="1:12" ht="28.5">
      <c r="A74" s="191">
        <v>78</v>
      </c>
      <c r="B74" s="195" t="s">
        <v>6998</v>
      </c>
      <c r="C74" s="191" t="s">
        <v>7746</v>
      </c>
      <c r="D74" s="191">
        <v>1</v>
      </c>
      <c r="E74" s="196" t="s">
        <v>6428</v>
      </c>
      <c r="F74" s="196" t="s">
        <v>7747</v>
      </c>
      <c r="G74" s="196">
        <v>7</v>
      </c>
      <c r="H74" s="191"/>
      <c r="I74" s="191" t="s">
        <v>6632</v>
      </c>
      <c r="J74" s="192">
        <v>46135.251099537039</v>
      </c>
      <c r="K74" s="191"/>
      <c r="L74" s="196"/>
    </row>
    <row r="75" spans="1:12">
      <c r="A75" s="191">
        <v>79</v>
      </c>
      <c r="B75" s="195" t="s">
        <v>6751</v>
      </c>
      <c r="C75" s="191" t="s">
        <v>7748</v>
      </c>
      <c r="D75" s="191">
        <v>1</v>
      </c>
      <c r="E75" s="196" t="s">
        <v>6428</v>
      </c>
      <c r="F75" s="196" t="s">
        <v>7749</v>
      </c>
      <c r="G75" s="196">
        <v>5</v>
      </c>
      <c r="H75" s="191"/>
      <c r="I75" s="191" t="s">
        <v>6632</v>
      </c>
      <c r="J75" s="192">
        <v>46135.253067129626</v>
      </c>
      <c r="K75" s="191"/>
      <c r="L75" s="196"/>
    </row>
    <row r="76" spans="1:12">
      <c r="A76" s="191">
        <v>80</v>
      </c>
      <c r="B76" s="195" t="s">
        <v>7737</v>
      </c>
      <c r="C76" s="191" t="s">
        <v>7750</v>
      </c>
      <c r="D76" s="191">
        <v>1</v>
      </c>
      <c r="E76" s="196" t="s">
        <v>6428</v>
      </c>
      <c r="F76" s="196" t="s">
        <v>7751</v>
      </c>
      <c r="G76" s="196">
        <v>2</v>
      </c>
      <c r="H76" s="191"/>
      <c r="I76" s="191" t="s">
        <v>6632</v>
      </c>
      <c r="J76" s="192">
        <v>46135.254293981481</v>
      </c>
      <c r="K76" s="191"/>
      <c r="L76" s="196"/>
    </row>
    <row r="77" spans="1:12">
      <c r="A77" s="191">
        <v>81</v>
      </c>
      <c r="B77" s="195" t="s">
        <v>6996</v>
      </c>
      <c r="C77" s="191" t="s">
        <v>7752</v>
      </c>
      <c r="D77" s="191">
        <v>1</v>
      </c>
      <c r="E77" s="196" t="s">
        <v>6428</v>
      </c>
      <c r="F77" s="196" t="s">
        <v>7751</v>
      </c>
      <c r="G77" s="196">
        <v>3</v>
      </c>
      <c r="H77" s="191"/>
      <c r="I77" s="191" t="s">
        <v>6632</v>
      </c>
      <c r="J77" s="192">
        <v>46135.256030092591</v>
      </c>
      <c r="K77" s="191"/>
      <c r="L77" s="196"/>
    </row>
    <row r="78" spans="1:12">
      <c r="A78" s="191">
        <v>82</v>
      </c>
      <c r="B78" s="195" t="s">
        <v>6996</v>
      </c>
      <c r="C78" s="191" t="s">
        <v>7753</v>
      </c>
      <c r="D78" s="191">
        <v>1</v>
      </c>
      <c r="E78" s="196" t="s">
        <v>6428</v>
      </c>
      <c r="F78" s="196" t="s">
        <v>7170</v>
      </c>
      <c r="G78" s="196">
        <v>3</v>
      </c>
      <c r="H78" s="191"/>
      <c r="I78" s="191" t="s">
        <v>6632</v>
      </c>
      <c r="J78" s="192">
        <v>46135.257291666669</v>
      </c>
      <c r="K78" s="191"/>
      <c r="L78" s="196"/>
    </row>
    <row r="79" spans="1:12" ht="28.5">
      <c r="A79" s="191">
        <v>83</v>
      </c>
      <c r="B79" s="195" t="s">
        <v>6996</v>
      </c>
      <c r="C79" s="191" t="s">
        <v>7754</v>
      </c>
      <c r="D79" s="191">
        <v>1</v>
      </c>
      <c r="E79" s="196" t="s">
        <v>6428</v>
      </c>
      <c r="F79" s="196" t="s">
        <v>7755</v>
      </c>
      <c r="G79" s="196">
        <v>3</v>
      </c>
      <c r="H79" s="191"/>
      <c r="I79" s="191" t="s">
        <v>6632</v>
      </c>
      <c r="J79" s="192">
        <v>46135.258969907409</v>
      </c>
      <c r="K79" s="191"/>
      <c r="L79" s="196"/>
    </row>
    <row r="80" spans="1:12" ht="28.5">
      <c r="A80" s="191">
        <v>84</v>
      </c>
      <c r="B80" s="195" t="s">
        <v>6998</v>
      </c>
      <c r="C80" s="191" t="s">
        <v>7756</v>
      </c>
      <c r="D80" s="191">
        <v>1</v>
      </c>
      <c r="E80" s="196" t="s">
        <v>6647</v>
      </c>
      <c r="F80" s="196" t="s">
        <v>7757</v>
      </c>
      <c r="G80" s="196">
        <v>7</v>
      </c>
      <c r="H80" s="191"/>
      <c r="I80" s="191" t="s">
        <v>6632</v>
      </c>
      <c r="J80" s="192">
        <v>46135.259976851848</v>
      </c>
      <c r="K80" s="191"/>
      <c r="L80" s="196"/>
    </row>
    <row r="81" spans="1:12" ht="28.5">
      <c r="A81" s="191">
        <v>85</v>
      </c>
      <c r="B81" s="195" t="s">
        <v>6751</v>
      </c>
      <c r="C81" s="191" t="s">
        <v>7758</v>
      </c>
      <c r="D81" s="191">
        <v>1</v>
      </c>
      <c r="E81" s="196" t="s">
        <v>6428</v>
      </c>
      <c r="F81" s="196" t="s">
        <v>7759</v>
      </c>
      <c r="G81" s="196">
        <v>5</v>
      </c>
      <c r="H81" s="191"/>
      <c r="I81" s="191" t="s">
        <v>6632</v>
      </c>
      <c r="J81" s="192">
        <v>46135.261157407411</v>
      </c>
      <c r="K81" s="191"/>
      <c r="L81" s="196"/>
    </row>
    <row r="82" spans="1:12">
      <c r="A82" s="191">
        <v>86</v>
      </c>
      <c r="B82" s="195" t="s">
        <v>6634</v>
      </c>
      <c r="C82" s="191" t="s">
        <v>6370</v>
      </c>
      <c r="D82" s="191">
        <v>1</v>
      </c>
      <c r="E82" s="196" t="s">
        <v>6428</v>
      </c>
      <c r="F82" s="196" t="s">
        <v>7759</v>
      </c>
      <c r="G82" s="196">
        <v>1</v>
      </c>
      <c r="H82" s="191"/>
      <c r="I82" s="191" t="s">
        <v>6632</v>
      </c>
      <c r="J82" s="192">
        <v>46135.261979166666</v>
      </c>
      <c r="K82" s="191"/>
      <c r="L82" s="196"/>
    </row>
    <row r="83" spans="1:12" ht="28.5">
      <c r="A83" s="191">
        <v>87</v>
      </c>
      <c r="B83" s="191" t="s">
        <v>7360</v>
      </c>
      <c r="C83" s="191" t="s">
        <v>7760</v>
      </c>
      <c r="D83" s="191">
        <v>3</v>
      </c>
      <c r="E83" s="191" t="s">
        <v>6738</v>
      </c>
      <c r="F83" s="191" t="s">
        <v>6484</v>
      </c>
      <c r="G83" s="191">
        <v>6</v>
      </c>
      <c r="H83" s="191"/>
      <c r="I83" s="191" t="s">
        <v>6533</v>
      </c>
      <c r="J83" s="192">
        <v>46135.326701388891</v>
      </c>
      <c r="K83" s="191"/>
      <c r="L83" s="191"/>
    </row>
    <row r="84" spans="1:12" ht="28.5">
      <c r="A84" s="191">
        <v>88</v>
      </c>
      <c r="B84" s="191" t="s">
        <v>7761</v>
      </c>
      <c r="C84" s="191" t="s">
        <v>7760</v>
      </c>
      <c r="D84" s="191">
        <v>3</v>
      </c>
      <c r="E84" s="191" t="s">
        <v>6738</v>
      </c>
      <c r="F84" s="191" t="s">
        <v>6488</v>
      </c>
      <c r="G84" s="191">
        <v>12</v>
      </c>
      <c r="H84" s="191"/>
      <c r="I84" s="191" t="s">
        <v>6533</v>
      </c>
      <c r="J84" s="192">
        <v>46135.327581018515</v>
      </c>
      <c r="K84" s="191"/>
      <c r="L84" s="191"/>
    </row>
    <row r="85" spans="1:12" ht="28.5">
      <c r="A85" s="191">
        <v>89</v>
      </c>
      <c r="B85" s="191" t="s">
        <v>7762</v>
      </c>
      <c r="C85" s="191" t="s">
        <v>7763</v>
      </c>
      <c r="D85" s="191">
        <v>3</v>
      </c>
      <c r="E85" s="191" t="s">
        <v>6738</v>
      </c>
      <c r="F85" s="191" t="s">
        <v>7764</v>
      </c>
      <c r="G85" s="191">
        <v>16</v>
      </c>
      <c r="H85" s="191"/>
      <c r="I85" s="191" t="s">
        <v>6533</v>
      </c>
      <c r="J85" s="192">
        <v>46135.329479166663</v>
      </c>
      <c r="K85" s="191"/>
      <c r="L85" s="191"/>
    </row>
    <row r="86" spans="1:12" ht="28.5">
      <c r="A86" s="191">
        <v>90</v>
      </c>
      <c r="B86" s="191" t="s">
        <v>7765</v>
      </c>
      <c r="C86" s="191" t="s">
        <v>7763</v>
      </c>
      <c r="D86" s="191">
        <v>3</v>
      </c>
      <c r="E86" s="191" t="s">
        <v>6738</v>
      </c>
      <c r="F86" s="191" t="s">
        <v>7766</v>
      </c>
      <c r="G86" s="191">
        <v>10</v>
      </c>
      <c r="H86" s="191"/>
      <c r="I86" s="191" t="s">
        <v>6533</v>
      </c>
      <c r="J86" s="192">
        <v>46135.330138888887</v>
      </c>
      <c r="K86" s="191"/>
      <c r="L86" s="191"/>
    </row>
    <row r="87" spans="1:12" ht="28.5">
      <c r="A87" s="191">
        <v>91</v>
      </c>
      <c r="B87" s="191" t="s">
        <v>7767</v>
      </c>
      <c r="C87" s="191" t="s">
        <v>4528</v>
      </c>
      <c r="D87" s="191">
        <v>3</v>
      </c>
      <c r="E87" s="191" t="s">
        <v>237</v>
      </c>
      <c r="F87" s="191" t="s">
        <v>6531</v>
      </c>
      <c r="G87" s="191">
        <v>25</v>
      </c>
      <c r="H87" s="191"/>
      <c r="I87" s="191" t="s">
        <v>6533</v>
      </c>
      <c r="J87" s="192">
        <v>46136.052916666667</v>
      </c>
      <c r="K87" s="191"/>
      <c r="L87" s="191"/>
    </row>
    <row r="88" spans="1:12">
      <c r="A88" s="191">
        <v>92</v>
      </c>
      <c r="B88" s="191" t="s">
        <v>7768</v>
      </c>
      <c r="C88" s="191" t="s">
        <v>6343</v>
      </c>
      <c r="D88" s="191">
        <v>3</v>
      </c>
      <c r="E88" s="191" t="s">
        <v>4375</v>
      </c>
      <c r="F88" s="191" t="s">
        <v>7769</v>
      </c>
      <c r="G88" s="191">
        <v>11</v>
      </c>
      <c r="H88" s="191"/>
      <c r="I88" s="191" t="s">
        <v>6533</v>
      </c>
      <c r="J88" s="192">
        <v>46136.053969907407</v>
      </c>
      <c r="K88" s="191"/>
      <c r="L88" s="191"/>
    </row>
    <row r="89" spans="1:12">
      <c r="A89" s="191">
        <v>93</v>
      </c>
      <c r="B89" s="191" t="s">
        <v>7761</v>
      </c>
      <c r="C89" s="191" t="s">
        <v>6343</v>
      </c>
      <c r="D89" s="191">
        <v>3</v>
      </c>
      <c r="E89" s="191" t="s">
        <v>4375</v>
      </c>
      <c r="F89" s="191" t="s">
        <v>7770</v>
      </c>
      <c r="G89" s="191">
        <v>12</v>
      </c>
      <c r="H89" s="191"/>
      <c r="I89" s="191" t="s">
        <v>6533</v>
      </c>
      <c r="J89" s="192">
        <v>46136.055127314816</v>
      </c>
      <c r="K89" s="191"/>
      <c r="L89" s="191"/>
    </row>
    <row r="90" spans="1:12">
      <c r="A90" s="191">
        <v>94</v>
      </c>
      <c r="B90" s="191" t="s">
        <v>7771</v>
      </c>
      <c r="C90" s="191" t="s">
        <v>6343</v>
      </c>
      <c r="D90" s="191">
        <v>3</v>
      </c>
      <c r="E90" s="191" t="s">
        <v>4375</v>
      </c>
      <c r="F90" s="191" t="s">
        <v>2881</v>
      </c>
      <c r="G90" s="191">
        <v>8</v>
      </c>
      <c r="H90" s="191"/>
      <c r="I90" s="191" t="s">
        <v>6533</v>
      </c>
      <c r="J90" s="192">
        <v>46136.056030092594</v>
      </c>
      <c r="K90" s="191"/>
      <c r="L90" s="191"/>
    </row>
    <row r="91" spans="1:12">
      <c r="A91" s="191">
        <v>95</v>
      </c>
      <c r="B91" s="191" t="s">
        <v>7762</v>
      </c>
      <c r="C91" s="191" t="s">
        <v>5707</v>
      </c>
      <c r="D91" s="191">
        <v>3</v>
      </c>
      <c r="E91" s="191" t="s">
        <v>6738</v>
      </c>
      <c r="F91" s="191" t="s">
        <v>7772</v>
      </c>
      <c r="G91" s="191">
        <v>16</v>
      </c>
      <c r="H91" s="191"/>
      <c r="I91" s="191" t="s">
        <v>6533</v>
      </c>
      <c r="J91" s="192">
        <v>46136.057245370372</v>
      </c>
      <c r="K91" s="191"/>
      <c r="L91" s="191"/>
    </row>
    <row r="92" spans="1:12">
      <c r="A92" s="191">
        <v>96</v>
      </c>
      <c r="B92" s="191" t="s">
        <v>6930</v>
      </c>
      <c r="C92" s="191" t="s">
        <v>5707</v>
      </c>
      <c r="D92" s="191">
        <v>3</v>
      </c>
      <c r="E92" s="191" t="s">
        <v>6738</v>
      </c>
      <c r="F92" s="191" t="s">
        <v>7773</v>
      </c>
      <c r="G92" s="191">
        <v>14</v>
      </c>
      <c r="H92" s="191"/>
      <c r="I92" s="191" t="s">
        <v>6533</v>
      </c>
      <c r="J92" s="192">
        <v>46136.058472222219</v>
      </c>
      <c r="K92" s="191"/>
      <c r="L92" s="191"/>
    </row>
    <row r="93" spans="1:12">
      <c r="A93" s="191">
        <v>97</v>
      </c>
      <c r="B93" s="191" t="s">
        <v>7774</v>
      </c>
      <c r="C93" s="191" t="s">
        <v>5707</v>
      </c>
      <c r="D93" s="191">
        <v>3</v>
      </c>
      <c r="E93" s="191" t="s">
        <v>6738</v>
      </c>
      <c r="F93" s="191" t="s">
        <v>7775</v>
      </c>
      <c r="G93" s="191">
        <v>9</v>
      </c>
      <c r="H93" s="191"/>
      <c r="I93" s="191" t="s">
        <v>6533</v>
      </c>
      <c r="J93" s="192">
        <v>46136.059502314813</v>
      </c>
      <c r="K93" s="191"/>
      <c r="L93" s="191"/>
    </row>
    <row r="94" spans="1:12">
      <c r="A94" s="191">
        <v>98</v>
      </c>
      <c r="B94" s="191" t="s">
        <v>7776</v>
      </c>
      <c r="C94" s="191" t="s">
        <v>7777</v>
      </c>
      <c r="D94" s="191">
        <v>3</v>
      </c>
      <c r="E94" s="191" t="s">
        <v>4375</v>
      </c>
      <c r="F94" s="191" t="s">
        <v>4376</v>
      </c>
      <c r="G94" s="191">
        <v>18</v>
      </c>
      <c r="H94" s="191"/>
      <c r="I94" s="191" t="s">
        <v>6533</v>
      </c>
      <c r="J94" s="192">
        <v>46136.060694444444</v>
      </c>
      <c r="K94" s="191"/>
      <c r="L94" s="191"/>
    </row>
    <row r="95" spans="1:12" ht="28.5">
      <c r="A95" s="191">
        <v>99</v>
      </c>
      <c r="B95" s="191" t="s">
        <v>7776</v>
      </c>
      <c r="C95" s="191" t="s">
        <v>6534</v>
      </c>
      <c r="D95" s="191">
        <v>3</v>
      </c>
      <c r="E95" s="191" t="s">
        <v>4375</v>
      </c>
      <c r="F95" s="191" t="s">
        <v>7778</v>
      </c>
      <c r="G95" s="191">
        <v>18</v>
      </c>
      <c r="H95" s="191"/>
      <c r="I95" s="191" t="s">
        <v>6533</v>
      </c>
      <c r="J95" s="192">
        <v>46136.061655092592</v>
      </c>
      <c r="K95" s="191"/>
      <c r="L95" s="191"/>
    </row>
    <row r="96" spans="1:12" ht="28.5">
      <c r="A96" s="191">
        <v>100</v>
      </c>
      <c r="B96" s="191" t="s">
        <v>7774</v>
      </c>
      <c r="C96" s="191" t="s">
        <v>6536</v>
      </c>
      <c r="D96" s="191">
        <v>3</v>
      </c>
      <c r="E96" s="191" t="s">
        <v>4375</v>
      </c>
      <c r="F96" s="191" t="s">
        <v>6537</v>
      </c>
      <c r="G96" s="191">
        <v>9</v>
      </c>
      <c r="H96" s="191"/>
      <c r="I96" s="191" t="s">
        <v>6533</v>
      </c>
      <c r="J96" s="192">
        <v>46136.062719907408</v>
      </c>
      <c r="K96" s="191"/>
      <c r="L96" s="191"/>
    </row>
    <row r="97" spans="1:12" ht="28.5">
      <c r="A97" s="191">
        <v>101</v>
      </c>
      <c r="B97" s="191" t="s">
        <v>7774</v>
      </c>
      <c r="C97" s="191" t="s">
        <v>6536</v>
      </c>
      <c r="D97" s="191">
        <v>3</v>
      </c>
      <c r="E97" s="191" t="s">
        <v>6738</v>
      </c>
      <c r="F97" s="191" t="s">
        <v>7779</v>
      </c>
      <c r="G97" s="191">
        <v>9</v>
      </c>
      <c r="H97" s="191"/>
      <c r="I97" s="191" t="s">
        <v>6533</v>
      </c>
      <c r="J97" s="192">
        <v>46136.063726851855</v>
      </c>
      <c r="K97" s="191"/>
      <c r="L97" s="191"/>
    </row>
    <row r="98" spans="1:12" ht="28.5">
      <c r="A98" s="191">
        <v>102</v>
      </c>
      <c r="B98" s="191" t="s">
        <v>7765</v>
      </c>
      <c r="C98" s="191" t="s">
        <v>6536</v>
      </c>
      <c r="D98" s="191">
        <v>3</v>
      </c>
      <c r="E98" s="191" t="s">
        <v>6738</v>
      </c>
      <c r="F98" s="191" t="s">
        <v>7780</v>
      </c>
      <c r="G98" s="191">
        <v>10</v>
      </c>
      <c r="H98" s="191"/>
      <c r="I98" s="191" t="s">
        <v>6533</v>
      </c>
      <c r="J98" s="192">
        <v>46136.064976851849</v>
      </c>
      <c r="K98" s="191"/>
      <c r="L98" s="191"/>
    </row>
    <row r="99" spans="1:12" ht="28.5">
      <c r="A99" s="191">
        <v>103</v>
      </c>
      <c r="B99" s="191" t="s">
        <v>7768</v>
      </c>
      <c r="C99" s="191" t="s">
        <v>6536</v>
      </c>
      <c r="D99" s="191">
        <v>3</v>
      </c>
      <c r="E99" s="191" t="s">
        <v>4375</v>
      </c>
      <c r="F99" s="191" t="s">
        <v>6739</v>
      </c>
      <c r="G99" s="191">
        <v>11</v>
      </c>
      <c r="H99" s="191"/>
      <c r="I99" s="191" t="s">
        <v>6533</v>
      </c>
      <c r="J99" s="192">
        <v>46136.066006944442</v>
      </c>
      <c r="K99" s="191"/>
      <c r="L99" s="191"/>
    </row>
    <row r="100" spans="1:12" ht="28.5">
      <c r="A100" s="191">
        <v>104</v>
      </c>
      <c r="B100" s="191" t="s">
        <v>7771</v>
      </c>
      <c r="C100" s="191" t="s">
        <v>6536</v>
      </c>
      <c r="D100" s="191">
        <v>3</v>
      </c>
      <c r="E100" s="191" t="s">
        <v>6738</v>
      </c>
      <c r="F100" s="191" t="s">
        <v>7781</v>
      </c>
      <c r="G100" s="191">
        <v>8</v>
      </c>
      <c r="H100" s="191"/>
      <c r="I100" s="191" t="s">
        <v>6533</v>
      </c>
      <c r="J100" s="192">
        <v>46136.066944444443</v>
      </c>
      <c r="K100" s="191"/>
      <c r="L100" s="191"/>
    </row>
    <row r="101" spans="1:12">
      <c r="A101" s="191">
        <v>105</v>
      </c>
      <c r="B101" s="195" t="s">
        <v>7782</v>
      </c>
      <c r="C101" s="191" t="s">
        <v>7742</v>
      </c>
      <c r="D101" s="191">
        <v>1</v>
      </c>
      <c r="E101" s="191" t="s">
        <v>6428</v>
      </c>
      <c r="F101" s="191" t="s">
        <v>7783</v>
      </c>
      <c r="G101" s="191">
        <v>8</v>
      </c>
      <c r="H101" s="191"/>
      <c r="I101" s="191" t="s">
        <v>6632</v>
      </c>
      <c r="J101" s="192">
        <v>46136.091423611113</v>
      </c>
      <c r="K101" s="191"/>
      <c r="L101" s="191"/>
    </row>
    <row r="102" spans="1:12">
      <c r="A102" s="191">
        <v>106</v>
      </c>
      <c r="B102" s="195" t="s">
        <v>7784</v>
      </c>
      <c r="C102" s="191" t="s">
        <v>7785</v>
      </c>
      <c r="D102" s="191">
        <v>1</v>
      </c>
      <c r="E102" s="191" t="s">
        <v>6428</v>
      </c>
      <c r="F102" s="191" t="s">
        <v>7786</v>
      </c>
      <c r="G102" s="191">
        <v>31</v>
      </c>
      <c r="H102" s="191"/>
      <c r="I102" s="191" t="s">
        <v>6632</v>
      </c>
      <c r="J102" s="192">
        <v>46136.093368055554</v>
      </c>
      <c r="K102" s="191"/>
      <c r="L102" s="191"/>
    </row>
    <row r="103" spans="1:12">
      <c r="A103" s="191">
        <v>107</v>
      </c>
      <c r="B103" s="195" t="s">
        <v>7787</v>
      </c>
      <c r="C103" s="191" t="s">
        <v>7785</v>
      </c>
      <c r="D103" s="191">
        <v>1</v>
      </c>
      <c r="E103" s="191" t="s">
        <v>6428</v>
      </c>
      <c r="F103" s="191" t="s">
        <v>7788</v>
      </c>
      <c r="G103" s="191">
        <v>30</v>
      </c>
      <c r="H103" s="191"/>
      <c r="I103" s="191" t="s">
        <v>6632</v>
      </c>
      <c r="J103" s="192">
        <v>46136.094328703701</v>
      </c>
      <c r="K103" s="191"/>
      <c r="L103" s="191"/>
    </row>
    <row r="104" spans="1:12" ht="57.75">
      <c r="A104" s="191">
        <v>108</v>
      </c>
      <c r="B104" s="195" t="s">
        <v>7789</v>
      </c>
      <c r="C104" s="191" t="s">
        <v>6211</v>
      </c>
      <c r="D104" s="191" t="s">
        <v>6212</v>
      </c>
      <c r="E104" s="191" t="s">
        <v>6213</v>
      </c>
      <c r="F104" s="191" t="s">
        <v>7467</v>
      </c>
      <c r="G104" s="191">
        <v>17</v>
      </c>
      <c r="H104" s="191" t="s">
        <v>7790</v>
      </c>
      <c r="I104" s="191" t="s">
        <v>6218</v>
      </c>
      <c r="J104" s="192">
        <v>46136.148229166669</v>
      </c>
      <c r="K104" s="191" t="s">
        <v>7791</v>
      </c>
      <c r="L104" s="191"/>
    </row>
    <row r="105" spans="1:12" ht="57.75">
      <c r="A105" s="191">
        <v>109</v>
      </c>
      <c r="B105" s="195" t="s">
        <v>7792</v>
      </c>
      <c r="C105" s="191" t="s">
        <v>4481</v>
      </c>
      <c r="D105" s="191" t="s">
        <v>6212</v>
      </c>
      <c r="E105" s="191" t="s">
        <v>6213</v>
      </c>
      <c r="F105" s="191" t="s">
        <v>7793</v>
      </c>
      <c r="G105" s="191">
        <v>18</v>
      </c>
      <c r="H105" s="191" t="s">
        <v>7794</v>
      </c>
      <c r="I105" s="191" t="s">
        <v>6218</v>
      </c>
      <c r="J105" s="192">
        <v>46136.15084490741</v>
      </c>
      <c r="K105" s="191" t="s">
        <v>7791</v>
      </c>
      <c r="L105" s="191"/>
    </row>
    <row r="106" spans="1:12" ht="57.75">
      <c r="A106" s="191">
        <v>110</v>
      </c>
      <c r="B106" s="195" t="s">
        <v>7795</v>
      </c>
      <c r="C106" s="191" t="s">
        <v>6813</v>
      </c>
      <c r="D106" s="191" t="s">
        <v>6212</v>
      </c>
      <c r="E106" s="191" t="s">
        <v>6213</v>
      </c>
      <c r="F106" s="191" t="s">
        <v>6814</v>
      </c>
      <c r="G106" s="191">
        <v>8</v>
      </c>
      <c r="H106" s="191" t="s">
        <v>7790</v>
      </c>
      <c r="I106" s="191" t="s">
        <v>6218</v>
      </c>
      <c r="J106" s="192">
        <v>46136.153391203705</v>
      </c>
      <c r="K106" s="191" t="s">
        <v>7791</v>
      </c>
      <c r="L106" s="191"/>
    </row>
    <row r="107" spans="1:12" ht="28.5">
      <c r="A107" s="191">
        <v>111</v>
      </c>
      <c r="B107" s="195" t="s">
        <v>7796</v>
      </c>
      <c r="C107" s="191" t="s">
        <v>7797</v>
      </c>
      <c r="D107" s="191">
        <v>3</v>
      </c>
      <c r="E107" s="191" t="s">
        <v>4375</v>
      </c>
      <c r="F107" s="191" t="s">
        <v>7797</v>
      </c>
      <c r="G107" s="191">
        <v>10</v>
      </c>
      <c r="H107" s="191"/>
      <c r="I107" s="191" t="s">
        <v>6533</v>
      </c>
      <c r="J107" s="192">
        <v>46136.299016203702</v>
      </c>
      <c r="K107" s="191"/>
      <c r="L107" s="191"/>
    </row>
    <row r="108" spans="1:12" ht="28.5">
      <c r="A108" s="191">
        <v>112</v>
      </c>
      <c r="B108" s="195" t="s">
        <v>4361</v>
      </c>
      <c r="C108" s="191" t="s">
        <v>4361</v>
      </c>
      <c r="D108" s="191" t="s">
        <v>7798</v>
      </c>
      <c r="E108" s="191" t="s">
        <v>4375</v>
      </c>
      <c r="F108" s="191" t="s">
        <v>7797</v>
      </c>
      <c r="G108" s="191">
        <v>10</v>
      </c>
      <c r="H108" s="191"/>
      <c r="I108" s="191" t="s">
        <v>6533</v>
      </c>
      <c r="J108" s="192">
        <v>46136.300879629627</v>
      </c>
      <c r="K108" s="191"/>
      <c r="L108" s="191"/>
    </row>
    <row r="109" spans="1:12" ht="28.5">
      <c r="A109" s="191">
        <v>113</v>
      </c>
      <c r="B109" s="195" t="s">
        <v>7799</v>
      </c>
      <c r="C109" s="191" t="s">
        <v>7799</v>
      </c>
      <c r="D109" s="191">
        <v>3</v>
      </c>
      <c r="E109" s="191" t="s">
        <v>7800</v>
      </c>
      <c r="F109" s="191" t="s">
        <v>7801</v>
      </c>
      <c r="G109" s="191">
        <v>2</v>
      </c>
      <c r="H109" s="191"/>
      <c r="I109" s="191" t="s">
        <v>6533</v>
      </c>
      <c r="J109" s="192">
        <v>46136.303113425929</v>
      </c>
      <c r="K109" s="191"/>
      <c r="L109" s="191"/>
    </row>
    <row r="110" spans="1:12" ht="28.5">
      <c r="A110" s="191">
        <v>114</v>
      </c>
      <c r="B110" s="195" t="s">
        <v>7802</v>
      </c>
      <c r="C110" s="191" t="s">
        <v>7803</v>
      </c>
      <c r="D110" s="191">
        <v>3</v>
      </c>
      <c r="E110" s="191" t="s">
        <v>237</v>
      </c>
      <c r="F110" s="191" t="s">
        <v>7801</v>
      </c>
      <c r="G110" s="191">
        <v>2</v>
      </c>
      <c r="H110" s="191"/>
      <c r="I110" s="191" t="s">
        <v>6533</v>
      </c>
      <c r="J110" s="192">
        <v>46136.304074074076</v>
      </c>
      <c r="K110" s="191"/>
      <c r="L110" s="191"/>
    </row>
    <row r="111" spans="1:12" ht="28.5">
      <c r="A111" s="191">
        <v>115</v>
      </c>
      <c r="B111" s="195" t="s">
        <v>7804</v>
      </c>
      <c r="C111" s="191" t="s">
        <v>7804</v>
      </c>
      <c r="D111" s="191">
        <v>4</v>
      </c>
      <c r="E111" s="191" t="s">
        <v>4375</v>
      </c>
      <c r="F111" s="191" t="s">
        <v>7801</v>
      </c>
      <c r="G111" s="191">
        <v>5</v>
      </c>
      <c r="H111" s="191"/>
      <c r="I111" s="191" t="s">
        <v>6533</v>
      </c>
      <c r="J111" s="192">
        <v>46136.305590277778</v>
      </c>
      <c r="K111" s="191"/>
      <c r="L111" s="191"/>
    </row>
    <row r="112" spans="1:12" ht="28.5">
      <c r="A112" s="191">
        <v>116</v>
      </c>
      <c r="B112" s="195" t="s">
        <v>7805</v>
      </c>
      <c r="C112" s="191" t="s">
        <v>7805</v>
      </c>
      <c r="D112" s="191">
        <v>3</v>
      </c>
      <c r="E112" s="191" t="s">
        <v>237</v>
      </c>
      <c r="F112" s="191" t="s">
        <v>7801</v>
      </c>
      <c r="G112" s="191">
        <v>3</v>
      </c>
      <c r="H112" s="191"/>
      <c r="I112" s="191" t="s">
        <v>6533</v>
      </c>
      <c r="J112" s="192">
        <v>46136.307569444441</v>
      </c>
      <c r="K112" s="191"/>
      <c r="L112" s="191"/>
    </row>
    <row r="113" spans="1:12">
      <c r="A113" s="191">
        <v>117</v>
      </c>
      <c r="B113" s="195" t="s">
        <v>7720</v>
      </c>
      <c r="C113" s="191" t="s">
        <v>4972</v>
      </c>
      <c r="D113" s="191">
        <v>5</v>
      </c>
      <c r="E113" s="191" t="s">
        <v>7065</v>
      </c>
      <c r="F113" s="191" t="s">
        <v>7721</v>
      </c>
      <c r="G113" s="191">
        <v>11</v>
      </c>
      <c r="H113" s="191"/>
      <c r="I113" s="191" t="s">
        <v>7067</v>
      </c>
      <c r="J113" s="192">
        <v>46136.309131944443</v>
      </c>
      <c r="K113" s="191"/>
      <c r="L113" s="191"/>
    </row>
    <row r="114" spans="1:12" ht="28.5">
      <c r="A114" s="191">
        <v>118</v>
      </c>
      <c r="B114" s="195" t="s">
        <v>7806</v>
      </c>
      <c r="C114" s="191" t="s">
        <v>6964</v>
      </c>
      <c r="D114" s="191" t="s">
        <v>7018</v>
      </c>
      <c r="E114" s="191" t="s">
        <v>7018</v>
      </c>
      <c r="F114" s="191" t="s">
        <v>7807</v>
      </c>
      <c r="G114" s="191">
        <v>5</v>
      </c>
      <c r="H114" s="191"/>
      <c r="I114" s="191" t="s">
        <v>7021</v>
      </c>
      <c r="J114" s="192">
        <v>46139.304537037038</v>
      </c>
      <c r="K114" s="191" t="s">
        <v>7808</v>
      </c>
      <c r="L114" s="191"/>
    </row>
    <row r="115" spans="1:12" ht="28.5">
      <c r="A115" s="191">
        <v>119</v>
      </c>
      <c r="B115" s="195" t="s">
        <v>7809</v>
      </c>
      <c r="C115" s="191" t="s">
        <v>6964</v>
      </c>
      <c r="D115" s="191" t="s">
        <v>7018</v>
      </c>
      <c r="E115" s="191" t="s">
        <v>7018</v>
      </c>
      <c r="F115" s="191" t="s">
        <v>7810</v>
      </c>
      <c r="G115" s="191">
        <v>5</v>
      </c>
      <c r="H115" s="191"/>
      <c r="I115" s="191" t="s">
        <v>7625</v>
      </c>
      <c r="J115" s="192">
        <v>46139.304942129631</v>
      </c>
      <c r="K115" s="191" t="s">
        <v>7808</v>
      </c>
      <c r="L115" s="191"/>
    </row>
    <row r="116" spans="1:12" ht="28.5">
      <c r="A116" s="191">
        <v>120</v>
      </c>
      <c r="B116" s="195" t="s">
        <v>7806</v>
      </c>
      <c r="C116" s="191" t="s">
        <v>6964</v>
      </c>
      <c r="D116" s="191" t="s">
        <v>7018</v>
      </c>
      <c r="E116" s="191" t="s">
        <v>7018</v>
      </c>
      <c r="F116" s="191" t="s">
        <v>7811</v>
      </c>
      <c r="G116" s="191">
        <v>5</v>
      </c>
      <c r="H116" s="191"/>
      <c r="I116" s="191" t="s">
        <v>6161</v>
      </c>
      <c r="J116" s="192">
        <v>46139.305347222224</v>
      </c>
      <c r="K116" s="191" t="s">
        <v>7808</v>
      </c>
      <c r="L116" s="191"/>
    </row>
    <row r="117" spans="1:12" ht="28.5">
      <c r="A117" s="191">
        <v>121</v>
      </c>
      <c r="B117" s="195" t="s">
        <v>5219</v>
      </c>
      <c r="C117" s="191" t="s">
        <v>7812</v>
      </c>
      <c r="D117" s="191" t="s">
        <v>5219</v>
      </c>
      <c r="E117" s="191">
        <v>11</v>
      </c>
      <c r="F117" s="191" t="s">
        <v>7813</v>
      </c>
      <c r="G117" s="191" t="s">
        <v>7814</v>
      </c>
      <c r="H117" s="191" t="s">
        <v>7815</v>
      </c>
      <c r="I117" s="191" t="s">
        <v>5224</v>
      </c>
      <c r="J117" s="192">
        <v>46147.36347222222</v>
      </c>
      <c r="K117" s="191"/>
      <c r="L117" s="191"/>
    </row>
    <row r="118" spans="1:12" ht="28.5">
      <c r="A118" s="191">
        <v>122</v>
      </c>
      <c r="B118" s="195" t="s">
        <v>5219</v>
      </c>
      <c r="C118" s="191" t="s">
        <v>7816</v>
      </c>
      <c r="D118" s="191" t="s">
        <v>5219</v>
      </c>
      <c r="E118" s="191">
        <v>11</v>
      </c>
      <c r="F118" s="191" t="s">
        <v>7817</v>
      </c>
      <c r="G118" s="191" t="s">
        <v>7818</v>
      </c>
      <c r="H118" s="191" t="s">
        <v>7819</v>
      </c>
      <c r="I118" s="191" t="s">
        <v>5224</v>
      </c>
      <c r="J118" s="192">
        <v>46147.364675925928</v>
      </c>
      <c r="K118" s="191"/>
      <c r="L118" s="191"/>
    </row>
    <row r="119" spans="1:12" ht="28.5">
      <c r="A119" s="191">
        <v>123</v>
      </c>
      <c r="B119" s="195" t="s">
        <v>5219</v>
      </c>
      <c r="C119" s="191" t="s">
        <v>7820</v>
      </c>
      <c r="D119" s="191" t="s">
        <v>5219</v>
      </c>
      <c r="E119" s="191">
        <v>11</v>
      </c>
      <c r="F119" s="191" t="s">
        <v>7817</v>
      </c>
      <c r="G119" s="191" t="s">
        <v>7821</v>
      </c>
      <c r="H119" s="191" t="s">
        <v>7819</v>
      </c>
      <c r="I119" s="191" t="s">
        <v>5224</v>
      </c>
      <c r="J119" s="192">
        <v>46147.365983796299</v>
      </c>
      <c r="K119" s="191"/>
      <c r="L119" s="191"/>
    </row>
    <row r="120" spans="1:12" ht="28.5">
      <c r="A120" s="191">
        <v>124</v>
      </c>
      <c r="B120" s="195" t="s">
        <v>5219</v>
      </c>
      <c r="C120" s="191" t="s">
        <v>7822</v>
      </c>
      <c r="D120" s="191" t="s">
        <v>5219</v>
      </c>
      <c r="E120" s="191">
        <v>13</v>
      </c>
      <c r="F120" s="191" t="s">
        <v>7823</v>
      </c>
      <c r="G120" s="191" t="s">
        <v>7762</v>
      </c>
      <c r="H120" s="191" t="s">
        <v>7819</v>
      </c>
      <c r="I120" s="191" t="s">
        <v>5224</v>
      </c>
      <c r="J120" s="192">
        <v>46147.36859953704</v>
      </c>
      <c r="K120" s="191"/>
      <c r="L120" s="191"/>
    </row>
    <row r="121" spans="1:12" ht="28.5">
      <c r="A121" s="191">
        <v>125</v>
      </c>
      <c r="B121" s="195" t="s">
        <v>5219</v>
      </c>
      <c r="C121" s="191" t="s">
        <v>7824</v>
      </c>
      <c r="D121" s="191" t="s">
        <v>5219</v>
      </c>
      <c r="E121" s="191">
        <v>13</v>
      </c>
      <c r="F121" s="191" t="s">
        <v>7825</v>
      </c>
      <c r="G121" s="191" t="s">
        <v>7635</v>
      </c>
      <c r="H121" s="191" t="s">
        <v>7819</v>
      </c>
      <c r="I121" s="191" t="s">
        <v>5224</v>
      </c>
      <c r="J121" s="192">
        <v>46147.369699074072</v>
      </c>
      <c r="K121" s="191"/>
      <c r="L121" s="191"/>
    </row>
    <row r="122" spans="1:12" ht="28.5">
      <c r="A122" s="191">
        <v>126</v>
      </c>
      <c r="B122" s="195" t="s">
        <v>5219</v>
      </c>
      <c r="C122" s="191" t="s">
        <v>7826</v>
      </c>
      <c r="D122" s="191" t="s">
        <v>5219</v>
      </c>
      <c r="E122" s="191">
        <v>13</v>
      </c>
      <c r="F122" s="191" t="s">
        <v>7825</v>
      </c>
      <c r="G122" s="191" t="s">
        <v>6939</v>
      </c>
      <c r="H122" s="191" t="s">
        <v>7827</v>
      </c>
      <c r="I122" s="191" t="s">
        <v>5224</v>
      </c>
      <c r="J122" s="192">
        <v>46147.37090277778</v>
      </c>
      <c r="K122" s="191"/>
      <c r="L122" s="191"/>
    </row>
    <row r="123" spans="1:12" ht="28.5">
      <c r="A123" s="191">
        <v>127</v>
      </c>
      <c r="B123" s="195" t="s">
        <v>5219</v>
      </c>
      <c r="C123" s="191" t="s">
        <v>7828</v>
      </c>
      <c r="D123" s="191" t="s">
        <v>5219</v>
      </c>
      <c r="E123" s="191">
        <v>13</v>
      </c>
      <c r="F123" s="191" t="s">
        <v>7825</v>
      </c>
      <c r="G123" s="191" t="s">
        <v>7829</v>
      </c>
      <c r="H123" s="191" t="s">
        <v>7819</v>
      </c>
      <c r="I123" s="191" t="s">
        <v>5224</v>
      </c>
      <c r="J123" s="192">
        <v>46147.371886574074</v>
      </c>
      <c r="K123" s="191"/>
      <c r="L123" s="191"/>
    </row>
    <row r="124" spans="1:12" ht="28.5">
      <c r="A124" s="191">
        <v>128</v>
      </c>
      <c r="B124" s="195" t="s">
        <v>5219</v>
      </c>
      <c r="C124" s="191" t="s">
        <v>7830</v>
      </c>
      <c r="D124" s="191" t="s">
        <v>5219</v>
      </c>
      <c r="E124" s="191">
        <v>26</v>
      </c>
      <c r="F124" s="191" t="s">
        <v>7831</v>
      </c>
      <c r="G124" s="191" t="s">
        <v>7768</v>
      </c>
      <c r="H124" s="191" t="s">
        <v>7819</v>
      </c>
      <c r="I124" s="191" t="s">
        <v>5224</v>
      </c>
      <c r="J124" s="192">
        <v>46147.377812500003</v>
      </c>
      <c r="K124" s="191"/>
      <c r="L124" s="191"/>
    </row>
    <row r="125" spans="1:12" ht="28.5">
      <c r="A125" s="191">
        <v>129</v>
      </c>
      <c r="B125" s="195" t="s">
        <v>5219</v>
      </c>
      <c r="C125" s="191" t="s">
        <v>7832</v>
      </c>
      <c r="D125" s="191" t="s">
        <v>5219</v>
      </c>
      <c r="E125" s="191">
        <v>13</v>
      </c>
      <c r="F125" s="191" t="s">
        <v>7833</v>
      </c>
      <c r="G125" s="191" t="s">
        <v>7834</v>
      </c>
      <c r="H125" s="191" t="s">
        <v>7819</v>
      </c>
      <c r="I125" s="191" t="s">
        <v>5224</v>
      </c>
      <c r="J125" s="192">
        <v>46147.379733796297</v>
      </c>
      <c r="K125" s="191"/>
      <c r="L125" s="191"/>
    </row>
    <row r="126" spans="1:12" ht="28.5">
      <c r="A126" s="191">
        <v>130</v>
      </c>
      <c r="B126" s="195" t="s">
        <v>5219</v>
      </c>
      <c r="C126" s="191" t="s">
        <v>7835</v>
      </c>
      <c r="D126" s="191" t="s">
        <v>5219</v>
      </c>
      <c r="E126" s="191">
        <v>13</v>
      </c>
      <c r="F126" s="191" t="s">
        <v>7836</v>
      </c>
      <c r="G126" s="191" t="s">
        <v>6930</v>
      </c>
      <c r="H126" s="191" t="s">
        <v>7819</v>
      </c>
      <c r="I126" s="191" t="s">
        <v>5224</v>
      </c>
      <c r="J126" s="192">
        <v>46147.40552083333</v>
      </c>
      <c r="K126" s="191"/>
      <c r="L126" s="191"/>
    </row>
    <row r="127" spans="1:12" ht="28.5">
      <c r="A127" s="191">
        <v>131</v>
      </c>
      <c r="B127" s="195" t="s">
        <v>5219</v>
      </c>
      <c r="C127" s="191" t="s">
        <v>7837</v>
      </c>
      <c r="D127" s="191" t="s">
        <v>5219</v>
      </c>
      <c r="E127" s="191">
        <v>13</v>
      </c>
      <c r="F127" s="191" t="s">
        <v>7836</v>
      </c>
      <c r="G127" s="191" t="s">
        <v>7635</v>
      </c>
      <c r="H127" s="191" t="s">
        <v>7819</v>
      </c>
      <c r="I127" s="191" t="s">
        <v>5224</v>
      </c>
      <c r="J127" s="192">
        <v>46147.407164351855</v>
      </c>
      <c r="K127" s="191"/>
      <c r="L127" s="191"/>
    </row>
    <row r="128" spans="1:12" ht="28.5">
      <c r="A128" s="191">
        <v>132</v>
      </c>
      <c r="B128" s="195" t="s">
        <v>5219</v>
      </c>
      <c r="C128" s="191" t="s">
        <v>7838</v>
      </c>
      <c r="D128" s="191" t="s">
        <v>5219</v>
      </c>
      <c r="E128" s="191">
        <v>13</v>
      </c>
      <c r="F128" s="191" t="s">
        <v>7839</v>
      </c>
      <c r="G128" s="191" t="s">
        <v>7840</v>
      </c>
      <c r="H128" s="191" t="s">
        <v>7819</v>
      </c>
      <c r="I128" s="191" t="s">
        <v>5224</v>
      </c>
      <c r="J128" s="192">
        <v>46147.408101851855</v>
      </c>
      <c r="K128" s="191"/>
      <c r="L128" s="191"/>
    </row>
    <row r="129" spans="1:12" ht="28.5">
      <c r="A129" s="191">
        <v>133</v>
      </c>
      <c r="B129" s="195" t="s">
        <v>5219</v>
      </c>
      <c r="C129" s="191" t="s">
        <v>7841</v>
      </c>
      <c r="D129" s="191" t="s">
        <v>5219</v>
      </c>
      <c r="E129" s="191">
        <v>13</v>
      </c>
      <c r="F129" s="191" t="s">
        <v>7839</v>
      </c>
      <c r="G129" s="191" t="s">
        <v>7761</v>
      </c>
      <c r="H129" s="191" t="s">
        <v>7819</v>
      </c>
      <c r="I129" s="191" t="s">
        <v>5224</v>
      </c>
      <c r="J129" s="192">
        <v>46147.409143518518</v>
      </c>
      <c r="K129" s="191"/>
      <c r="L129" s="191"/>
    </row>
    <row r="130" spans="1:12" ht="28.5">
      <c r="A130" s="191">
        <v>134</v>
      </c>
      <c r="B130" s="195" t="s">
        <v>5219</v>
      </c>
      <c r="C130" s="191" t="s">
        <v>7842</v>
      </c>
      <c r="D130" s="191" t="s">
        <v>5219</v>
      </c>
      <c r="E130" s="191">
        <v>13</v>
      </c>
      <c r="F130" s="191" t="s">
        <v>7839</v>
      </c>
      <c r="G130" s="191" t="s">
        <v>7638</v>
      </c>
      <c r="H130" s="191" t="s">
        <v>7819</v>
      </c>
      <c r="I130" s="191" t="s">
        <v>5224</v>
      </c>
      <c r="J130" s="192">
        <v>46147.410254629627</v>
      </c>
      <c r="K130" s="191"/>
      <c r="L130" s="191"/>
    </row>
    <row r="131" spans="1:12" ht="28.5">
      <c r="A131" s="191">
        <v>135</v>
      </c>
      <c r="B131" s="195" t="s">
        <v>5219</v>
      </c>
      <c r="C131" s="191" t="s">
        <v>7843</v>
      </c>
      <c r="D131" s="191" t="s">
        <v>5219</v>
      </c>
      <c r="E131" s="191">
        <v>13</v>
      </c>
      <c r="F131" s="191" t="s">
        <v>7839</v>
      </c>
      <c r="G131" s="191" t="s">
        <v>7829</v>
      </c>
      <c r="H131" s="191" t="s">
        <v>7819</v>
      </c>
      <c r="I131" s="191" t="s">
        <v>5224</v>
      </c>
      <c r="J131" s="192">
        <v>46147.411365740743</v>
      </c>
      <c r="K131" s="191"/>
      <c r="L131" s="191"/>
    </row>
    <row r="132" spans="1:12" ht="28.5">
      <c r="A132" s="191">
        <v>136</v>
      </c>
      <c r="B132" s="195" t="s">
        <v>5219</v>
      </c>
      <c r="C132" s="191" t="s">
        <v>7844</v>
      </c>
      <c r="D132" s="191" t="s">
        <v>5219</v>
      </c>
      <c r="E132" s="191">
        <v>13</v>
      </c>
      <c r="F132" s="191" t="s">
        <v>7839</v>
      </c>
      <c r="G132" s="191" t="s">
        <v>7840</v>
      </c>
      <c r="H132" s="191" t="s">
        <v>7819</v>
      </c>
      <c r="I132" s="191" t="s">
        <v>5224</v>
      </c>
      <c r="J132" s="192">
        <v>46147.412592592591</v>
      </c>
      <c r="K132" s="191"/>
      <c r="L132" s="191"/>
    </row>
    <row r="133" spans="1:12" ht="28.5">
      <c r="A133" s="191">
        <v>137</v>
      </c>
      <c r="B133" s="195" t="s">
        <v>5219</v>
      </c>
      <c r="C133" s="191" t="s">
        <v>7835</v>
      </c>
      <c r="D133" s="191" t="s">
        <v>5219</v>
      </c>
      <c r="E133" s="191">
        <v>13</v>
      </c>
      <c r="F133" s="191" t="s">
        <v>7845</v>
      </c>
      <c r="G133" s="191" t="s">
        <v>7638</v>
      </c>
      <c r="H133" s="191" t="s">
        <v>7819</v>
      </c>
      <c r="I133" s="191" t="s">
        <v>5224</v>
      </c>
      <c r="J133" s="192">
        <v>46147.414699074077</v>
      </c>
      <c r="K133" s="191"/>
      <c r="L133" s="191"/>
    </row>
    <row r="134" spans="1:12" ht="28.5">
      <c r="A134" s="191">
        <v>138</v>
      </c>
      <c r="B134" s="195" t="s">
        <v>7768</v>
      </c>
      <c r="C134" s="191" t="s">
        <v>2104</v>
      </c>
      <c r="D134" s="191">
        <v>8</v>
      </c>
      <c r="E134" s="191" t="s">
        <v>6822</v>
      </c>
      <c r="F134" s="191" t="s">
        <v>7846</v>
      </c>
      <c r="G134" s="191">
        <v>11</v>
      </c>
      <c r="H134" s="191"/>
      <c r="I134" s="191" t="s">
        <v>4837</v>
      </c>
      <c r="J134" s="192">
        <v>46149.251689814817</v>
      </c>
      <c r="K134" s="191" t="s">
        <v>7847</v>
      </c>
      <c r="L134" s="191"/>
    </row>
    <row r="135" spans="1:12" ht="28.5">
      <c r="A135" s="191">
        <v>139</v>
      </c>
      <c r="B135" s="195" t="s">
        <v>4796</v>
      </c>
      <c r="C135" s="191" t="s">
        <v>4796</v>
      </c>
      <c r="D135" s="191">
        <v>8</v>
      </c>
      <c r="E135" s="191" t="s">
        <v>6822</v>
      </c>
      <c r="F135" s="191" t="s">
        <v>7848</v>
      </c>
      <c r="G135" s="191">
        <v>6</v>
      </c>
      <c r="H135" s="191"/>
      <c r="I135" s="191" t="s">
        <v>4837</v>
      </c>
      <c r="J135" s="192">
        <v>46149.252662037034</v>
      </c>
      <c r="K135" s="191" t="s">
        <v>7849</v>
      </c>
      <c r="L135" s="191"/>
    </row>
    <row r="136" spans="1:12" ht="28.5">
      <c r="A136" s="191">
        <v>140</v>
      </c>
      <c r="B136" s="195" t="s">
        <v>1982</v>
      </c>
      <c r="C136" s="191" t="s">
        <v>1982</v>
      </c>
      <c r="D136" s="191">
        <v>8</v>
      </c>
      <c r="E136" s="191" t="s">
        <v>6822</v>
      </c>
      <c r="F136" s="191" t="s">
        <v>1980</v>
      </c>
      <c r="G136" s="191">
        <v>2</v>
      </c>
      <c r="H136" s="191"/>
      <c r="I136" s="191" t="s">
        <v>4837</v>
      </c>
      <c r="J136" s="192">
        <v>46149.253541666665</v>
      </c>
      <c r="K136" s="191" t="s">
        <v>7850</v>
      </c>
      <c r="L136" s="191"/>
    </row>
    <row r="137" spans="1:12" ht="28.5">
      <c r="A137" s="191">
        <v>141</v>
      </c>
      <c r="B137" s="195" t="s">
        <v>7851</v>
      </c>
      <c r="C137" s="191" t="s">
        <v>7851</v>
      </c>
      <c r="D137" s="191">
        <v>8</v>
      </c>
      <c r="E137" s="191" t="s">
        <v>6822</v>
      </c>
      <c r="F137" s="191" t="s">
        <v>1980</v>
      </c>
      <c r="G137" s="191">
        <v>3</v>
      </c>
      <c r="H137" s="191"/>
      <c r="I137" s="191" t="s">
        <v>4837</v>
      </c>
      <c r="J137" s="192">
        <v>46149.254166666666</v>
      </c>
      <c r="K137" s="191" t="s">
        <v>7852</v>
      </c>
      <c r="L137" s="191"/>
    </row>
    <row r="138" spans="1:12" ht="28.5">
      <c r="A138" s="191">
        <v>142</v>
      </c>
      <c r="B138" s="195" t="s">
        <v>1982</v>
      </c>
      <c r="C138" s="191" t="s">
        <v>1982</v>
      </c>
      <c r="D138" s="191">
        <v>8</v>
      </c>
      <c r="E138" s="191" t="s">
        <v>6822</v>
      </c>
      <c r="F138" s="191" t="s">
        <v>7853</v>
      </c>
      <c r="G138" s="191">
        <v>1</v>
      </c>
      <c r="H138" s="191"/>
      <c r="I138" s="191" t="s">
        <v>4837</v>
      </c>
      <c r="J138" s="192">
        <v>46149.255243055559</v>
      </c>
      <c r="K138" s="191" t="s">
        <v>7854</v>
      </c>
      <c r="L138" s="191"/>
    </row>
    <row r="139" spans="1:12" ht="28.5">
      <c r="A139" s="191">
        <v>143</v>
      </c>
      <c r="B139" s="195" t="s">
        <v>1982</v>
      </c>
      <c r="C139" s="191" t="s">
        <v>1982</v>
      </c>
      <c r="D139" s="191">
        <v>8</v>
      </c>
      <c r="E139" s="191" t="s">
        <v>6822</v>
      </c>
      <c r="F139" s="191" t="s">
        <v>7855</v>
      </c>
      <c r="G139" s="191">
        <v>3</v>
      </c>
      <c r="H139" s="191"/>
      <c r="I139" s="191" t="s">
        <v>4837</v>
      </c>
      <c r="J139" s="192">
        <v>46149.255891203706</v>
      </c>
      <c r="K139" s="191" t="s">
        <v>7856</v>
      </c>
      <c r="L139" s="191"/>
    </row>
    <row r="140" spans="1:12" ht="28.5">
      <c r="A140" s="191">
        <v>144</v>
      </c>
      <c r="B140" s="195" t="s">
        <v>1982</v>
      </c>
      <c r="C140" s="191" t="s">
        <v>1982</v>
      </c>
      <c r="D140" s="191">
        <v>8</v>
      </c>
      <c r="E140" s="191" t="s">
        <v>6822</v>
      </c>
      <c r="F140" s="191" t="s">
        <v>6107</v>
      </c>
      <c r="G140" s="191">
        <v>8</v>
      </c>
      <c r="H140" s="191"/>
      <c r="I140" s="191" t="s">
        <v>4837</v>
      </c>
      <c r="J140" s="192">
        <v>46149.256539351853</v>
      </c>
      <c r="K140" s="191" t="s">
        <v>7857</v>
      </c>
      <c r="L140" s="191"/>
    </row>
    <row r="141" spans="1:12" ht="28.5">
      <c r="A141" s="191">
        <v>145</v>
      </c>
      <c r="B141" s="195" t="s">
        <v>1982</v>
      </c>
      <c r="C141" s="191" t="s">
        <v>1982</v>
      </c>
      <c r="D141" s="191">
        <v>8</v>
      </c>
      <c r="E141" s="191" t="s">
        <v>6822</v>
      </c>
      <c r="F141" s="191" t="s">
        <v>2163</v>
      </c>
      <c r="G141" s="191">
        <v>6</v>
      </c>
      <c r="H141" s="191"/>
      <c r="I141" s="191" t="s">
        <v>4837</v>
      </c>
      <c r="J141" s="192">
        <v>46149.257141203707</v>
      </c>
      <c r="K141" s="191" t="s">
        <v>7858</v>
      </c>
      <c r="L141" s="191"/>
    </row>
    <row r="142" spans="1:12" ht="28.5">
      <c r="A142" s="191">
        <v>146</v>
      </c>
      <c r="B142" s="195" t="s">
        <v>7859</v>
      </c>
      <c r="C142" s="191" t="s">
        <v>7859</v>
      </c>
      <c r="D142" s="191">
        <v>8</v>
      </c>
      <c r="E142" s="191" t="s">
        <v>6822</v>
      </c>
      <c r="F142" s="191" t="s">
        <v>2163</v>
      </c>
      <c r="G142" s="191">
        <v>2</v>
      </c>
      <c r="H142" s="191"/>
      <c r="I142" s="191" t="s">
        <v>4837</v>
      </c>
      <c r="J142" s="192">
        <v>46149.257870370369</v>
      </c>
      <c r="K142" s="191" t="s">
        <v>7860</v>
      </c>
      <c r="L142" s="191"/>
    </row>
    <row r="143" spans="1:12" ht="28.5">
      <c r="A143" s="191">
        <v>147</v>
      </c>
      <c r="B143" s="195" t="s">
        <v>1982</v>
      </c>
      <c r="C143" s="191" t="s">
        <v>1982</v>
      </c>
      <c r="D143" s="191">
        <v>8</v>
      </c>
      <c r="E143" s="191" t="s">
        <v>6822</v>
      </c>
      <c r="F143" s="191" t="s">
        <v>2159</v>
      </c>
      <c r="G143" s="191">
        <v>6</v>
      </c>
      <c r="H143" s="191"/>
      <c r="I143" s="191" t="s">
        <v>4837</v>
      </c>
      <c r="J143" s="192">
        <v>46149.258483796293</v>
      </c>
      <c r="K143" s="191" t="s">
        <v>7858</v>
      </c>
      <c r="L143" s="191"/>
    </row>
    <row r="144" spans="1:12" ht="28.5">
      <c r="A144" s="191">
        <v>148</v>
      </c>
      <c r="B144" s="195" t="s">
        <v>1982</v>
      </c>
      <c r="C144" s="191" t="s">
        <v>1982</v>
      </c>
      <c r="D144" s="191">
        <v>8</v>
      </c>
      <c r="E144" s="191" t="s">
        <v>6822</v>
      </c>
      <c r="F144" s="191" t="s">
        <v>2155</v>
      </c>
      <c r="G144" s="191">
        <v>5</v>
      </c>
      <c r="H144" s="191"/>
      <c r="I144" s="191" t="s">
        <v>4837</v>
      </c>
      <c r="J144" s="192">
        <v>46149.259039351855</v>
      </c>
      <c r="K144" s="191" t="s">
        <v>7861</v>
      </c>
      <c r="L144" s="191"/>
    </row>
    <row r="145" spans="1:12" ht="28.5">
      <c r="A145" s="191">
        <v>149</v>
      </c>
      <c r="B145" s="195" t="s">
        <v>1982</v>
      </c>
      <c r="C145" s="191" t="s">
        <v>1982</v>
      </c>
      <c r="D145" s="191">
        <v>8</v>
      </c>
      <c r="E145" s="191" t="s">
        <v>6822</v>
      </c>
      <c r="F145" s="191" t="s">
        <v>2151</v>
      </c>
      <c r="G145" s="191">
        <v>5</v>
      </c>
      <c r="H145" s="191"/>
      <c r="I145" s="191" t="s">
        <v>4837</v>
      </c>
      <c r="J145" s="192">
        <v>46149.259687500002</v>
      </c>
      <c r="K145" s="191" t="s">
        <v>7862</v>
      </c>
      <c r="L145" s="191"/>
    </row>
    <row r="146" spans="1:12" ht="28.5">
      <c r="A146" s="191">
        <v>150</v>
      </c>
      <c r="B146" s="195" t="s">
        <v>1982</v>
      </c>
      <c r="C146" s="191" t="s">
        <v>1982</v>
      </c>
      <c r="D146" s="191">
        <v>8</v>
      </c>
      <c r="E146" s="191" t="s">
        <v>6822</v>
      </c>
      <c r="F146" s="191" t="s">
        <v>7863</v>
      </c>
      <c r="G146" s="191">
        <v>4</v>
      </c>
      <c r="H146" s="191"/>
      <c r="I146" s="191" t="s">
        <v>4837</v>
      </c>
      <c r="J146" s="192">
        <v>46149.260254629633</v>
      </c>
      <c r="K146" s="191" t="s">
        <v>7864</v>
      </c>
      <c r="L146" s="191"/>
    </row>
    <row r="147" spans="1:12" ht="28.5">
      <c r="A147" s="191">
        <v>151</v>
      </c>
      <c r="B147" s="195" t="s">
        <v>1982</v>
      </c>
      <c r="C147" s="191" t="s">
        <v>1982</v>
      </c>
      <c r="D147" s="191">
        <v>8</v>
      </c>
      <c r="E147" s="191" t="s">
        <v>6822</v>
      </c>
      <c r="F147" s="191" t="s">
        <v>7865</v>
      </c>
      <c r="G147" s="191">
        <v>3</v>
      </c>
      <c r="H147" s="191"/>
      <c r="I147" s="191" t="s">
        <v>4837</v>
      </c>
      <c r="J147" s="192">
        <v>46149.260775462964</v>
      </c>
      <c r="K147" s="191" t="s">
        <v>7856</v>
      </c>
      <c r="L147" s="191"/>
    </row>
    <row r="148" spans="1:12" ht="28.5">
      <c r="A148" s="191">
        <v>152</v>
      </c>
      <c r="B148" s="195" t="s">
        <v>1982</v>
      </c>
      <c r="C148" s="191" t="s">
        <v>1982</v>
      </c>
      <c r="D148" s="191">
        <v>8</v>
      </c>
      <c r="E148" s="191" t="s">
        <v>6822</v>
      </c>
      <c r="F148" s="191" t="s">
        <v>2139</v>
      </c>
      <c r="G148" s="191">
        <v>9</v>
      </c>
      <c r="H148" s="191"/>
      <c r="I148" s="191" t="s">
        <v>4837</v>
      </c>
      <c r="J148" s="192">
        <v>46149.261388888888</v>
      </c>
      <c r="K148" s="191" t="s">
        <v>7866</v>
      </c>
      <c r="L148" s="191"/>
    </row>
    <row r="149" spans="1:12" ht="43.5">
      <c r="A149" s="191">
        <v>153</v>
      </c>
      <c r="B149" s="195" t="s">
        <v>7867</v>
      </c>
      <c r="C149" s="191" t="s">
        <v>7868</v>
      </c>
      <c r="D149" s="191">
        <v>11</v>
      </c>
      <c r="E149" s="191" t="s">
        <v>4728</v>
      </c>
      <c r="F149" s="191" t="s">
        <v>4052</v>
      </c>
      <c r="G149" s="191" t="s">
        <v>7869</v>
      </c>
      <c r="H149" s="191"/>
      <c r="I149" s="191" t="s">
        <v>7116</v>
      </c>
      <c r="J149" s="192">
        <v>46150.146608796298</v>
      </c>
      <c r="K149" s="191" t="s">
        <v>7870</v>
      </c>
      <c r="L149" s="191"/>
    </row>
    <row r="150" spans="1:12" ht="28.5">
      <c r="A150" s="191">
        <v>154</v>
      </c>
      <c r="B150" s="195" t="s">
        <v>6993</v>
      </c>
      <c r="C150" s="191" t="s">
        <v>7871</v>
      </c>
      <c r="D150" s="191">
        <v>5</v>
      </c>
      <c r="E150" s="191" t="s">
        <v>266</v>
      </c>
      <c r="F150" s="191" t="s">
        <v>5176</v>
      </c>
      <c r="G150" s="191">
        <v>5</v>
      </c>
      <c r="H150" s="191"/>
      <c r="I150" s="191" t="s">
        <v>1116</v>
      </c>
      <c r="J150" s="192">
        <v>46161.161597222221</v>
      </c>
      <c r="K150" s="191"/>
      <c r="L150" s="191"/>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1651-2FCF-4F7C-ACBE-12CBF436552F}">
  <sheetPr codeName="Sheet10">
    <tabColor rgb="FF002060"/>
  </sheetPr>
  <dimension ref="A1:O20"/>
  <sheetViews>
    <sheetView topLeftCell="A12" workbookViewId="0">
      <selection activeCell="J24" sqref="J24"/>
    </sheetView>
  </sheetViews>
  <sheetFormatPr defaultColWidth="8.75" defaultRowHeight="14.25"/>
  <cols>
    <col min="1" max="2" width="8.75" style="70"/>
    <col min="3" max="3" width="14.375" style="70" customWidth="1"/>
    <col min="4" max="4" width="8.75" style="70"/>
    <col min="5" max="5" width="9.75" style="70" customWidth="1"/>
    <col min="6" max="6" width="14.375" style="70" customWidth="1"/>
    <col min="7" max="8" width="12.875" style="70" customWidth="1"/>
    <col min="9" max="9" width="10.75" style="70" customWidth="1"/>
    <col min="10" max="11" width="16.875" style="70" customWidth="1"/>
    <col min="12" max="13" width="15.875" style="70" customWidth="1"/>
    <col min="14" max="14" width="9.25" style="70" customWidth="1"/>
    <col min="15" max="16384" width="8.75" style="70"/>
  </cols>
  <sheetData>
    <row r="1" spans="1:15" s="3" customFormat="1" ht="60">
      <c r="A1" s="64" t="s">
        <v>0</v>
      </c>
      <c r="B1" s="64" t="s">
        <v>4332</v>
      </c>
      <c r="C1" s="64" t="s">
        <v>2</v>
      </c>
      <c r="D1" s="64" t="s">
        <v>3</v>
      </c>
      <c r="E1" s="64" t="s">
        <v>4</v>
      </c>
      <c r="F1" s="64" t="s">
        <v>5</v>
      </c>
      <c r="G1" s="65" t="s">
        <v>6570</v>
      </c>
      <c r="H1" s="65" t="s">
        <v>7872</v>
      </c>
      <c r="I1" s="65" t="s">
        <v>6788</v>
      </c>
      <c r="J1" s="65" t="s">
        <v>7304</v>
      </c>
      <c r="K1" s="65" t="s">
        <v>7873</v>
      </c>
      <c r="L1" s="65" t="s">
        <v>13</v>
      </c>
      <c r="M1" s="60" t="s">
        <v>6790</v>
      </c>
      <c r="N1" s="66" t="s">
        <v>189</v>
      </c>
      <c r="O1" s="66" t="s">
        <v>6571</v>
      </c>
    </row>
    <row r="2" spans="1:15">
      <c r="O2"/>
    </row>
    <row r="3" spans="1:15" ht="42.75">
      <c r="A3" s="70">
        <v>4</v>
      </c>
      <c r="B3" s="70" t="s">
        <v>6634</v>
      </c>
      <c r="C3" s="70" t="s">
        <v>7874</v>
      </c>
      <c r="D3" s="70">
        <v>5</v>
      </c>
      <c r="E3" s="70">
        <v>7</v>
      </c>
      <c r="F3" s="70" t="s">
        <v>7874</v>
      </c>
      <c r="H3" s="70">
        <v>200</v>
      </c>
      <c r="I3" s="70">
        <v>11</v>
      </c>
      <c r="J3" s="70" t="s">
        <v>7875</v>
      </c>
      <c r="K3" s="70">
        <v>1250</v>
      </c>
      <c r="L3" s="70" t="s">
        <v>5164</v>
      </c>
      <c r="M3" s="70" t="s">
        <v>7876</v>
      </c>
    </row>
    <row r="4" spans="1:15" ht="42.75">
      <c r="A4" s="70">
        <v>5</v>
      </c>
      <c r="B4" s="70" t="s">
        <v>7736</v>
      </c>
      <c r="C4" s="70" t="s">
        <v>7877</v>
      </c>
      <c r="D4" s="70">
        <v>5</v>
      </c>
      <c r="E4" s="70">
        <v>9</v>
      </c>
      <c r="F4" s="70" t="s">
        <v>7877</v>
      </c>
      <c r="H4" s="70">
        <v>200</v>
      </c>
      <c r="I4" s="70">
        <v>15</v>
      </c>
      <c r="J4" s="70" t="s">
        <v>7875</v>
      </c>
      <c r="K4" s="70">
        <v>1250</v>
      </c>
      <c r="L4" s="70" t="s">
        <v>5164</v>
      </c>
      <c r="M4" s="70" t="s">
        <v>7878</v>
      </c>
    </row>
    <row r="5" spans="1:15" ht="57">
      <c r="A5" s="70">
        <v>6</v>
      </c>
      <c r="B5" s="70" t="s">
        <v>7879</v>
      </c>
      <c r="C5" s="70" t="s">
        <v>7880</v>
      </c>
      <c r="D5" s="70">
        <v>5</v>
      </c>
      <c r="E5" s="70">
        <v>6</v>
      </c>
      <c r="F5" s="70" t="s">
        <v>7881</v>
      </c>
      <c r="H5" s="70" t="s">
        <v>7882</v>
      </c>
      <c r="I5" s="70">
        <v>1</v>
      </c>
      <c r="J5" s="70" t="s">
        <v>7883</v>
      </c>
      <c r="K5" s="70" t="s">
        <v>7884</v>
      </c>
      <c r="L5" s="70" t="s">
        <v>5164</v>
      </c>
      <c r="M5" s="70" t="s">
        <v>7885</v>
      </c>
      <c r="N5" s="70" t="s">
        <v>7886</v>
      </c>
    </row>
    <row r="6" spans="1:15" ht="42.75">
      <c r="A6" s="70">
        <v>20</v>
      </c>
      <c r="B6" s="70" t="s">
        <v>7887</v>
      </c>
      <c r="C6" s="70" t="s">
        <v>7375</v>
      </c>
      <c r="D6" s="70">
        <v>1</v>
      </c>
      <c r="E6" s="70" t="s">
        <v>6428</v>
      </c>
      <c r="F6" s="70" t="s">
        <v>7888</v>
      </c>
      <c r="H6" s="70" t="s">
        <v>7889</v>
      </c>
      <c r="I6" s="70">
        <v>1</v>
      </c>
      <c r="J6" s="70" t="s">
        <v>7379</v>
      </c>
      <c r="K6" s="70" t="s">
        <v>7890</v>
      </c>
      <c r="L6" s="70" t="s">
        <v>6632</v>
      </c>
      <c r="M6" s="70" t="s">
        <v>7891</v>
      </c>
    </row>
    <row r="7" spans="1:15" ht="42.75">
      <c r="A7" s="70">
        <v>21</v>
      </c>
      <c r="B7" s="70" t="s">
        <v>7887</v>
      </c>
      <c r="C7" s="70" t="s">
        <v>6626</v>
      </c>
      <c r="D7" s="70">
        <v>1</v>
      </c>
      <c r="E7" s="70" t="s">
        <v>6428</v>
      </c>
      <c r="F7" s="70" t="s">
        <v>7892</v>
      </c>
      <c r="H7" s="70" t="s">
        <v>7889</v>
      </c>
      <c r="I7" s="70">
        <v>1</v>
      </c>
      <c r="J7" s="70" t="s">
        <v>7893</v>
      </c>
      <c r="K7" s="70" t="s">
        <v>7894</v>
      </c>
      <c r="L7" s="70" t="s">
        <v>6632</v>
      </c>
      <c r="M7" s="70" t="s">
        <v>7895</v>
      </c>
    </row>
    <row r="8" spans="1:15" ht="42.75">
      <c r="A8" s="70">
        <v>22</v>
      </c>
      <c r="B8" s="70" t="s">
        <v>7896</v>
      </c>
      <c r="C8" s="70" t="s">
        <v>7897</v>
      </c>
      <c r="D8" s="70" t="s">
        <v>6646</v>
      </c>
      <c r="E8" s="70" t="s">
        <v>6647</v>
      </c>
      <c r="F8" s="70" t="s">
        <v>7898</v>
      </c>
      <c r="H8" s="70" t="s">
        <v>7899</v>
      </c>
      <c r="I8" s="70">
        <v>2</v>
      </c>
      <c r="J8" s="70" t="s">
        <v>7900</v>
      </c>
      <c r="K8" s="70" t="s">
        <v>7901</v>
      </c>
      <c r="L8" s="70" t="s">
        <v>5934</v>
      </c>
      <c r="M8" s="70" t="s">
        <v>7902</v>
      </c>
      <c r="N8" s="70" t="s">
        <v>7903</v>
      </c>
    </row>
    <row r="9" spans="1:15" ht="42.75">
      <c r="A9" s="70">
        <v>23</v>
      </c>
      <c r="B9" s="70" t="s">
        <v>7401</v>
      </c>
      <c r="C9" s="70" t="s">
        <v>7382</v>
      </c>
      <c r="D9" s="70" t="s">
        <v>6212</v>
      </c>
      <c r="E9" s="70" t="s">
        <v>6213</v>
      </c>
      <c r="F9" s="70" t="s">
        <v>7383</v>
      </c>
      <c r="H9" s="70" t="s">
        <v>7904</v>
      </c>
      <c r="I9" s="70">
        <v>3</v>
      </c>
      <c r="J9" s="70" t="s">
        <v>7905</v>
      </c>
      <c r="K9" s="70" t="s">
        <v>7906</v>
      </c>
      <c r="L9" s="70" t="s">
        <v>6218</v>
      </c>
      <c r="M9" s="70" t="s">
        <v>7907</v>
      </c>
      <c r="N9" s="70" t="s">
        <v>7908</v>
      </c>
    </row>
    <row r="10" spans="1:15" ht="42.75">
      <c r="A10" s="70">
        <v>24</v>
      </c>
      <c r="B10" s="70" t="s">
        <v>7401</v>
      </c>
      <c r="C10" s="70" t="s">
        <v>7382</v>
      </c>
      <c r="D10" s="70" t="s">
        <v>6212</v>
      </c>
      <c r="E10" s="70" t="s">
        <v>6213</v>
      </c>
      <c r="F10" s="70" t="s">
        <v>7909</v>
      </c>
      <c r="H10" s="70" t="s">
        <v>7904</v>
      </c>
      <c r="I10" s="70">
        <v>3</v>
      </c>
      <c r="J10" s="70" t="s">
        <v>7905</v>
      </c>
      <c r="K10" s="70" t="s">
        <v>7910</v>
      </c>
      <c r="L10" s="70" t="s">
        <v>6218</v>
      </c>
      <c r="M10" s="70" t="s">
        <v>7911</v>
      </c>
      <c r="N10" s="70" t="s">
        <v>7912</v>
      </c>
    </row>
    <row r="11" spans="1:15" ht="42.75">
      <c r="A11" s="70">
        <v>25</v>
      </c>
      <c r="B11" s="70" t="s">
        <v>7401</v>
      </c>
      <c r="C11" s="70" t="s">
        <v>7402</v>
      </c>
      <c r="D11" s="70" t="s">
        <v>6212</v>
      </c>
      <c r="E11" s="70" t="s">
        <v>6213</v>
      </c>
      <c r="F11" s="70" t="s">
        <v>7909</v>
      </c>
      <c r="H11" s="70" t="s">
        <v>7904</v>
      </c>
      <c r="I11" s="70">
        <v>3</v>
      </c>
      <c r="J11" s="70" t="s">
        <v>7905</v>
      </c>
      <c r="K11" s="70" t="s">
        <v>7906</v>
      </c>
      <c r="L11" s="70" t="s">
        <v>6218</v>
      </c>
      <c r="M11" s="70" t="s">
        <v>7913</v>
      </c>
      <c r="N11" s="70" t="s">
        <v>7912</v>
      </c>
    </row>
    <row r="12" spans="1:15" ht="42.75">
      <c r="A12" s="70">
        <v>26</v>
      </c>
      <c r="B12" s="70" t="s">
        <v>7401</v>
      </c>
      <c r="C12" s="70" t="s">
        <v>7402</v>
      </c>
      <c r="D12" s="70" t="s">
        <v>6212</v>
      </c>
      <c r="E12" s="70" t="s">
        <v>6213</v>
      </c>
      <c r="F12" s="70" t="s">
        <v>7392</v>
      </c>
      <c r="H12" s="70" t="s">
        <v>7904</v>
      </c>
      <c r="I12" s="70" t="s">
        <v>7401</v>
      </c>
      <c r="J12" s="70" t="s">
        <v>7905</v>
      </c>
      <c r="K12" s="70" t="s">
        <v>7906</v>
      </c>
      <c r="L12" s="70" t="s">
        <v>6218</v>
      </c>
      <c r="M12" s="70" t="s">
        <v>7914</v>
      </c>
      <c r="N12" s="70" t="s">
        <v>7912</v>
      </c>
    </row>
    <row r="13" spans="1:15" ht="42.75">
      <c r="A13" s="70">
        <v>27</v>
      </c>
      <c r="B13" s="70" t="s">
        <v>7396</v>
      </c>
      <c r="C13" s="70" t="s">
        <v>7397</v>
      </c>
      <c r="D13" s="70" t="s">
        <v>6212</v>
      </c>
      <c r="E13" s="70" t="s">
        <v>6213</v>
      </c>
      <c r="F13" s="70" t="s">
        <v>7398</v>
      </c>
      <c r="H13" s="70" t="s">
        <v>7904</v>
      </c>
      <c r="I13" s="70" t="s">
        <v>7396</v>
      </c>
      <c r="J13" s="70" t="s">
        <v>7915</v>
      </c>
      <c r="K13" s="70" t="s">
        <v>7916</v>
      </c>
      <c r="L13" s="70" t="s">
        <v>6218</v>
      </c>
      <c r="M13" s="70" t="s">
        <v>7917</v>
      </c>
      <c r="N13" s="70" t="s">
        <v>7912</v>
      </c>
    </row>
    <row r="14" spans="1:15" ht="42.75">
      <c r="A14" s="70">
        <v>28</v>
      </c>
      <c r="B14" s="70" t="s">
        <v>7389</v>
      </c>
      <c r="C14" s="70" t="s">
        <v>7390</v>
      </c>
      <c r="D14" s="70" t="s">
        <v>6212</v>
      </c>
      <c r="E14" s="70" t="s">
        <v>6213</v>
      </c>
      <c r="F14" s="70" t="s">
        <v>7392</v>
      </c>
      <c r="H14" s="70" t="s">
        <v>7918</v>
      </c>
      <c r="I14" s="70" t="s">
        <v>7389</v>
      </c>
      <c r="J14" s="70" t="s">
        <v>7915</v>
      </c>
      <c r="K14" s="70" t="s">
        <v>7919</v>
      </c>
      <c r="L14" s="70" t="s">
        <v>6218</v>
      </c>
      <c r="M14" s="70" t="s">
        <v>7920</v>
      </c>
      <c r="N14" s="70" t="s">
        <v>7921</v>
      </c>
    </row>
    <row r="15" spans="1:15" ht="144">
      <c r="A15" s="70">
        <v>29</v>
      </c>
      <c r="B15" s="70" t="s">
        <v>7922</v>
      </c>
      <c r="C15" s="70" t="s">
        <v>7923</v>
      </c>
      <c r="D15" s="70">
        <v>11</v>
      </c>
      <c r="E15" s="70" t="s">
        <v>7924</v>
      </c>
      <c r="F15" s="70" t="s">
        <v>4105</v>
      </c>
      <c r="H15" s="70" t="s">
        <v>7925</v>
      </c>
      <c r="I15" s="70" t="s">
        <v>7926</v>
      </c>
      <c r="J15" s="70" t="s">
        <v>7927</v>
      </c>
      <c r="K15" s="70">
        <v>1500</v>
      </c>
      <c r="L15" s="70" t="s">
        <v>7928</v>
      </c>
      <c r="M15" s="70" t="s">
        <v>7929</v>
      </c>
      <c r="N15" s="70" t="s">
        <v>7930</v>
      </c>
    </row>
    <row r="16" spans="1:15" ht="72">
      <c r="A16" s="70">
        <v>30</v>
      </c>
      <c r="B16" s="70" t="s">
        <v>7931</v>
      </c>
      <c r="C16" s="70" t="s">
        <v>7932</v>
      </c>
      <c r="D16" s="70" t="s">
        <v>7933</v>
      </c>
      <c r="E16" s="70" t="s">
        <v>7934</v>
      </c>
      <c r="F16" s="70" t="s">
        <v>7935</v>
      </c>
      <c r="H16" s="70" t="s">
        <v>7925</v>
      </c>
      <c r="I16" s="70" t="s">
        <v>7936</v>
      </c>
      <c r="J16" s="70" t="s">
        <v>7937</v>
      </c>
      <c r="K16" s="70" t="s">
        <v>7938</v>
      </c>
      <c r="L16" s="70" t="s">
        <v>5096</v>
      </c>
      <c r="M16" s="70" t="s">
        <v>7939</v>
      </c>
      <c r="N16" s="70" t="s">
        <v>7940</v>
      </c>
    </row>
    <row r="17" spans="1:14" ht="43.5">
      <c r="A17" s="70">
        <v>31</v>
      </c>
      <c r="B17" s="70" t="s">
        <v>7941</v>
      </c>
      <c r="C17" s="70" t="s">
        <v>7942</v>
      </c>
      <c r="D17" s="70" t="s">
        <v>7943</v>
      </c>
      <c r="E17" s="70" t="s">
        <v>6230</v>
      </c>
      <c r="F17" s="70" t="s">
        <v>7944</v>
      </c>
      <c r="H17" s="70" t="s">
        <v>7925</v>
      </c>
      <c r="I17" s="70" t="s">
        <v>7945</v>
      </c>
      <c r="J17" s="70" t="s">
        <v>7946</v>
      </c>
      <c r="K17" s="70" t="s">
        <v>7938</v>
      </c>
      <c r="L17" s="70" t="s">
        <v>5096</v>
      </c>
      <c r="M17" s="70" t="s">
        <v>7947</v>
      </c>
      <c r="N17" s="70" t="s">
        <v>7948</v>
      </c>
    </row>
    <row r="18" spans="1:14" ht="43.5">
      <c r="A18" s="70">
        <v>32</v>
      </c>
      <c r="B18" s="70" t="s">
        <v>7949</v>
      </c>
      <c r="C18" s="70" t="s">
        <v>7405</v>
      </c>
      <c r="D18" s="70">
        <v>8</v>
      </c>
      <c r="E18" s="70" t="s">
        <v>4556</v>
      </c>
      <c r="F18" s="70" t="s">
        <v>7406</v>
      </c>
      <c r="H18" s="70">
        <v>50</v>
      </c>
      <c r="I18" s="70">
        <v>1</v>
      </c>
      <c r="J18" s="70" t="s">
        <v>7950</v>
      </c>
      <c r="K18" s="70" t="s">
        <v>7951</v>
      </c>
      <c r="L18" s="70" t="s">
        <v>6757</v>
      </c>
      <c r="M18" s="70" t="s">
        <v>7952</v>
      </c>
      <c r="N18" s="70" t="s">
        <v>7953</v>
      </c>
    </row>
    <row r="19" spans="1:14" ht="28.5">
      <c r="A19" s="70">
        <v>33</v>
      </c>
      <c r="B19" s="70" t="s">
        <v>6634</v>
      </c>
      <c r="C19" s="70" t="s">
        <v>7405</v>
      </c>
      <c r="D19" s="70">
        <v>8</v>
      </c>
      <c r="E19" s="70" t="s">
        <v>4556</v>
      </c>
      <c r="F19" s="70" t="s">
        <v>7414</v>
      </c>
      <c r="H19" s="70" t="s">
        <v>7954</v>
      </c>
      <c r="I19" s="70">
        <v>1</v>
      </c>
      <c r="J19" s="70" t="s">
        <v>7927</v>
      </c>
      <c r="K19" s="70" t="s">
        <v>7890</v>
      </c>
      <c r="L19" s="70" t="s">
        <v>6757</v>
      </c>
      <c r="M19" s="70" t="s">
        <v>7955</v>
      </c>
    </row>
    <row r="20" spans="1:14" ht="28.5">
      <c r="A20" s="70">
        <v>34</v>
      </c>
      <c r="B20" s="70" t="s">
        <v>7956</v>
      </c>
      <c r="C20" s="70" t="s">
        <v>7405</v>
      </c>
      <c r="D20" s="70">
        <v>8</v>
      </c>
      <c r="E20" s="70" t="s">
        <v>4556</v>
      </c>
      <c r="F20" s="70" t="s">
        <v>7414</v>
      </c>
      <c r="H20" s="70" t="s">
        <v>7957</v>
      </c>
      <c r="I20" s="70">
        <v>1</v>
      </c>
      <c r="J20" s="70" t="s">
        <v>7927</v>
      </c>
      <c r="K20" s="70" t="s">
        <v>7890</v>
      </c>
      <c r="L20" s="70" t="s">
        <v>6757</v>
      </c>
      <c r="M20" s="70" t="s">
        <v>7958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 Vu Lam</dc:creator>
  <cp:keywords/>
  <dc:description/>
  <cp:lastModifiedBy>Giám đốc CSKV Bắc</cp:lastModifiedBy>
  <cp:revision/>
  <dcterms:created xsi:type="dcterms:W3CDTF">2015-06-05T18:17:20Z</dcterms:created>
  <dcterms:modified xsi:type="dcterms:W3CDTF">2026-05-26T00:59:52Z</dcterms:modified>
  <cp:category/>
  <cp:contentStatus/>
</cp:coreProperties>
</file>